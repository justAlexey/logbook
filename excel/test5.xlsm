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Z:\Avionics\Инструмент\SHAM\log_book\ver1.3\"/>
    </mc:Choice>
  </mc:AlternateContent>
  <bookViews>
    <workbookView xWindow="0" yWindow="0" windowWidth="28800" windowHeight="12300" activeTab="8"/>
  </bookViews>
  <sheets>
    <sheet name="Лист1" sheetId="1" r:id="rId1"/>
    <sheet name="1328" sheetId="5" r:id="rId2"/>
    <sheet name="1225" sheetId="6" r:id="rId3"/>
    <sheet name="Merge1" sheetId="10" r:id="rId4"/>
    <sheet name="1498" sheetId="11" r:id="rId5"/>
    <sheet name="Лист12" sheetId="12" r:id="rId6"/>
    <sheet name="Merge2" sheetId="13" r:id="rId7"/>
    <sheet name="LPN" sheetId="14" r:id="rId8"/>
    <sheet name="LB" sheetId="15" r:id="rId9"/>
    <sheet name="Лист2" sheetId="16" r:id="rId10"/>
  </sheets>
  <externalReferences>
    <externalReference r:id="rId11"/>
    <externalReference r:id="rId12"/>
  </externalReferences>
  <definedNames>
    <definedName name="dates">LB!$A$1:$A$120</definedName>
    <definedName name="Excel_BuiltIn__FilterDatabase_2_1" localSheetId="7">#REF!</definedName>
    <definedName name="Excel_BuiltIn__FilterDatabase_2_1">#REF!</definedName>
    <definedName name="Excel_BuiltIn__FilterDatabase_2_1_1" localSheetId="7">#REF!</definedName>
    <definedName name="Excel_BuiltIn__FilterDatabase_2_1_1">#REF!</definedName>
    <definedName name="Excel_BuiltIn__FilterDatabase_2_1_1_1" localSheetId="7">#REF!</definedName>
    <definedName name="Excel_BuiltIn__FilterDatabase_2_1_1_1">#REF!</definedName>
    <definedName name="Excel_BuiltIn__FilterDatabase_2_1_1_1_1" localSheetId="7">#REF!</definedName>
    <definedName name="Excel_BuiltIn__FilterDatabase_2_1_1_1_1">#REF!</definedName>
    <definedName name="Excel_BuiltIn__FilterDatabase_2_1_1_1_1_1" localSheetId="7">#REF!</definedName>
    <definedName name="Excel_BuiltIn__FilterDatabase_2_1_1_1_1_1">#REF!</definedName>
    <definedName name="Excel_BuiltIn__FilterDatabase_2_1_1_1_1_1_1" localSheetId="7">#REF!</definedName>
    <definedName name="Excel_BuiltIn__FilterDatabase_2_1_1_1_1_1_1">#REF!</definedName>
    <definedName name="Excel_BuiltIn__FilterDatabase_2_1_1_1_1_1_1_1" localSheetId="7">#REF!</definedName>
    <definedName name="Excel_BuiltIn__FilterDatabase_2_1_1_1_1_1_1_1">#REF!</definedName>
    <definedName name="Excel_BuiltIn__FilterDatabase_2_1_1_1_1_1_1_1_1" localSheetId="7">#REF!</definedName>
    <definedName name="Excel_BuiltIn__FilterDatabase_2_1_1_1_1_1_1_1_1">#REF!</definedName>
    <definedName name="Excel_BuiltIn__FilterDatabase_2_1_1_1_1_1_1_1_1_1" localSheetId="7">#REF!</definedName>
    <definedName name="Excel_BuiltIn__FilterDatabase_2_1_1_1_1_1_1_1_1_1">#REF!</definedName>
    <definedName name="Excel_BuiltIn__FilterDatabase_2_1_1_1_1_1_1_1_1_1_1" localSheetId="7">#REF!</definedName>
    <definedName name="Excel_BuiltIn__FilterDatabase_2_1_1_1_1_1_1_1_1_1_1">#REF!</definedName>
    <definedName name="Excel_BuiltIn__FilterDatabase_2_1_1_1_1_1_1_1_1_1_1_1" localSheetId="7">#REF!</definedName>
    <definedName name="Excel_BuiltIn__FilterDatabase_2_1_1_1_1_1_1_1_1_1_1_1">#REF!</definedName>
    <definedName name="Excel_BuiltIn__FilterDatabase_2_1_1_1_1_1_1_1_1_1_1_1_1" localSheetId="7">#REF!</definedName>
    <definedName name="Excel_BuiltIn__FilterDatabase_2_1_1_1_1_1_1_1_1_1_1_1_1">#REF!</definedName>
    <definedName name="Excel_BuiltIn__FilterDatabase_2_1_1_1_1_1_1_1_1_1_1_1_1_1" localSheetId="7">#REF!</definedName>
    <definedName name="Excel_BuiltIn__FilterDatabase_2_1_1_1_1_1_1_1_1_1_1_1_1_1">#REF!</definedName>
    <definedName name="Excel_BuiltIn__FilterDatabase_2_1_1_1_1_1_1_1_1_1_1_1_1_1_1" localSheetId="7">#REF!</definedName>
    <definedName name="Excel_BuiltIn__FilterDatabase_2_1_1_1_1_1_1_1_1_1_1_1_1_1_1">#REF!</definedName>
    <definedName name="Excel_BuiltIn__FilterDatabase_2_1_1_1_1_1_1_1_1_1_1_1_1_1_1_1" localSheetId="7">#REF!</definedName>
    <definedName name="Excel_BuiltIn__FilterDatabase_2_1_1_1_1_1_1_1_1_1_1_1_1_1_1_1">#REF!</definedName>
    <definedName name="Excel_BuiltIn__FilterDatabase_2_1_1_1_1_1_1_1_1_1_1_1_1_1_1_1_1" localSheetId="7">#REF!</definedName>
    <definedName name="Excel_BuiltIn__FilterDatabase_2_1_1_1_1_1_1_1_1_1_1_1_1_1_1_1_1">#REF!</definedName>
    <definedName name="Excel_BuiltIn__FilterDatabase_2_1_1_1_1_1_1_1_1_1_1_1_1_1_1_1_1_1" localSheetId="7">#REF!</definedName>
    <definedName name="Excel_BuiltIn__FilterDatabase_2_1_1_1_1_1_1_1_1_1_1_1_1_1_1_1_1_1">#REF!</definedName>
    <definedName name="Excel_BuiltIn__FilterDatabase_2_1_1_1_1_1_1_1_1_1_1_1_1_1_1_1_1_1_1" localSheetId="7">#REF!</definedName>
    <definedName name="Excel_BuiltIn__FilterDatabase_2_1_1_1_1_1_1_1_1_1_1_1_1_1_1_1_1_1_1">#REF!</definedName>
    <definedName name="Excel_BuiltIn__FilterDatabase_2_1_1_1_1_1_1_1_1_1_1_1_1_1_1_1_1_1_1_1" localSheetId="7">#REF!</definedName>
    <definedName name="Excel_BuiltIn__FilterDatabase_2_1_1_1_1_1_1_1_1_1_1_1_1_1_1_1_1_1_1_1">#REF!</definedName>
    <definedName name="Excel_BuiltIn__FilterDatabase_2_1_1_1_1_1_1_1_1_1_1_1_1_1_1_1_1_1_1_1_1" localSheetId="7">#REF!</definedName>
    <definedName name="Excel_BuiltIn__FilterDatabase_2_1_1_1_1_1_1_1_1_1_1_1_1_1_1_1_1_1_1_1_1">#REF!</definedName>
    <definedName name="Excel_BuiltIn__FilterDatabase_2_1_1_1_1_1_1_1_1_1_1_1_1_1_1_1_1_1_1_1_1_1" localSheetId="7">#REF!</definedName>
    <definedName name="Excel_BuiltIn__FilterDatabase_2_1_1_1_1_1_1_1_1_1_1_1_1_1_1_1_1_1_1_1_1_1">#REF!</definedName>
    <definedName name="Excel_BuiltIn__FilterDatabase_2_1_1_1_1_1_1_1_1_1_1_1_1_1_1_1_1_1_1_1_1_1_1" localSheetId="7">#REF!</definedName>
    <definedName name="Excel_BuiltIn__FilterDatabase_2_1_1_1_1_1_1_1_1_1_1_1_1_1_1_1_1_1_1_1_1_1_1">#REF!</definedName>
    <definedName name="Excel_BuiltIn__FilterDatabase_2_1_1_1_1_1_1_1_1_1_1_1_1_1_1_1_1_1_1_1_1_1_1_1" localSheetId="7">#REF!</definedName>
    <definedName name="Excel_BuiltIn__FilterDatabase_2_1_1_1_1_1_1_1_1_1_1_1_1_1_1_1_1_1_1_1_1_1_1_1">#REF!</definedName>
    <definedName name="Excel_BuiltIn__FilterDatabase_2_2" localSheetId="7">#REF!</definedName>
    <definedName name="Excel_BuiltIn__FilterDatabase_2_2">#REF!</definedName>
    <definedName name="Excel_BuiltIn__FilterDatabase_3_1" localSheetId="7">#REF!</definedName>
    <definedName name="Excel_BuiltIn__FilterDatabase_3_1">#REF!</definedName>
    <definedName name="Excel_BuiltIn__FilterDatabase_3_1_1" localSheetId="7">#REF!</definedName>
    <definedName name="Excel_BuiltIn__FilterDatabase_3_1_1">#REF!</definedName>
    <definedName name="ExternalData_1" localSheetId="2" hidden="1">'1225'!$A$1:$AC$185</definedName>
    <definedName name="ExternalData_1" localSheetId="1" hidden="1">'1328'!$A$1:$L$7708</definedName>
    <definedName name="ExternalData_1" localSheetId="4" hidden="1">'1498'!$A$1:$AK$98</definedName>
    <definedName name="ExternalData_1" localSheetId="3" hidden="1">Merge1!$A$1:$U$92</definedName>
    <definedName name="ExternalData_1" localSheetId="6" hidden="1">Merge2!$A$1:$W$60</definedName>
    <definedName name="ExternalData_1" localSheetId="9" hidden="1">Лист2!$A$1:$AC$85</definedName>
    <definedName name="Loc">[1]Location!$A$2:$A$34</definedName>
    <definedName name="Location" localSheetId="7">[2]Location!$A$2:$A$34</definedName>
    <definedName name="Location">[2]Location!$A$2:$A$34</definedName>
    <definedName name="LPN">#REF!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0" i="15" l="1"/>
  <c r="C70" i="15"/>
  <c r="D70" i="15"/>
  <c r="X70" i="15"/>
  <c r="E70" i="15"/>
  <c r="Q70" i="15"/>
  <c r="R70" i="15"/>
  <c r="S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" i="15"/>
  <c r="A2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A70" i="15"/>
  <c r="AB70" i="15"/>
  <c r="T70" i="15"/>
  <c r="U70" i="15"/>
  <c r="C71" i="15"/>
  <c r="D71" i="15"/>
  <c r="X71" i="15"/>
  <c r="E71" i="15"/>
  <c r="Q71" i="15"/>
  <c r="R71" i="15"/>
  <c r="S71" i="15"/>
  <c r="AA71" i="15"/>
  <c r="AB71" i="15"/>
  <c r="T71" i="15"/>
  <c r="U71" i="15"/>
  <c r="C72" i="15"/>
  <c r="D72" i="15"/>
  <c r="X72" i="15"/>
  <c r="E72" i="15"/>
  <c r="Q72" i="15"/>
  <c r="R72" i="15"/>
  <c r="S72" i="15"/>
  <c r="AA72" i="15"/>
  <c r="AB72" i="15"/>
  <c r="T72" i="15"/>
  <c r="U72" i="15"/>
  <c r="C73" i="15"/>
  <c r="D73" i="15"/>
  <c r="X73" i="15"/>
  <c r="E73" i="15"/>
  <c r="Q73" i="15"/>
  <c r="R73" i="15"/>
  <c r="S73" i="15"/>
  <c r="AA73" i="15"/>
  <c r="AB73" i="15"/>
  <c r="T73" i="15"/>
  <c r="U73" i="15"/>
  <c r="C74" i="15"/>
  <c r="D74" i="15"/>
  <c r="X74" i="15"/>
  <c r="E74" i="15"/>
  <c r="Q74" i="15"/>
  <c r="R74" i="15"/>
  <c r="S74" i="15"/>
  <c r="AA74" i="15"/>
  <c r="AB74" i="15"/>
  <c r="T74" i="15"/>
  <c r="U74" i="15"/>
  <c r="C75" i="15"/>
  <c r="D75" i="15"/>
  <c r="X75" i="15"/>
  <c r="E75" i="15"/>
  <c r="Q75" i="15"/>
  <c r="R75" i="15"/>
  <c r="S75" i="15"/>
  <c r="AA75" i="15"/>
  <c r="AB75" i="15"/>
  <c r="T75" i="15"/>
  <c r="U75" i="15"/>
  <c r="C76" i="15"/>
  <c r="D76" i="15"/>
  <c r="X76" i="15"/>
  <c r="E76" i="15"/>
  <c r="Q76" i="15"/>
  <c r="R76" i="15"/>
  <c r="S76" i="15"/>
  <c r="AA76" i="15"/>
  <c r="AB76" i="15"/>
  <c r="T76" i="15"/>
  <c r="U76" i="15"/>
  <c r="C77" i="15"/>
  <c r="D77" i="15"/>
  <c r="X77" i="15"/>
  <c r="E77" i="15"/>
  <c r="Q77" i="15"/>
  <c r="R77" i="15"/>
  <c r="S77" i="15"/>
  <c r="AA77" i="15"/>
  <c r="AB77" i="15"/>
  <c r="T77" i="15"/>
  <c r="U77" i="15"/>
  <c r="C78" i="15"/>
  <c r="D78" i="15"/>
  <c r="X78" i="15"/>
  <c r="E78" i="15"/>
  <c r="Q78" i="15"/>
  <c r="R78" i="15"/>
  <c r="S78" i="15"/>
  <c r="AA78" i="15"/>
  <c r="AB78" i="15"/>
  <c r="T78" i="15"/>
  <c r="U78" i="15"/>
  <c r="C79" i="15"/>
  <c r="D79" i="15"/>
  <c r="X79" i="15"/>
  <c r="E79" i="15"/>
  <c r="Q79" i="15"/>
  <c r="R79" i="15"/>
  <c r="S79" i="15"/>
  <c r="AA79" i="15"/>
  <c r="AB79" i="15"/>
  <c r="T79" i="15"/>
  <c r="U79" i="15"/>
  <c r="C80" i="15"/>
  <c r="D80" i="15"/>
  <c r="X80" i="15"/>
  <c r="E80" i="15"/>
  <c r="Q80" i="15"/>
  <c r="R80" i="15"/>
  <c r="S80" i="15"/>
  <c r="AA80" i="15"/>
  <c r="AB80" i="15"/>
  <c r="T80" i="15"/>
  <c r="U80" i="15"/>
  <c r="C81" i="15"/>
  <c r="D81" i="15"/>
  <c r="X81" i="15"/>
  <c r="E81" i="15"/>
  <c r="Q81" i="15"/>
  <c r="R81" i="15"/>
  <c r="S81" i="15"/>
  <c r="AA81" i="15"/>
  <c r="AB81" i="15"/>
  <c r="T81" i="15"/>
  <c r="U81" i="15"/>
  <c r="C82" i="15"/>
  <c r="D82" i="15"/>
  <c r="X82" i="15"/>
  <c r="E82" i="15"/>
  <c r="Q82" i="15"/>
  <c r="R82" i="15"/>
  <c r="S82" i="15"/>
  <c r="AA82" i="15"/>
  <c r="AB82" i="15"/>
  <c r="T82" i="15"/>
  <c r="U82" i="15"/>
  <c r="C83" i="15"/>
  <c r="D83" i="15"/>
  <c r="X83" i="15"/>
  <c r="E83" i="15"/>
  <c r="Q83" i="15"/>
  <c r="R83" i="15"/>
  <c r="S83" i="15"/>
  <c r="AA83" i="15"/>
  <c r="AB83" i="15"/>
  <c r="T83" i="15"/>
  <c r="U83" i="15"/>
  <c r="C84" i="15"/>
  <c r="D84" i="15"/>
  <c r="X84" i="15"/>
  <c r="E84" i="15"/>
  <c r="Q84" i="15"/>
  <c r="R84" i="15"/>
  <c r="S84" i="15"/>
  <c r="AA84" i="15"/>
  <c r="AB84" i="15"/>
  <c r="T84" i="15"/>
  <c r="U84" i="15"/>
  <c r="C85" i="15"/>
  <c r="D85" i="15"/>
  <c r="X85" i="15"/>
  <c r="E85" i="15"/>
  <c r="X16" i="13"/>
  <c r="Q85" i="15"/>
  <c r="R85" i="15"/>
  <c r="S85" i="15"/>
  <c r="AA85" i="15"/>
  <c r="AB85" i="15"/>
  <c r="T85" i="15"/>
  <c r="U85" i="15"/>
  <c r="C86" i="15"/>
  <c r="D86" i="15"/>
  <c r="X86" i="15"/>
  <c r="E86" i="15"/>
  <c r="Q86" i="15"/>
  <c r="R86" i="15"/>
  <c r="S86" i="15"/>
  <c r="AA86" i="15"/>
  <c r="AB86" i="15"/>
  <c r="T86" i="15"/>
  <c r="U86" i="15"/>
  <c r="C87" i="15"/>
  <c r="D87" i="15"/>
  <c r="X87" i="15"/>
  <c r="E87" i="15"/>
  <c r="Q87" i="15"/>
  <c r="R87" i="15"/>
  <c r="S87" i="15"/>
  <c r="AA87" i="15"/>
  <c r="AB87" i="15"/>
  <c r="T87" i="15"/>
  <c r="U87" i="15"/>
  <c r="C88" i="15"/>
  <c r="D88" i="15"/>
  <c r="X88" i="15"/>
  <c r="E88" i="15"/>
  <c r="Q88" i="15"/>
  <c r="R88" i="15"/>
  <c r="S88" i="15"/>
  <c r="AA88" i="15"/>
  <c r="AB88" i="15"/>
  <c r="T88" i="15"/>
  <c r="U88" i="15"/>
  <c r="C89" i="15"/>
  <c r="D89" i="15"/>
  <c r="X89" i="15"/>
  <c r="E89" i="15"/>
  <c r="X42" i="13"/>
  <c r="Q89" i="15"/>
  <c r="R89" i="15"/>
  <c r="S89" i="15"/>
  <c r="AA89" i="15"/>
  <c r="AB89" i="15"/>
  <c r="T89" i="15"/>
  <c r="U89" i="15"/>
  <c r="C90" i="15"/>
  <c r="D90" i="15"/>
  <c r="X90" i="15"/>
  <c r="E90" i="15"/>
  <c r="Q90" i="15"/>
  <c r="R90" i="15"/>
  <c r="S90" i="15"/>
  <c r="AA90" i="15"/>
  <c r="AB90" i="15"/>
  <c r="T90" i="15"/>
  <c r="U90" i="15"/>
  <c r="C91" i="15"/>
  <c r="D91" i="15"/>
  <c r="X91" i="15"/>
  <c r="E91" i="15"/>
  <c r="X51" i="13"/>
  <c r="Q91" i="15"/>
  <c r="R91" i="15"/>
  <c r="S91" i="15"/>
  <c r="AA91" i="15"/>
  <c r="AB91" i="15"/>
  <c r="T91" i="15"/>
  <c r="U91" i="15"/>
  <c r="C92" i="15"/>
  <c r="D92" i="15"/>
  <c r="X92" i="15"/>
  <c r="E92" i="15"/>
  <c r="X48" i="13"/>
  <c r="Q92" i="15"/>
  <c r="R92" i="15"/>
  <c r="S92" i="15"/>
  <c r="AA92" i="15"/>
  <c r="AB92" i="15"/>
  <c r="T92" i="15"/>
  <c r="U92" i="15"/>
  <c r="C93" i="15"/>
  <c r="D93" i="15"/>
  <c r="X93" i="15"/>
  <c r="E93" i="15"/>
  <c r="X49" i="13"/>
  <c r="Q93" i="15"/>
  <c r="R93" i="15"/>
  <c r="S93" i="15"/>
  <c r="AA93" i="15"/>
  <c r="AB93" i="15"/>
  <c r="T93" i="15"/>
  <c r="U93" i="15"/>
  <c r="C94" i="15"/>
  <c r="D94" i="15"/>
  <c r="X94" i="15"/>
  <c r="E94" i="15"/>
  <c r="Q94" i="15"/>
  <c r="R94" i="15"/>
  <c r="S94" i="15"/>
  <c r="AA94" i="15"/>
  <c r="AB94" i="15"/>
  <c r="T94" i="15"/>
  <c r="U94" i="15"/>
  <c r="C95" i="15"/>
  <c r="D95" i="15"/>
  <c r="X95" i="15"/>
  <c r="E95" i="15"/>
  <c r="Q95" i="15"/>
  <c r="R95" i="15"/>
  <c r="S95" i="15"/>
  <c r="AA95" i="15"/>
  <c r="AB95" i="15"/>
  <c r="T95" i="15"/>
  <c r="U95" i="15"/>
  <c r="C96" i="15"/>
  <c r="D96" i="15"/>
  <c r="X96" i="15"/>
  <c r="E96" i="15"/>
  <c r="Q96" i="15"/>
  <c r="R96" i="15"/>
  <c r="S96" i="15"/>
  <c r="AA96" i="15"/>
  <c r="AB96" i="15"/>
  <c r="T96" i="15"/>
  <c r="U96" i="15"/>
  <c r="C97" i="15"/>
  <c r="D97" i="15"/>
  <c r="X97" i="15"/>
  <c r="E97" i="15"/>
  <c r="Q97" i="15"/>
  <c r="R97" i="15"/>
  <c r="S97" i="15"/>
  <c r="AA97" i="15"/>
  <c r="AB97" i="15"/>
  <c r="T97" i="15"/>
  <c r="U97" i="15"/>
  <c r="C98" i="15"/>
  <c r="D98" i="15"/>
  <c r="X98" i="15"/>
  <c r="E98" i="15"/>
  <c r="Q98" i="15"/>
  <c r="R98" i="15"/>
  <c r="S98" i="15"/>
  <c r="AA98" i="15"/>
  <c r="AB98" i="15"/>
  <c r="T98" i="15"/>
  <c r="U98" i="15"/>
  <c r="C99" i="15"/>
  <c r="D99" i="15"/>
  <c r="X99" i="15"/>
  <c r="E99" i="15"/>
  <c r="Q99" i="15"/>
  <c r="R99" i="15"/>
  <c r="S99" i="15"/>
  <c r="AA99" i="15"/>
  <c r="AB99" i="15"/>
  <c r="T99" i="15"/>
  <c r="U99" i="15"/>
  <c r="C100" i="15"/>
  <c r="D100" i="15"/>
  <c r="X100" i="15"/>
  <c r="E100" i="15"/>
  <c r="Q100" i="15"/>
  <c r="R100" i="15"/>
  <c r="S100" i="15"/>
  <c r="AA100" i="15"/>
  <c r="AB100" i="15"/>
  <c r="T100" i="15"/>
  <c r="U100" i="15"/>
  <c r="C101" i="15"/>
  <c r="D101" i="15"/>
  <c r="X101" i="15"/>
  <c r="E101" i="15"/>
  <c r="X52" i="13"/>
  <c r="Q101" i="15"/>
  <c r="R101" i="15"/>
  <c r="S101" i="15"/>
  <c r="AA101" i="15"/>
  <c r="AB101" i="15"/>
  <c r="T101" i="15"/>
  <c r="U101" i="15"/>
  <c r="C102" i="15"/>
  <c r="D102" i="15"/>
  <c r="X102" i="15"/>
  <c r="E102" i="15"/>
  <c r="Q102" i="15"/>
  <c r="R102" i="15"/>
  <c r="S102" i="15"/>
  <c r="AA102" i="15"/>
  <c r="AB102" i="15"/>
  <c r="T102" i="15"/>
  <c r="U102" i="15"/>
  <c r="C103" i="15"/>
  <c r="D103" i="15"/>
  <c r="X103" i="15"/>
  <c r="E103" i="15"/>
  <c r="Q103" i="15"/>
  <c r="R103" i="15"/>
  <c r="S103" i="15"/>
  <c r="AA103" i="15"/>
  <c r="AB103" i="15"/>
  <c r="T103" i="15"/>
  <c r="U103" i="15"/>
  <c r="C104" i="15"/>
  <c r="D104" i="15"/>
  <c r="X104" i="15"/>
  <c r="E104" i="15"/>
  <c r="Q104" i="15"/>
  <c r="R104" i="15"/>
  <c r="S104" i="15"/>
  <c r="AA104" i="15"/>
  <c r="AB104" i="15"/>
  <c r="T104" i="15"/>
  <c r="U104" i="15"/>
  <c r="C105" i="15"/>
  <c r="D105" i="15"/>
  <c r="X105" i="15"/>
  <c r="E105" i="15"/>
  <c r="Q105" i="15"/>
  <c r="R105" i="15"/>
  <c r="S105" i="15"/>
  <c r="AA105" i="15"/>
  <c r="AB105" i="15"/>
  <c r="T105" i="15"/>
  <c r="U105" i="15"/>
  <c r="C106" i="15"/>
  <c r="D106" i="15"/>
  <c r="X106" i="15"/>
  <c r="E106" i="15"/>
  <c r="Q106" i="15"/>
  <c r="R106" i="15"/>
  <c r="S106" i="15"/>
  <c r="AA106" i="15"/>
  <c r="AB106" i="15"/>
  <c r="T106" i="15"/>
  <c r="U106" i="15"/>
  <c r="C107" i="15"/>
  <c r="D107" i="15"/>
  <c r="X107" i="15"/>
  <c r="E107" i="15"/>
  <c r="Q107" i="15"/>
  <c r="R107" i="15"/>
  <c r="S107" i="15"/>
  <c r="AA107" i="15"/>
  <c r="AB107" i="15"/>
  <c r="T107" i="15"/>
  <c r="U107" i="15"/>
  <c r="C108" i="15"/>
  <c r="D108" i="15"/>
  <c r="X108" i="15"/>
  <c r="E108" i="15"/>
  <c r="Q108" i="15"/>
  <c r="R108" i="15"/>
  <c r="S108" i="15"/>
  <c r="AA108" i="15"/>
  <c r="AB108" i="15"/>
  <c r="T108" i="15"/>
  <c r="U108" i="15"/>
  <c r="C109" i="15"/>
  <c r="D109" i="15"/>
  <c r="X109" i="15"/>
  <c r="E109" i="15"/>
  <c r="Q109" i="15"/>
  <c r="R109" i="15"/>
  <c r="S109" i="15"/>
  <c r="AA109" i="15"/>
  <c r="AB109" i="15"/>
  <c r="T109" i="15"/>
  <c r="U109" i="15"/>
  <c r="C110" i="15"/>
  <c r="D110" i="15"/>
  <c r="X110" i="15"/>
  <c r="E110" i="15"/>
  <c r="Q110" i="15"/>
  <c r="R110" i="15"/>
  <c r="S110" i="15"/>
  <c r="AA110" i="15"/>
  <c r="AB110" i="15"/>
  <c r="T110" i="15"/>
  <c r="U110" i="15"/>
  <c r="C111" i="15"/>
  <c r="D111" i="15"/>
  <c r="X111" i="15"/>
  <c r="E111" i="15"/>
  <c r="Q111" i="15"/>
  <c r="R111" i="15"/>
  <c r="S111" i="15"/>
  <c r="AA111" i="15"/>
  <c r="AB111" i="15"/>
  <c r="T111" i="15"/>
  <c r="U111" i="15"/>
  <c r="C112" i="15"/>
  <c r="D112" i="15"/>
  <c r="X112" i="15"/>
  <c r="E112" i="15"/>
  <c r="Q112" i="15"/>
  <c r="R112" i="15"/>
  <c r="S112" i="15"/>
  <c r="AA112" i="15"/>
  <c r="AB112" i="15"/>
  <c r="T112" i="15"/>
  <c r="U112" i="15"/>
  <c r="C113" i="15"/>
  <c r="D113" i="15"/>
  <c r="X113" i="15"/>
  <c r="E113" i="15"/>
  <c r="Q113" i="15"/>
  <c r="R113" i="15"/>
  <c r="S113" i="15"/>
  <c r="AA113" i="15"/>
  <c r="AB113" i="15"/>
  <c r="T113" i="15"/>
  <c r="U113" i="15"/>
  <c r="C114" i="15"/>
  <c r="D114" i="15"/>
  <c r="X114" i="15"/>
  <c r="E114" i="15"/>
  <c r="Q114" i="15"/>
  <c r="R114" i="15"/>
  <c r="S114" i="15"/>
  <c r="AA114" i="15"/>
  <c r="AB114" i="15"/>
  <c r="T114" i="15"/>
  <c r="U114" i="15"/>
  <c r="C115" i="15"/>
  <c r="D115" i="15"/>
  <c r="X115" i="15"/>
  <c r="E115" i="15"/>
  <c r="Q115" i="15"/>
  <c r="R115" i="15"/>
  <c r="S115" i="15"/>
  <c r="AA115" i="15"/>
  <c r="AB115" i="15"/>
  <c r="T115" i="15"/>
  <c r="U115" i="15"/>
  <c r="C116" i="15"/>
  <c r="D116" i="15"/>
  <c r="X116" i="15"/>
  <c r="E116" i="15"/>
  <c r="Q116" i="15"/>
  <c r="R116" i="15"/>
  <c r="S116" i="15"/>
  <c r="AA116" i="15"/>
  <c r="AB116" i="15"/>
  <c r="T116" i="15"/>
  <c r="U116" i="15"/>
  <c r="C117" i="15"/>
  <c r="D117" i="15"/>
  <c r="X117" i="15"/>
  <c r="E117" i="15"/>
  <c r="Q117" i="15"/>
  <c r="R117" i="15"/>
  <c r="S117" i="15"/>
  <c r="AA117" i="15"/>
  <c r="AB117" i="15"/>
  <c r="T117" i="15"/>
  <c r="U117" i="15"/>
  <c r="C118" i="15"/>
  <c r="D118" i="15"/>
  <c r="X118" i="15"/>
  <c r="E118" i="15"/>
  <c r="Q118" i="15"/>
  <c r="R118" i="15"/>
  <c r="S118" i="15"/>
  <c r="AA118" i="15"/>
  <c r="AB118" i="15"/>
  <c r="T118" i="15"/>
  <c r="U118" i="15"/>
  <c r="C119" i="15"/>
  <c r="D119" i="15"/>
  <c r="X119" i="15"/>
  <c r="E119" i="15"/>
  <c r="Q119" i="15"/>
  <c r="R119" i="15"/>
  <c r="S119" i="15"/>
  <c r="AA119" i="15"/>
  <c r="AB119" i="15"/>
  <c r="T119" i="15"/>
  <c r="U119" i="15"/>
  <c r="C120" i="15"/>
  <c r="D120" i="15"/>
  <c r="X120" i="15"/>
  <c r="E120" i="15"/>
  <c r="Q120" i="15"/>
  <c r="R120" i="15"/>
  <c r="S120" i="15"/>
  <c r="AA120" i="15"/>
  <c r="AB120" i="15"/>
  <c r="T120" i="15"/>
  <c r="U120" i="15"/>
  <c r="C2" i="15"/>
  <c r="D2" i="15"/>
  <c r="Q2" i="15"/>
  <c r="X2" i="15"/>
  <c r="R2" i="15"/>
  <c r="S2" i="15"/>
  <c r="U2" i="15"/>
  <c r="E2" i="15"/>
  <c r="C3" i="15"/>
  <c r="D3" i="15"/>
  <c r="X4" i="13"/>
  <c r="Q3" i="15"/>
  <c r="X3" i="15"/>
  <c r="R3" i="15"/>
  <c r="S3" i="15"/>
  <c r="U3" i="15"/>
  <c r="E3" i="15"/>
  <c r="C4" i="15"/>
  <c r="D4" i="15"/>
  <c r="Q4" i="15"/>
  <c r="X4" i="15"/>
  <c r="R4" i="15"/>
  <c r="S4" i="15"/>
  <c r="U4" i="15"/>
  <c r="E4" i="15"/>
  <c r="C5" i="15"/>
  <c r="D5" i="15"/>
  <c r="X2" i="13"/>
  <c r="Q5" i="15"/>
  <c r="X5" i="15"/>
  <c r="R5" i="15"/>
  <c r="S5" i="15"/>
  <c r="U5" i="15"/>
  <c r="E5" i="15"/>
  <c r="C6" i="15"/>
  <c r="D6" i="15"/>
  <c r="Q6" i="15"/>
  <c r="X6" i="15"/>
  <c r="R6" i="15"/>
  <c r="S6" i="15"/>
  <c r="U6" i="15"/>
  <c r="E6" i="15"/>
  <c r="C7" i="15"/>
  <c r="D7" i="15"/>
  <c r="X28" i="13"/>
  <c r="X8" i="13"/>
  <c r="Q7" i="15"/>
  <c r="X7" i="15"/>
  <c r="R7" i="15"/>
  <c r="S7" i="15"/>
  <c r="U7" i="15"/>
  <c r="E7" i="15"/>
  <c r="C8" i="15"/>
  <c r="D8" i="15"/>
  <c r="X9" i="13"/>
  <c r="Q8" i="15"/>
  <c r="X8" i="15"/>
  <c r="R8" i="15"/>
  <c r="S8" i="15"/>
  <c r="U8" i="15"/>
  <c r="E8" i="15"/>
  <c r="C9" i="15"/>
  <c r="D9" i="15"/>
  <c r="Q9" i="15"/>
  <c r="X9" i="15"/>
  <c r="R9" i="15"/>
  <c r="S9" i="15"/>
  <c r="U9" i="15"/>
  <c r="E9" i="15"/>
  <c r="C10" i="15"/>
  <c r="D10" i="15"/>
  <c r="Q10" i="15"/>
  <c r="X10" i="15"/>
  <c r="R10" i="15"/>
  <c r="S10" i="15"/>
  <c r="U10" i="15"/>
  <c r="E10" i="15"/>
  <c r="C11" i="15"/>
  <c r="D11" i="15"/>
  <c r="Q11" i="15"/>
  <c r="X11" i="15"/>
  <c r="R11" i="15"/>
  <c r="S11" i="15"/>
  <c r="U11" i="15"/>
  <c r="E11" i="15"/>
  <c r="C12" i="15"/>
  <c r="D12" i="15"/>
  <c r="Q12" i="15"/>
  <c r="X12" i="15"/>
  <c r="R12" i="15"/>
  <c r="S12" i="15"/>
  <c r="U12" i="15"/>
  <c r="E12" i="15"/>
  <c r="C13" i="15"/>
  <c r="D13" i="15"/>
  <c r="Q13" i="15"/>
  <c r="X13" i="15"/>
  <c r="R13" i="15"/>
  <c r="S13" i="15"/>
  <c r="U13" i="15"/>
  <c r="E13" i="15"/>
  <c r="C14" i="15"/>
  <c r="D14" i="15"/>
  <c r="Q14" i="15"/>
  <c r="X14" i="15"/>
  <c r="R14" i="15"/>
  <c r="S14" i="15"/>
  <c r="U14" i="15"/>
  <c r="E14" i="15"/>
  <c r="C15" i="15"/>
  <c r="D15" i="15"/>
  <c r="Q15" i="15"/>
  <c r="X15" i="15"/>
  <c r="R15" i="15"/>
  <c r="S15" i="15"/>
  <c r="U15" i="15"/>
  <c r="E15" i="15"/>
  <c r="C16" i="15"/>
  <c r="D16" i="15"/>
  <c r="Q16" i="15"/>
  <c r="X16" i="15"/>
  <c r="R16" i="15"/>
  <c r="S16" i="15"/>
  <c r="U16" i="15"/>
  <c r="E16" i="15"/>
  <c r="C17" i="15"/>
  <c r="D17" i="15"/>
  <c r="Q17" i="15"/>
  <c r="X17" i="15"/>
  <c r="R17" i="15"/>
  <c r="S17" i="15"/>
  <c r="U17" i="15"/>
  <c r="E17" i="15"/>
  <c r="C18" i="15"/>
  <c r="D18" i="15"/>
  <c r="Q18" i="15"/>
  <c r="X18" i="15"/>
  <c r="R18" i="15"/>
  <c r="S18" i="15"/>
  <c r="U18" i="15"/>
  <c r="E18" i="15"/>
  <c r="C19" i="15"/>
  <c r="D19" i="15"/>
  <c r="Q19" i="15"/>
  <c r="X19" i="15"/>
  <c r="R19" i="15"/>
  <c r="S19" i="15"/>
  <c r="U19" i="15"/>
  <c r="E19" i="15"/>
  <c r="C20" i="15"/>
  <c r="D20" i="15"/>
  <c r="Q20" i="15"/>
  <c r="X20" i="15"/>
  <c r="R20" i="15"/>
  <c r="S20" i="15"/>
  <c r="U20" i="15"/>
  <c r="E20" i="15"/>
  <c r="C21" i="15"/>
  <c r="D21" i="15"/>
  <c r="Q21" i="15"/>
  <c r="X21" i="15"/>
  <c r="R21" i="15"/>
  <c r="S21" i="15"/>
  <c r="U21" i="15"/>
  <c r="E21" i="15"/>
  <c r="C22" i="15"/>
  <c r="D22" i="15"/>
  <c r="Q22" i="15"/>
  <c r="X22" i="15"/>
  <c r="R22" i="15"/>
  <c r="S22" i="15"/>
  <c r="U22" i="15"/>
  <c r="E22" i="15"/>
  <c r="C23" i="15"/>
  <c r="D23" i="15"/>
  <c r="Q23" i="15"/>
  <c r="X23" i="15"/>
  <c r="R23" i="15"/>
  <c r="S23" i="15"/>
  <c r="U23" i="15"/>
  <c r="E23" i="15"/>
  <c r="C24" i="15"/>
  <c r="D24" i="15"/>
  <c r="Q24" i="15"/>
  <c r="X24" i="15"/>
  <c r="R24" i="15"/>
  <c r="S24" i="15"/>
  <c r="U24" i="15"/>
  <c r="E24" i="15"/>
  <c r="C25" i="15"/>
  <c r="D25" i="15"/>
  <c r="Q25" i="15"/>
  <c r="X25" i="15"/>
  <c r="R25" i="15"/>
  <c r="S25" i="15"/>
  <c r="U25" i="15"/>
  <c r="E25" i="15"/>
  <c r="C26" i="15"/>
  <c r="D26" i="15"/>
  <c r="Q26" i="15"/>
  <c r="X26" i="15"/>
  <c r="R26" i="15"/>
  <c r="S26" i="15"/>
  <c r="U26" i="15"/>
  <c r="E26" i="15"/>
  <c r="C27" i="15"/>
  <c r="D27" i="15"/>
  <c r="Q27" i="15"/>
  <c r="X27" i="15"/>
  <c r="R27" i="15"/>
  <c r="S27" i="15"/>
  <c r="U27" i="15"/>
  <c r="E27" i="15"/>
  <c r="C28" i="15"/>
  <c r="D28" i="15"/>
  <c r="Q28" i="15"/>
  <c r="X28" i="15"/>
  <c r="R28" i="15"/>
  <c r="S28" i="15"/>
  <c r="U28" i="15"/>
  <c r="E28" i="15"/>
  <c r="C29" i="15"/>
  <c r="D29" i="15"/>
  <c r="Q29" i="15"/>
  <c r="X29" i="15"/>
  <c r="R29" i="15"/>
  <c r="S29" i="15"/>
  <c r="U29" i="15"/>
  <c r="E29" i="15"/>
  <c r="C30" i="15"/>
  <c r="D30" i="15"/>
  <c r="Q30" i="15"/>
  <c r="X30" i="15"/>
  <c r="R30" i="15"/>
  <c r="S30" i="15"/>
  <c r="U30" i="15"/>
  <c r="E30" i="15"/>
  <c r="C31" i="15"/>
  <c r="D31" i="15"/>
  <c r="Q31" i="15"/>
  <c r="X31" i="15"/>
  <c r="R31" i="15"/>
  <c r="S31" i="15"/>
  <c r="U31" i="15"/>
  <c r="E31" i="15"/>
  <c r="C32" i="15"/>
  <c r="D32" i="15"/>
  <c r="Q32" i="15"/>
  <c r="X32" i="15"/>
  <c r="R32" i="15"/>
  <c r="S32" i="15"/>
  <c r="U32" i="15"/>
  <c r="E32" i="15"/>
  <c r="C33" i="15"/>
  <c r="D33" i="15"/>
  <c r="Q33" i="15"/>
  <c r="X33" i="15"/>
  <c r="R33" i="15"/>
  <c r="S33" i="15"/>
  <c r="U33" i="15"/>
  <c r="E33" i="15"/>
  <c r="C34" i="15"/>
  <c r="D34" i="15"/>
  <c r="Q34" i="15"/>
  <c r="X34" i="15"/>
  <c r="R34" i="15"/>
  <c r="S34" i="15"/>
  <c r="U34" i="15"/>
  <c r="E34" i="15"/>
  <c r="C35" i="15"/>
  <c r="D35" i="15"/>
  <c r="Q35" i="15"/>
  <c r="X35" i="15"/>
  <c r="R35" i="15"/>
  <c r="S35" i="15"/>
  <c r="U35" i="15"/>
  <c r="E35" i="15"/>
  <c r="C36" i="15"/>
  <c r="D36" i="15"/>
  <c r="Q36" i="15"/>
  <c r="X36" i="15"/>
  <c r="R36" i="15"/>
  <c r="S36" i="15"/>
  <c r="U36" i="15"/>
  <c r="E36" i="15"/>
  <c r="C37" i="15"/>
  <c r="D37" i="15"/>
  <c r="Q37" i="15"/>
  <c r="X37" i="15"/>
  <c r="R37" i="15"/>
  <c r="S37" i="15"/>
  <c r="U37" i="15"/>
  <c r="E37" i="15"/>
  <c r="C38" i="15"/>
  <c r="D38" i="15"/>
  <c r="X39" i="13"/>
  <c r="Q38" i="15"/>
  <c r="X38" i="15"/>
  <c r="R38" i="15"/>
  <c r="S38" i="15"/>
  <c r="U38" i="15"/>
  <c r="E38" i="15"/>
  <c r="C39" i="15"/>
  <c r="D39" i="15"/>
  <c r="Q39" i="15"/>
  <c r="X39" i="15"/>
  <c r="R39" i="15"/>
  <c r="S39" i="15"/>
  <c r="U39" i="15"/>
  <c r="E39" i="15"/>
  <c r="C40" i="15"/>
  <c r="D40" i="15"/>
  <c r="Q40" i="15"/>
  <c r="X40" i="15"/>
  <c r="R40" i="15"/>
  <c r="S40" i="15"/>
  <c r="U40" i="15"/>
  <c r="E40" i="15"/>
  <c r="C41" i="15"/>
  <c r="D41" i="15"/>
  <c r="Q41" i="15"/>
  <c r="X41" i="15"/>
  <c r="R41" i="15"/>
  <c r="S41" i="15"/>
  <c r="U41" i="15"/>
  <c r="E41" i="15"/>
  <c r="C42" i="15"/>
  <c r="D42" i="15"/>
  <c r="Q42" i="15"/>
  <c r="X42" i="15"/>
  <c r="R42" i="15"/>
  <c r="S42" i="15"/>
  <c r="U42" i="15"/>
  <c r="E42" i="15"/>
  <c r="C43" i="15"/>
  <c r="D43" i="15"/>
  <c r="Q43" i="15"/>
  <c r="X43" i="15"/>
  <c r="R43" i="15"/>
  <c r="S43" i="15"/>
  <c r="U43" i="15"/>
  <c r="E43" i="15"/>
  <c r="C44" i="15"/>
  <c r="D44" i="15"/>
  <c r="Q44" i="15"/>
  <c r="X44" i="15"/>
  <c r="R44" i="15"/>
  <c r="S44" i="15"/>
  <c r="U44" i="15"/>
  <c r="E44" i="15"/>
  <c r="C45" i="15"/>
  <c r="D45" i="15"/>
  <c r="Q45" i="15"/>
  <c r="X45" i="15"/>
  <c r="R45" i="15"/>
  <c r="S45" i="15"/>
  <c r="U45" i="15"/>
  <c r="E45" i="15"/>
  <c r="C46" i="15"/>
  <c r="D46" i="15"/>
  <c r="Q46" i="15"/>
  <c r="X46" i="15"/>
  <c r="R46" i="15"/>
  <c r="S46" i="15"/>
  <c r="U46" i="15"/>
  <c r="E46" i="15"/>
  <c r="C47" i="15"/>
  <c r="D47" i="15"/>
  <c r="Q47" i="15"/>
  <c r="X47" i="15"/>
  <c r="R47" i="15"/>
  <c r="S47" i="15"/>
  <c r="U47" i="15"/>
  <c r="E47" i="15"/>
  <c r="C48" i="15"/>
  <c r="D48" i="15"/>
  <c r="Q48" i="15"/>
  <c r="X48" i="15"/>
  <c r="R48" i="15"/>
  <c r="S48" i="15"/>
  <c r="U48" i="15"/>
  <c r="E48" i="15"/>
  <c r="C49" i="15"/>
  <c r="D49" i="15"/>
  <c r="Q49" i="15"/>
  <c r="X49" i="15"/>
  <c r="R49" i="15"/>
  <c r="S49" i="15"/>
  <c r="U49" i="15"/>
  <c r="E49" i="15"/>
  <c r="C50" i="15"/>
  <c r="D50" i="15"/>
  <c r="Q50" i="15"/>
  <c r="X50" i="15"/>
  <c r="R50" i="15"/>
  <c r="S50" i="15"/>
  <c r="U50" i="15"/>
  <c r="E50" i="15"/>
  <c r="C51" i="15"/>
  <c r="D51" i="15"/>
  <c r="Q51" i="15"/>
  <c r="X51" i="15"/>
  <c r="R51" i="15"/>
  <c r="S51" i="15"/>
  <c r="U51" i="15"/>
  <c r="E51" i="15"/>
  <c r="C52" i="15"/>
  <c r="D52" i="15"/>
  <c r="Q52" i="15"/>
  <c r="X52" i="15"/>
  <c r="R52" i="15"/>
  <c r="S52" i="15"/>
  <c r="U52" i="15"/>
  <c r="E52" i="15"/>
  <c r="C53" i="15"/>
  <c r="D53" i="15"/>
  <c r="Q53" i="15"/>
  <c r="X53" i="15"/>
  <c r="R53" i="15"/>
  <c r="S53" i="15"/>
  <c r="U53" i="15"/>
  <c r="E53" i="15"/>
  <c r="C54" i="15"/>
  <c r="D54" i="15"/>
  <c r="Q54" i="15"/>
  <c r="X54" i="15"/>
  <c r="R54" i="15"/>
  <c r="S54" i="15"/>
  <c r="U54" i="15"/>
  <c r="E54" i="15"/>
  <c r="C55" i="15"/>
  <c r="D55" i="15"/>
  <c r="Q55" i="15"/>
  <c r="X55" i="15"/>
  <c r="R55" i="15"/>
  <c r="S55" i="15"/>
  <c r="U55" i="15"/>
  <c r="E55" i="15"/>
  <c r="C56" i="15"/>
  <c r="D56" i="15"/>
  <c r="Q56" i="15"/>
  <c r="X56" i="15"/>
  <c r="R56" i="15"/>
  <c r="S56" i="15"/>
  <c r="U56" i="15"/>
  <c r="E56" i="15"/>
  <c r="C57" i="15"/>
  <c r="D57" i="15"/>
  <c r="Q57" i="15"/>
  <c r="X57" i="15"/>
  <c r="R57" i="15"/>
  <c r="S57" i="15"/>
  <c r="U57" i="15"/>
  <c r="E57" i="15"/>
  <c r="C58" i="15"/>
  <c r="D58" i="15"/>
  <c r="Q58" i="15"/>
  <c r="X58" i="15"/>
  <c r="R58" i="15"/>
  <c r="S58" i="15"/>
  <c r="U58" i="15"/>
  <c r="E58" i="15"/>
  <c r="C59" i="15"/>
  <c r="D59" i="15"/>
  <c r="Q59" i="15"/>
  <c r="X59" i="15"/>
  <c r="R59" i="15"/>
  <c r="S59" i="15"/>
  <c r="U59" i="15"/>
  <c r="E59" i="15"/>
  <c r="C60" i="15"/>
  <c r="D60" i="15"/>
  <c r="Q60" i="15"/>
  <c r="X60" i="15"/>
  <c r="R60" i="15"/>
  <c r="S60" i="15"/>
  <c r="U60" i="15"/>
  <c r="E60" i="15"/>
  <c r="C61" i="15"/>
  <c r="D61" i="15"/>
  <c r="Q61" i="15"/>
  <c r="X61" i="15"/>
  <c r="R61" i="15"/>
  <c r="S61" i="15"/>
  <c r="U61" i="15"/>
  <c r="E61" i="15"/>
  <c r="C62" i="15"/>
  <c r="D62" i="15"/>
  <c r="Q62" i="15"/>
  <c r="X62" i="15"/>
  <c r="R62" i="15"/>
  <c r="S62" i="15"/>
  <c r="U62" i="15"/>
  <c r="E62" i="15"/>
  <c r="C63" i="15"/>
  <c r="D63" i="15"/>
  <c r="Q63" i="15"/>
  <c r="X63" i="15"/>
  <c r="R63" i="15"/>
  <c r="S63" i="15"/>
  <c r="U63" i="15"/>
  <c r="E63" i="15"/>
  <c r="C64" i="15"/>
  <c r="D64" i="15"/>
  <c r="Q64" i="15"/>
  <c r="X64" i="15"/>
  <c r="R64" i="15"/>
  <c r="S64" i="15"/>
  <c r="U64" i="15"/>
  <c r="E64" i="15"/>
  <c r="C65" i="15"/>
  <c r="D65" i="15"/>
  <c r="Q65" i="15"/>
  <c r="X65" i="15"/>
  <c r="R65" i="15"/>
  <c r="S65" i="15"/>
  <c r="U65" i="15"/>
  <c r="E65" i="15"/>
  <c r="C66" i="15"/>
  <c r="D66" i="15"/>
  <c r="Q66" i="15"/>
  <c r="X66" i="15"/>
  <c r="R66" i="15"/>
  <c r="S66" i="15"/>
  <c r="U66" i="15"/>
  <c r="E66" i="15"/>
  <c r="C67" i="15"/>
  <c r="D67" i="15"/>
  <c r="Q67" i="15"/>
  <c r="X67" i="15"/>
  <c r="R67" i="15"/>
  <c r="S67" i="15"/>
  <c r="U67" i="15"/>
  <c r="E67" i="15"/>
  <c r="C68" i="15"/>
  <c r="D68" i="15"/>
  <c r="Q68" i="15"/>
  <c r="X68" i="15"/>
  <c r="R68" i="15"/>
  <c r="S68" i="15"/>
  <c r="U68" i="15"/>
  <c r="E68" i="15"/>
  <c r="C69" i="15"/>
  <c r="D69" i="15"/>
  <c r="Q69" i="15"/>
  <c r="X69" i="15"/>
  <c r="R69" i="15"/>
  <c r="S69" i="15"/>
  <c r="U69" i="15"/>
  <c r="E69" i="15"/>
  <c r="AA3" i="15"/>
  <c r="AB3" i="15"/>
  <c r="T3" i="15"/>
  <c r="U1" i="15"/>
  <c r="AA69" i="15"/>
  <c r="AB69" i="15"/>
  <c r="T69" i="15"/>
  <c r="AA63" i="15"/>
  <c r="AB63" i="15"/>
  <c r="T63" i="15"/>
  <c r="AA57" i="15"/>
  <c r="AB57" i="15"/>
  <c r="T57" i="15"/>
  <c r="AA51" i="15"/>
  <c r="AB51" i="15"/>
  <c r="T51" i="15"/>
  <c r="AA45" i="15"/>
  <c r="AB45" i="15"/>
  <c r="T45" i="15"/>
  <c r="AA39" i="15"/>
  <c r="AB39" i="15"/>
  <c r="T39" i="15"/>
  <c r="AA33" i="15"/>
  <c r="AB33" i="15"/>
  <c r="T33" i="15"/>
  <c r="AA30" i="15"/>
  <c r="AB30" i="15"/>
  <c r="T30" i="15"/>
  <c r="AA27" i="15"/>
  <c r="AB27" i="15"/>
  <c r="T27" i="15"/>
  <c r="AA24" i="15"/>
  <c r="AB24" i="15"/>
  <c r="T24" i="15"/>
  <c r="AA21" i="15"/>
  <c r="AB21" i="15"/>
  <c r="T21" i="15"/>
  <c r="AA18" i="15"/>
  <c r="AB18" i="15"/>
  <c r="T18" i="15"/>
  <c r="AA12" i="15"/>
  <c r="AB12" i="15"/>
  <c r="T12" i="15"/>
  <c r="AA6" i="15"/>
  <c r="AB6" i="15"/>
  <c r="T6" i="15"/>
  <c r="AA66" i="15"/>
  <c r="AB66" i="15"/>
  <c r="T66" i="15"/>
  <c r="AA60" i="15"/>
  <c r="AB60" i="15"/>
  <c r="T60" i="15"/>
  <c r="AA54" i="15"/>
  <c r="AB54" i="15"/>
  <c r="T54" i="15"/>
  <c r="AA48" i="15"/>
  <c r="AB48" i="15"/>
  <c r="T48" i="15"/>
  <c r="AA42" i="15"/>
  <c r="AB42" i="15"/>
  <c r="T42" i="15"/>
  <c r="AA36" i="15"/>
  <c r="AB36" i="15"/>
  <c r="T36" i="15"/>
  <c r="AA15" i="15"/>
  <c r="AB15" i="15"/>
  <c r="T15" i="15"/>
  <c r="AA9" i="15"/>
  <c r="AB9" i="15"/>
  <c r="T9" i="15"/>
  <c r="AA2" i="15"/>
  <c r="AB2" i="15"/>
  <c r="T2" i="15"/>
  <c r="AA5" i="15"/>
  <c r="AB5" i="15"/>
  <c r="T5" i="15"/>
  <c r="AA8" i="15"/>
  <c r="AB8" i="15"/>
  <c r="T8" i="15"/>
  <c r="AA11" i="15"/>
  <c r="AB11" i="15"/>
  <c r="T11" i="15"/>
  <c r="AA14" i="15"/>
  <c r="AB14" i="15"/>
  <c r="T14" i="15"/>
  <c r="AA17" i="15"/>
  <c r="AB17" i="15"/>
  <c r="T17" i="15"/>
  <c r="AA20" i="15"/>
  <c r="AB20" i="15"/>
  <c r="T20" i="15"/>
  <c r="AA23" i="15"/>
  <c r="AB23" i="15"/>
  <c r="T23" i="15"/>
  <c r="AA26" i="15"/>
  <c r="AB26" i="15"/>
  <c r="T26" i="15"/>
  <c r="AA29" i="15"/>
  <c r="AB29" i="15"/>
  <c r="T29" i="15"/>
  <c r="AA32" i="15"/>
  <c r="AB32" i="15"/>
  <c r="T32" i="15"/>
  <c r="AA35" i="15"/>
  <c r="AB35" i="15"/>
  <c r="T35" i="15"/>
  <c r="AA38" i="15"/>
  <c r="AB38" i="15"/>
  <c r="T38" i="15"/>
  <c r="AA41" i="15"/>
  <c r="AB41" i="15"/>
  <c r="T41" i="15"/>
  <c r="AA44" i="15"/>
  <c r="AB44" i="15"/>
  <c r="T44" i="15"/>
  <c r="AA47" i="15"/>
  <c r="AB47" i="15"/>
  <c r="T47" i="15"/>
  <c r="AA50" i="15"/>
  <c r="AB50" i="15"/>
  <c r="T50" i="15"/>
  <c r="AA53" i="15"/>
  <c r="AB53" i="15"/>
  <c r="T53" i="15"/>
  <c r="AA56" i="15"/>
  <c r="AB56" i="15"/>
  <c r="T56" i="15"/>
  <c r="AA59" i="15"/>
  <c r="AB59" i="15"/>
  <c r="T59" i="15"/>
  <c r="AA62" i="15"/>
  <c r="AB62" i="15"/>
  <c r="T62" i="15"/>
  <c r="AA65" i="15"/>
  <c r="AB65" i="15"/>
  <c r="T65" i="15"/>
  <c r="AA68" i="15"/>
  <c r="AB68" i="15"/>
  <c r="T68" i="15"/>
  <c r="AA19" i="15"/>
  <c r="AB19" i="15"/>
  <c r="T19" i="15"/>
  <c r="AA22" i="15"/>
  <c r="AB22" i="15"/>
  <c r="T22" i="15"/>
  <c r="AA34" i="15"/>
  <c r="AB34" i="15"/>
  <c r="T34" i="15"/>
  <c r="AA37" i="15"/>
  <c r="AB37" i="15"/>
  <c r="T37" i="15"/>
  <c r="AA40" i="15"/>
  <c r="AB40" i="15"/>
  <c r="T40" i="15"/>
  <c r="AA43" i="15"/>
  <c r="AB43" i="15"/>
  <c r="T43" i="15"/>
  <c r="AA46" i="15"/>
  <c r="AB46" i="15"/>
  <c r="T46" i="15"/>
  <c r="AA49" i="15"/>
  <c r="AB49" i="15"/>
  <c r="T49" i="15"/>
  <c r="AA52" i="15"/>
  <c r="AB52" i="15"/>
  <c r="T52" i="15"/>
  <c r="AA55" i="15"/>
  <c r="AB55" i="15"/>
  <c r="T55" i="15"/>
  <c r="AA58" i="15"/>
  <c r="AB58" i="15"/>
  <c r="T58" i="15"/>
  <c r="AA61" i="15"/>
  <c r="AB61" i="15"/>
  <c r="T61" i="15"/>
  <c r="AA64" i="15"/>
  <c r="AB64" i="15"/>
  <c r="T64" i="15"/>
  <c r="AA67" i="15"/>
  <c r="AB67" i="15"/>
  <c r="T67" i="15"/>
  <c r="AA4" i="15"/>
  <c r="AB4" i="15"/>
  <c r="T4" i="15"/>
  <c r="AA7" i="15"/>
  <c r="AB7" i="15"/>
  <c r="T7" i="15"/>
  <c r="AA10" i="15"/>
  <c r="AB10" i="15"/>
  <c r="T10" i="15"/>
  <c r="AA13" i="15"/>
  <c r="AB13" i="15"/>
  <c r="T13" i="15"/>
  <c r="AA16" i="15"/>
  <c r="AB16" i="15"/>
  <c r="T16" i="15"/>
  <c r="AA25" i="15"/>
  <c r="AB25" i="15"/>
  <c r="T25" i="15"/>
  <c r="AA28" i="15"/>
  <c r="AB28" i="15"/>
  <c r="T28" i="15"/>
  <c r="AA31" i="15"/>
  <c r="AB31" i="15"/>
  <c r="T31" i="15"/>
  <c r="Q1" i="15"/>
  <c r="S1" i="15"/>
  <c r="D1" i="15"/>
  <c r="X1" i="15"/>
  <c r="R1" i="15"/>
  <c r="C1" i="15"/>
  <c r="E1" i="15"/>
  <c r="AA1" i="15"/>
  <c r="AB1" i="15"/>
  <c r="T1" i="15"/>
</calcChain>
</file>

<file path=xl/connections.xml><?xml version="1.0" encoding="utf-8"?>
<connections xmlns="http://schemas.openxmlformats.org/spreadsheetml/2006/main">
  <connection id="1" keepAlive="1" name="Запрос — 1225" description="Соединение с запросом &quot;1225&quot; в книге." type="5" refreshedVersion="6" background="1" saveData="1">
    <dbPr connection="Provider=Microsoft.Mashup.OleDb.1;Data Source=$Workbook$;Location=1225;Extended Properties=&quot;&quot;" command="SELECT * FROM [1225]"/>
  </connection>
  <connection id="2" keepAlive="1" name="Запрос — 1328" description="Соединение с запросом &quot;1328&quot; в книге." type="5" refreshedVersion="6" background="1" saveData="1">
    <dbPr connection="Provider=Microsoft.Mashup.OleDb.1;Data Source=$Workbook$;Location=1328;Extended Properties=&quot;&quot;" command="SELECT * FROM [1328]"/>
  </connection>
  <connection id="3" keepAlive="1" name="Запрос — 1498" description="Соединение с запросом &quot;1498&quot; в книге." type="5" refreshedVersion="6" background="1" saveData="1">
    <dbPr connection="Provider=Microsoft.Mashup.OleDb.1;Data Source=$Workbook$;Location=1498;Extended Properties=&quot;&quot;" command="SELECT * FROM [1498]"/>
  </connection>
  <connection id="4" keepAlive="1" name="Запрос — Merge1" description="Соединение с запросом &quot;Merge1&quot; в книге." type="5" refreshedVersion="6" background="1" saveData="1">
    <dbPr connection="Provider=Microsoft.Mashup.OleDb.1;Data Source=$Workbook$;Location=Merge1;Extended Properties=&quot;&quot;" command="SELECT * FROM [Merge1]"/>
  </connection>
  <connection id="5" keepAlive="1" name="Запрос — Merge2" description="Соединение с запросом &quot;Merge2&quot; в книге." type="5" refreshedVersion="6" background="1" saveData="1">
    <dbPr connection="Provider=Microsoft.Mashup.OleDb.1;Data Source=$Workbook$;Location=Merge2;Extended Properties=&quot;&quot;" command="SELECT * FROM [Merge2]"/>
  </connection>
  <connection id="6" keepAlive="1" name="Запрос — Merge3" description="Соединение с запросом &quot;Merge3&quot; в книге." type="5" refreshedVersion="6" background="1" saveData="1">
    <dbPr connection="Provider=Microsoft.Mashup.OleDb.1;Data Source=$Workbook$;Location=Merge3;Extended Properties=&quot;&quot;" command="SELECT * FROM [Merge3]"/>
  </connection>
</connections>
</file>

<file path=xl/sharedStrings.xml><?xml version="1.0" encoding="utf-8"?>
<sst xmlns="http://schemas.openxmlformats.org/spreadsheetml/2006/main" count="19523" uniqueCount="4054">
  <si>
    <t>Stat</t>
  </si>
  <si>
    <t/>
  </si>
  <si>
    <t>User Sign</t>
  </si>
  <si>
    <t>Lastname</t>
  </si>
  <si>
    <t>Firstname</t>
  </si>
  <si>
    <t>Start Date</t>
  </si>
  <si>
    <t>End Date</t>
  </si>
  <si>
    <t>Used MHR</t>
  </si>
  <si>
    <t>ToW</t>
  </si>
  <si>
    <t>Event Description</t>
  </si>
  <si>
    <t>Prod. MHR</t>
  </si>
  <si>
    <t>A/C</t>
  </si>
  <si>
    <t>CM Project</t>
  </si>
  <si>
    <t>Project</t>
  </si>
  <si>
    <t>Project Desc.</t>
  </si>
  <si>
    <t>Finished</t>
  </si>
  <si>
    <t>SBT2649</t>
  </si>
  <si>
    <t>Shamovskii-Ostrovskii</t>
  </si>
  <si>
    <t>Dmitrii</t>
  </si>
  <si>
    <t>OH_CMS</t>
  </si>
  <si>
    <t>D31517 – Series (Workscope: 129573 / Project: CM56696) /</t>
  </si>
  <si>
    <t>CM56696</t>
  </si>
  <si>
    <t>ES_S7_OA32120</t>
  </si>
  <si>
    <t>ТО СПАСАТЕЛЬНОГО ТРАПА OVB СИБИРЬ</t>
  </si>
  <si>
    <t>IN_CMS</t>
  </si>
  <si>
    <t>6272-1, 6273-1,6273-5 SV (Workscope: 128391 / Project: CM54037) / Perform linked CMJC</t>
  </si>
  <si>
    <t>CM54037</t>
  </si>
  <si>
    <t>COM_UTE_O120</t>
  </si>
  <si>
    <t>ТО КОМПОНЕНТОВ OVB Ю-ТИ-ДЖИ ЭКСПРЕСС</t>
  </si>
  <si>
    <t>License locked</t>
  </si>
  <si>
    <t>2-8020 - series (Workscope: 128398 / Project: CM54033) / Perforn linked CMJC</t>
  </si>
  <si>
    <t>CM54033</t>
  </si>
  <si>
    <t>2-8020 - series (Workscope: 128399 / Project: CM54035) / Perforn linked CMJC</t>
  </si>
  <si>
    <t>CM54035</t>
  </si>
  <si>
    <t>2-8020 - series (Workscope: 128397 / Project: CM54034) / Perforn linked CMJC</t>
  </si>
  <si>
    <t>CM54034</t>
  </si>
  <si>
    <t>2-8020 - series (Workscope: 121427 / Project: CM52160) / Perforn linked CMJC</t>
  </si>
  <si>
    <t>CM52160</t>
  </si>
  <si>
    <t>AD_CMS</t>
  </si>
  <si>
    <t>Repair (Workscope: 122099 / Project: CM52160) /</t>
  </si>
  <si>
    <t>898052 OV (Workscope: 120876 / Project: CM51794) /</t>
  </si>
  <si>
    <t>CM51794</t>
  </si>
  <si>
    <t>COM_S7_OA32120</t>
  </si>
  <si>
    <t>ТО КОМПОНЕНТОВ OVB СИБИРЬ</t>
  </si>
  <si>
    <t>898052 OV (Workscope: 128194 / Project: CM53516) /</t>
  </si>
  <si>
    <t>CM53516</t>
  </si>
  <si>
    <t>D31865-series OH (Workscope: 126719 / Project: CM54211) / Perform linked CMJC.</t>
  </si>
  <si>
    <t>CM54211</t>
  </si>
  <si>
    <t>60592-xxx_Rupt Disc Insp (Workscope: 122191 / Project: CM53152) /</t>
  </si>
  <si>
    <t>CM53152</t>
  </si>
  <si>
    <t>RA_S7_OA32120</t>
  </si>
  <si>
    <t>ТО БАЛОНА СПАС. ТРАПА OVB СИБИРЬ</t>
  </si>
  <si>
    <t>repair (Workscope: 121332 / Project: CM53151) /</t>
  </si>
  <si>
    <t>CM53151</t>
  </si>
  <si>
    <t>60592-xxx_Rupt Disc Insp (Workscope: 121333 / Project: CM53151) /</t>
  </si>
  <si>
    <t>60592-series OVH (Workscope: 122190 / Project: CM53152) /</t>
  </si>
  <si>
    <t>60592-series OVH (Workscope: 121313 / Project: CM53151) /</t>
  </si>
  <si>
    <t>D31516 – Series (Workscope: 126163 / Project: CM54654) /</t>
  </si>
  <si>
    <t>CM54654</t>
  </si>
  <si>
    <t>33600005-series (Workscope: 121617 / Project: CM52953) /</t>
  </si>
  <si>
    <t>CM52953</t>
  </si>
  <si>
    <t>COM_U6_O120</t>
  </si>
  <si>
    <t>ТО КОМПОНЕНТОВ OVB УРАЛ</t>
  </si>
  <si>
    <t>33600005-series (Workscope: 124400 / Project: CM53558) /</t>
  </si>
  <si>
    <t>CM53558</t>
  </si>
  <si>
    <t>34100005-1 (Workscope: 121698 / Project: CM52954) /</t>
  </si>
  <si>
    <t>CM52954</t>
  </si>
  <si>
    <t>Repair (Workscope: 121618 / Project: CM52953) / Re-charge</t>
  </si>
  <si>
    <t>Re-charg (Workscope: 124407 / Project: CM53558) /</t>
  </si>
  <si>
    <t>34100005-1 (Workscope: 117016 / Project: CM51425) /</t>
  </si>
  <si>
    <t>CM51425</t>
  </si>
  <si>
    <t>34100005-1 (Workscope: 117014 / Project: CM51424) /</t>
  </si>
  <si>
    <t>CM51424</t>
  </si>
  <si>
    <t>33700002 33700005 33700006-1 (Workscope: 120417 / Project: CM52065) /</t>
  </si>
  <si>
    <t>CM52065</t>
  </si>
  <si>
    <t>COM_S7_OB73120</t>
  </si>
  <si>
    <t>34600016 34600017 34600025-1 (Workscope: 117022 / Project: CM51428) /</t>
  </si>
  <si>
    <t>CM51428</t>
  </si>
  <si>
    <t>D31865-series OH (Workscope: 123145 / Project: CM52433) / Perform linked CMJC.</t>
  </si>
  <si>
    <t>CM52433</t>
  </si>
  <si>
    <t>D31517 – Series (Workscope: 121597 / Project: CM52974) /</t>
  </si>
  <si>
    <t>CM52974</t>
  </si>
  <si>
    <t>repair (Workscope: 122748 / Project: CM53202) /</t>
  </si>
  <si>
    <t>CM53202</t>
  </si>
  <si>
    <t>Доп работы (Workscope: 122483 / Project: CM53202) / Замена седла шарового</t>
  </si>
  <si>
    <t>D18309-series Rupt Disc Insp (Workscope: 121803 / Project: CM53202) /</t>
  </si>
  <si>
    <t>D18309-series (Workscope: 121804 / Project: CM53202) /</t>
  </si>
  <si>
    <t>D31516 – Series (Workscope: 122738 / Project: CM53202) /</t>
  </si>
  <si>
    <t>D31865-series OH (Workscope: 122606 / Project: CM52106) / Perform linked CMJC.</t>
  </si>
  <si>
    <t>CM52106</t>
  </si>
  <si>
    <t>Доп работа (Workscope: 120563 / Project: CM51975) / Замена проушин</t>
  </si>
  <si>
    <t>CM51975</t>
  </si>
  <si>
    <t>D18309-series (Workscope: 119656 / Project: CM51975) /</t>
  </si>
  <si>
    <t>D31517 – Series (Workscope: 119324 / Project: CM51975) /</t>
  </si>
  <si>
    <t>2-8020 - series (Workscope: 121423 / Project: CM52158) / Perforn linked CMJC</t>
  </si>
  <si>
    <t>CM52158</t>
  </si>
  <si>
    <t>2-8041-1 SV (Workscope: 121437 / Project: CM52151) / Perform linked CMJC</t>
  </si>
  <si>
    <t>CM52151</t>
  </si>
  <si>
    <t>Cartridge replacement (Workscope: 120414 / Project: CM52695) /</t>
  </si>
  <si>
    <t>CM52695</t>
  </si>
  <si>
    <t>COM_HZ_O120</t>
  </si>
  <si>
    <t>ТО КОМПОНЕНТОВ OVB АВРОРА</t>
  </si>
  <si>
    <t>34100005-1 (Workscope: 117018 / Project: CM51426) /</t>
  </si>
  <si>
    <t>CM51426</t>
  </si>
  <si>
    <t>D31516 – Series (Workscope: 118592 / Project: CM52129) /</t>
  </si>
  <si>
    <t>CM52129</t>
  </si>
  <si>
    <t>34600016 34600017 34600025-1 (Workscope: 120410 / Project: CM52695) /</t>
  </si>
  <si>
    <t>repair RM (Workscope: 118727 / Project: CM51877) /</t>
  </si>
  <si>
    <t>CM51877</t>
  </si>
  <si>
    <t>repair RM (Workscope: 118721 / Project: CM51974) /</t>
  </si>
  <si>
    <t>CM51974</t>
  </si>
  <si>
    <t>D18309-series (Workscope: 118648 / Project: CM51974) /</t>
  </si>
  <si>
    <t>D18309-series (Workscope: 118684 / Project: CM51877) /</t>
  </si>
  <si>
    <t>D31516 – Series (Workscope: 118555 / Project: CM51974) /</t>
  </si>
  <si>
    <t>D31516 – Series (Workscope: 118557 / Project: CM51877) /</t>
  </si>
  <si>
    <t>D31865-series OH (Workscope: 117572 / Project: CM51472) / Perform linked CMJC.</t>
  </si>
  <si>
    <t>CM51472</t>
  </si>
  <si>
    <t>Order No.</t>
  </si>
  <si>
    <t>Order State</t>
  </si>
  <si>
    <t>Date</t>
  </si>
  <si>
    <t>Address</t>
  </si>
  <si>
    <t>Name</t>
  </si>
  <si>
    <t>Part No.</t>
  </si>
  <si>
    <t>Serial No. / Batch No.</t>
  </si>
  <si>
    <t>CM Project No.</t>
  </si>
  <si>
    <t>Label No.</t>
  </si>
  <si>
    <t>Description</t>
  </si>
  <si>
    <t>Confirmed Date</t>
  </si>
  <si>
    <t>ATA Chapter</t>
  </si>
  <si>
    <t>RECEIVED</t>
  </si>
  <si>
    <t>OWS_CMS</t>
  </si>
  <si>
    <t>11225-1</t>
  </si>
  <si>
    <t>COFFEE MAKER</t>
  </si>
  <si>
    <t>25-37</t>
  </si>
  <si>
    <t>OPEN</t>
  </si>
  <si>
    <t>63600-501</t>
  </si>
  <si>
    <t>N/A</t>
  </si>
  <si>
    <t>LIFE VEST</t>
  </si>
  <si>
    <t>99-99</t>
  </si>
  <si>
    <t>3301-31</t>
  </si>
  <si>
    <t>065325</t>
  </si>
  <si>
    <t>BATTERY NICD, CONJ</t>
  </si>
  <si>
    <t>33-50</t>
  </si>
  <si>
    <t>065924</t>
  </si>
  <si>
    <t>3552AAADAACXCD</t>
  </si>
  <si>
    <t>CYLINDER ASSEMBLY, PORTABLE OXYGEN</t>
  </si>
  <si>
    <t>35-32</t>
  </si>
  <si>
    <t>2758</t>
  </si>
  <si>
    <t>AIRCRAFT BATTERY</t>
  </si>
  <si>
    <t>24-38</t>
  </si>
  <si>
    <t>4360004-88-00-18</t>
  </si>
  <si>
    <t>WATER HEATER</t>
  </si>
  <si>
    <t>25-35</t>
  </si>
  <si>
    <t>898052</t>
  </si>
  <si>
    <t>EXTINGUISHER-FIRE PORTABLE, HALON</t>
  </si>
  <si>
    <t>26-26</t>
  </si>
  <si>
    <t>P11110400</t>
  </si>
  <si>
    <t>4360004-81-00-18</t>
  </si>
  <si>
    <t>N19041243AA0351</t>
  </si>
  <si>
    <t>063536</t>
  </si>
  <si>
    <t>5500-A1A-BF23A</t>
  </si>
  <si>
    <t>PORTABLE CYLINDER ASSEMBLIES</t>
  </si>
  <si>
    <t>35-31</t>
  </si>
  <si>
    <t>2-8041-1</t>
  </si>
  <si>
    <t>HYDRAULIC FUSE</t>
  </si>
  <si>
    <t>32-40</t>
  </si>
  <si>
    <t>2-8020-25</t>
  </si>
  <si>
    <t>2-8020-27</t>
  </si>
  <si>
    <t>CM55877</t>
  </si>
  <si>
    <t>2-8020-26</t>
  </si>
  <si>
    <t>CM55876</t>
  </si>
  <si>
    <t>2-8020-29</t>
  </si>
  <si>
    <t>CM55924</t>
  </si>
  <si>
    <t>CM55880</t>
  </si>
  <si>
    <t>2-8020-28</t>
  </si>
  <si>
    <t>CM55879</t>
  </si>
  <si>
    <t>2-7680-2</t>
  </si>
  <si>
    <t>CM55873</t>
  </si>
  <si>
    <t>2-7681-2</t>
  </si>
  <si>
    <t>CM55923</t>
  </si>
  <si>
    <t>CM55922</t>
  </si>
  <si>
    <t>CM55925</t>
  </si>
  <si>
    <t>CM55926</t>
  </si>
  <si>
    <t>170-40552-401</t>
  </si>
  <si>
    <t>NET ASSY</t>
  </si>
  <si>
    <t>25-00</t>
  </si>
  <si>
    <t>74-20</t>
  </si>
  <si>
    <t>EXTINGUISHER-FIRE PORTABLE</t>
  </si>
  <si>
    <t>26-24</t>
  </si>
  <si>
    <t>D31865-112</t>
  </si>
  <si>
    <t>CM55907</t>
  </si>
  <si>
    <t>SLIDE-OVERWING</t>
  </si>
  <si>
    <t>25-62</t>
  </si>
  <si>
    <t>289-601-248</t>
  </si>
  <si>
    <t>PASSENGER OXYGEN MASK</t>
  </si>
  <si>
    <t>15800-348A</t>
  </si>
  <si>
    <t>VALVE ASSY-RINSE</t>
  </si>
  <si>
    <t>60592-201</t>
  </si>
  <si>
    <t>CM55927</t>
  </si>
  <si>
    <t>RESERVOIR ASSY</t>
  </si>
  <si>
    <t>N17091122AA0216</t>
  </si>
  <si>
    <t>174692-N7</t>
  </si>
  <si>
    <t>35-12</t>
  </si>
  <si>
    <t>N19010025AA0324</t>
  </si>
  <si>
    <t>2726CH1</t>
  </si>
  <si>
    <t>24-36</t>
  </si>
  <si>
    <t>4510-38LG-00</t>
  </si>
  <si>
    <t>BEVERAGE MAKER</t>
  </si>
  <si>
    <t>301920102</t>
  </si>
  <si>
    <t>3214-31</t>
  </si>
  <si>
    <t>BATTERY</t>
  </si>
  <si>
    <t>33-51</t>
  </si>
  <si>
    <t>CANCELLED</t>
  </si>
  <si>
    <t>864514</t>
  </si>
  <si>
    <t>450504801</t>
  </si>
  <si>
    <t>N12070116030048</t>
  </si>
  <si>
    <t>N19090198AA0413</t>
  </si>
  <si>
    <t>4197-20-04</t>
  </si>
  <si>
    <t>BALLAST UNIT</t>
  </si>
  <si>
    <t>33-21</t>
  </si>
  <si>
    <t>5500-C1W-BF15A</t>
  </si>
  <si>
    <t>35-30</t>
  </si>
  <si>
    <t>424427502</t>
  </si>
  <si>
    <t>D717-02-001</t>
  </si>
  <si>
    <t>CM56338</t>
  </si>
  <si>
    <t>EMERGENCY POWER SUPPLY</t>
  </si>
  <si>
    <t>33</t>
  </si>
  <si>
    <t>76-00</t>
  </si>
  <si>
    <t>EXTINGUISHER-FIRE</t>
  </si>
  <si>
    <t>CM56342</t>
  </si>
  <si>
    <t>CM56345</t>
  </si>
  <si>
    <t>2-8020-16</t>
  </si>
  <si>
    <t>2-8020-11</t>
  </si>
  <si>
    <t>CM56351</t>
  </si>
  <si>
    <t>2-8020-13</t>
  </si>
  <si>
    <t>CM56352</t>
  </si>
  <si>
    <t>2-8020-12</t>
  </si>
  <si>
    <t>CM56354</t>
  </si>
  <si>
    <t>THRUST REVERSER HYDRAULIC FUSE STBY</t>
  </si>
  <si>
    <t>CM56356</t>
  </si>
  <si>
    <t>N09060361022080</t>
  </si>
  <si>
    <t>34100005-1</t>
  </si>
  <si>
    <t>EXTINGUISHER-FIRE, ENGINE</t>
  </si>
  <si>
    <t>26-21</t>
  </si>
  <si>
    <t>N19040044AA0347</t>
  </si>
  <si>
    <t>N18080337AA0392</t>
  </si>
  <si>
    <t>D31865-310</t>
  </si>
  <si>
    <t>CM56382</t>
  </si>
  <si>
    <t>5500-C1A-BF23A</t>
  </si>
  <si>
    <t>CM56387</t>
  </si>
  <si>
    <t>CM56388</t>
  </si>
  <si>
    <t>CM56386</t>
  </si>
  <si>
    <t>CM56432</t>
  </si>
  <si>
    <t>801307-00</t>
  </si>
  <si>
    <t>OXYGEN CYLINDER AND VALVE ASSY</t>
  </si>
  <si>
    <t>N19040041AA0536</t>
  </si>
  <si>
    <t>N19100725AA0656</t>
  </si>
  <si>
    <t>MODULE ASSY-HANDSET</t>
  </si>
  <si>
    <t>23-42</t>
  </si>
  <si>
    <t>D31516-717</t>
  </si>
  <si>
    <t>CM56456</t>
  </si>
  <si>
    <t>N17020411AA0142</t>
  </si>
  <si>
    <t>63600-101</t>
  </si>
  <si>
    <t>PASSENGER LIFE VEST, ADULT,CHILD</t>
  </si>
  <si>
    <t>25-66</t>
  </si>
  <si>
    <t>U03981</t>
  </si>
  <si>
    <t>174097-11</t>
  </si>
  <si>
    <t>018550-000</t>
  </si>
  <si>
    <t>AC40-0241204</t>
  </si>
  <si>
    <t>25-55</t>
  </si>
  <si>
    <t>D31865-111</t>
  </si>
  <si>
    <t>4236564</t>
  </si>
  <si>
    <t>LIGHT-TAXI 8LR</t>
  </si>
  <si>
    <t>33-46</t>
  </si>
  <si>
    <t>2056C0000-01</t>
  </si>
  <si>
    <t>P12010862</t>
  </si>
  <si>
    <t>N18080293AA0286</t>
  </si>
  <si>
    <t>858568</t>
  </si>
  <si>
    <t>858577</t>
  </si>
  <si>
    <t>858569</t>
  </si>
  <si>
    <t>D31517-617</t>
  </si>
  <si>
    <t>A12302</t>
  </si>
  <si>
    <t>SLIDE-ESCAPE</t>
  </si>
  <si>
    <t>N11120419022407</t>
  </si>
  <si>
    <t>15800-440</t>
  </si>
  <si>
    <t>38-31</t>
  </si>
  <si>
    <t>D31516-617</t>
  </si>
  <si>
    <t>D18309-201</t>
  </si>
  <si>
    <t>RESERVOIR-ESCAPE SLIDE</t>
  </si>
  <si>
    <t>25-65</t>
  </si>
  <si>
    <t>D18309-101</t>
  </si>
  <si>
    <t>ALT750-11535</t>
  </si>
  <si>
    <t>874502</t>
  </si>
  <si>
    <t>874545</t>
  </si>
  <si>
    <t>64300-200</t>
  </si>
  <si>
    <t>HEAD SET</t>
  </si>
  <si>
    <t>23-51</t>
  </si>
  <si>
    <t>453A1810-6</t>
  </si>
  <si>
    <t>453A1810-8</t>
  </si>
  <si>
    <t>15800-358</t>
  </si>
  <si>
    <t>118110</t>
  </si>
  <si>
    <t>24967</t>
  </si>
  <si>
    <t>8303-01-0000-01</t>
  </si>
  <si>
    <t>OVEN</t>
  </si>
  <si>
    <t>A9565</t>
  </si>
  <si>
    <t>50349D1</t>
  </si>
  <si>
    <t>50393D1</t>
  </si>
  <si>
    <t>50413D1</t>
  </si>
  <si>
    <t>33600005-3</t>
  </si>
  <si>
    <t>26-22</t>
  </si>
  <si>
    <t>62197-001-001</t>
  </si>
  <si>
    <t>BOILER-WATER</t>
  </si>
  <si>
    <t>34600017</t>
  </si>
  <si>
    <t>34672F1</t>
  </si>
  <si>
    <t>26-23</t>
  </si>
  <si>
    <t>64300-210</t>
  </si>
  <si>
    <t>HEADSET</t>
  </si>
  <si>
    <t>Y-170224</t>
  </si>
  <si>
    <t>285W0024-1B</t>
  </si>
  <si>
    <t>A10271</t>
  </si>
  <si>
    <t>L21352</t>
  </si>
  <si>
    <t>D2727000700600</t>
  </si>
  <si>
    <t>2218-N-16</t>
  </si>
  <si>
    <t>ON-BOARD WHEELCHAIR</t>
  </si>
  <si>
    <t>A14573</t>
  </si>
  <si>
    <t>A8226</t>
  </si>
  <si>
    <t>11050-11</t>
  </si>
  <si>
    <t>3847</t>
  </si>
  <si>
    <t>25-31</t>
  </si>
  <si>
    <t>N16070224AA0049</t>
  </si>
  <si>
    <t>33700002</t>
  </si>
  <si>
    <t>11848D1</t>
  </si>
  <si>
    <t>FIRE EXTINGUISHER</t>
  </si>
  <si>
    <t>4313100-00-66-00</t>
  </si>
  <si>
    <t>A9351</t>
  </si>
  <si>
    <t>61639-203</t>
  </si>
  <si>
    <t>ALT750-26878</t>
  </si>
  <si>
    <t>ALT750-7511</t>
  </si>
  <si>
    <t>ALT750-6715</t>
  </si>
  <si>
    <t>ALT750-8192</t>
  </si>
  <si>
    <t>AC40-0217500</t>
  </si>
  <si>
    <t>1244</t>
  </si>
  <si>
    <t>0975</t>
  </si>
  <si>
    <t>07902</t>
  </si>
  <si>
    <t>4313100-01-6600</t>
  </si>
  <si>
    <t>OVEN-CONVECTION</t>
  </si>
  <si>
    <t>A153514</t>
  </si>
  <si>
    <t>485700802</t>
  </si>
  <si>
    <t>58348</t>
  </si>
  <si>
    <t>20242</t>
  </si>
  <si>
    <t>111884</t>
  </si>
  <si>
    <t>170-40575-401</t>
  </si>
  <si>
    <t>N16040031AA0033</t>
  </si>
  <si>
    <t>2-8020-15</t>
  </si>
  <si>
    <t>2-8020-24</t>
  </si>
  <si>
    <t>416-1001-29</t>
  </si>
  <si>
    <t>6273-5</t>
  </si>
  <si>
    <t>25-11</t>
  </si>
  <si>
    <t>89794077</t>
  </si>
  <si>
    <t>28300F1</t>
  </si>
  <si>
    <t>8203-61-0000</t>
  </si>
  <si>
    <t>38848D1</t>
  </si>
  <si>
    <t>52921D1</t>
  </si>
  <si>
    <t>D31517-717</t>
  </si>
  <si>
    <t>A15408</t>
  </si>
  <si>
    <t>174097-85</t>
  </si>
  <si>
    <t>A21184</t>
  </si>
  <si>
    <t>A21185</t>
  </si>
  <si>
    <t>M13750</t>
  </si>
  <si>
    <t>8203-11-0000</t>
  </si>
  <si>
    <t>AC40-0217000</t>
  </si>
  <si>
    <t>AC40-0217200</t>
  </si>
  <si>
    <t>AC40-0209500</t>
  </si>
  <si>
    <t>25</t>
  </si>
  <si>
    <t>AC40-0209900</t>
  </si>
  <si>
    <t>AC40-0217100</t>
  </si>
  <si>
    <t>AC40-0217300</t>
  </si>
  <si>
    <t>AC40-0217400</t>
  </si>
  <si>
    <t>TAAI3-03PE20-01</t>
  </si>
  <si>
    <t>TAAI3-03CE20-01</t>
  </si>
  <si>
    <t>SEAT-FIRST OFFICER</t>
  </si>
  <si>
    <t>P08010984</t>
  </si>
  <si>
    <t>D2511225800000</t>
  </si>
  <si>
    <t>TABLE MODULE</t>
  </si>
  <si>
    <t>25-13</t>
  </si>
  <si>
    <t>ALT750-23846</t>
  </si>
  <si>
    <t>ALT750-11247</t>
  </si>
  <si>
    <t>4197-10-02</t>
  </si>
  <si>
    <t>4197-20-02</t>
  </si>
  <si>
    <t>X-841623</t>
  </si>
  <si>
    <t>5145-1-64</t>
  </si>
  <si>
    <t>024147-000</t>
  </si>
  <si>
    <t>NICKEL CADMIUM AIRCRAFT BATTERY</t>
  </si>
  <si>
    <t>24</t>
  </si>
  <si>
    <t>N17080499AA0195</t>
  </si>
  <si>
    <t>71139D1</t>
  </si>
  <si>
    <t>N17070580AA0186</t>
  </si>
  <si>
    <t>3201</t>
  </si>
  <si>
    <t>04M17703570035</t>
  </si>
  <si>
    <t>2218-N-81</t>
  </si>
  <si>
    <t>3400-22-10</t>
  </si>
  <si>
    <t>BATTERY,EMERGENCY-NICAD,6VDC,5 AH</t>
  </si>
  <si>
    <t>1628S</t>
  </si>
  <si>
    <t>1627S</t>
  </si>
  <si>
    <t>1930</t>
  </si>
  <si>
    <t>2586A</t>
  </si>
  <si>
    <t>D31865-309</t>
  </si>
  <si>
    <t>5010</t>
  </si>
  <si>
    <t>A10044</t>
  </si>
  <si>
    <t>MC10-08-109</t>
  </si>
  <si>
    <t>T1024183501</t>
  </si>
  <si>
    <t>2-8020-2</t>
  </si>
  <si>
    <t>2-8020-3</t>
  </si>
  <si>
    <t>2-8020-5</t>
  </si>
  <si>
    <t>32-11</t>
  </si>
  <si>
    <t>CM54655</t>
  </si>
  <si>
    <t>CM54656</t>
  </si>
  <si>
    <t>M13874</t>
  </si>
  <si>
    <t>2-8020-1</t>
  </si>
  <si>
    <t>63600-141</t>
  </si>
  <si>
    <t>2-8020-6</t>
  </si>
  <si>
    <t>T866013001</t>
  </si>
  <si>
    <t>N18120465AA0472</t>
  </si>
  <si>
    <t>CM54968</t>
  </si>
  <si>
    <t>9700-C1A-BF23A</t>
  </si>
  <si>
    <t>PORTABLE CYLINDER ASSEMBLY</t>
  </si>
  <si>
    <t>201808311</t>
  </si>
  <si>
    <t>CM55194</t>
  </si>
  <si>
    <t>N09050159022074</t>
  </si>
  <si>
    <t>N19080789AA0407</t>
  </si>
  <si>
    <t>ALT750-24134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</si>
  <si>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</si>
  <si>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</si>
  <si>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</si>
  <si>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</si>
  <si>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</si>
  <si>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</si>
  <si>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</si>
  <si>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</si>
  <si>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</si>
  <si>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</si>
  <si>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</si>
  <si>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</si>
  <si>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</si>
  <si>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</si>
  <si>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</si>
  <si>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</si>
  <si>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</si>
  <si>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</si>
  <si>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</si>
  <si>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</si>
  <si>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</si>
  <si>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</si>
  <si>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</si>
  <si>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</si>
  <si>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</si>
  <si>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</si>
  <si>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</si>
  <si>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</si>
  <si>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</si>
  <si>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1328.Part No.</t>
  </si>
  <si>
    <t>1328.Serial No. / Batch No.</t>
  </si>
  <si>
    <t>1328.CM Project No.</t>
  </si>
  <si>
    <t>1328.Label No.</t>
  </si>
  <si>
    <t>1328.ATA Chapter</t>
  </si>
  <si>
    <t>Status</t>
  </si>
  <si>
    <t>Rec. No.</t>
  </si>
  <si>
    <t>Rec. Item No.</t>
  </si>
  <si>
    <t>Queries</t>
  </si>
  <si>
    <t>Pos. No.</t>
  </si>
  <si>
    <t>Serial/Batch No.</t>
  </si>
  <si>
    <t>Condition</t>
  </si>
  <si>
    <t>AWB No.</t>
  </si>
  <si>
    <t>Project No.</t>
  </si>
  <si>
    <t>Qty</t>
  </si>
  <si>
    <t>Mat. Class</t>
  </si>
  <si>
    <t>Repairable</t>
  </si>
  <si>
    <t>Tool</t>
  </si>
  <si>
    <t>Vendor</t>
  </si>
  <si>
    <t>Mark</t>
  </si>
  <si>
    <t>Owner</t>
  </si>
  <si>
    <t>Operator</t>
  </si>
  <si>
    <t>Customs No./Type</t>
  </si>
  <si>
    <t>Rec. Date</t>
  </si>
  <si>
    <t>Station</t>
  </si>
  <si>
    <t>Store</t>
  </si>
  <si>
    <t>Location</t>
  </si>
  <si>
    <t>ABC</t>
  </si>
  <si>
    <t>Bill to</t>
  </si>
  <si>
    <t>Priority</t>
  </si>
  <si>
    <t>Insp. state</t>
  </si>
  <si>
    <t>Insp. by</t>
  </si>
  <si>
    <t>Insp. Date</t>
  </si>
  <si>
    <t>Created Date</t>
  </si>
  <si>
    <t>Received by</t>
  </si>
  <si>
    <t>Mutation Date</t>
  </si>
  <si>
    <t>Mutation Time</t>
  </si>
  <si>
    <t>Links</t>
  </si>
  <si>
    <t>CM-REPAIR</t>
  </si>
  <si>
    <t>R</t>
  </si>
  <si>
    <t>SBI</t>
  </si>
  <si>
    <t>OVB</t>
  </si>
  <si>
    <t>REPAIRED COMP</t>
  </si>
  <si>
    <t>CRIT</t>
  </si>
  <si>
    <t>FINISHED</t>
  </si>
  <si>
    <t>No Links</t>
  </si>
  <si>
    <t>N</t>
  </si>
  <si>
    <t>TREE</t>
  </si>
  <si>
    <t>60592-101</t>
  </si>
  <si>
    <t>1498.Label No.</t>
  </si>
  <si>
    <t>1498.Insp. by</t>
  </si>
  <si>
    <t>1498.Insp. Date</t>
  </si>
  <si>
    <t>TEMPORARY</t>
  </si>
  <si>
    <t>AF8</t>
  </si>
  <si>
    <t>SBI-E-1045-1N</t>
  </si>
  <si>
    <t>CRIMPING TOOL</t>
  </si>
  <si>
    <t>N17030432AA0137</t>
  </si>
  <si>
    <t>N18110643AA0298</t>
  </si>
  <si>
    <t>P05100985</t>
  </si>
  <si>
    <t>CM57133</t>
  </si>
  <si>
    <t>485700803</t>
  </si>
  <si>
    <t>CM57328</t>
  </si>
  <si>
    <t>110893</t>
  </si>
  <si>
    <t>106786</t>
  </si>
  <si>
    <t>18561</t>
  </si>
  <si>
    <t>111037</t>
  </si>
  <si>
    <t>P12010864</t>
  </si>
  <si>
    <t>P09031021</t>
  </si>
  <si>
    <t>CM57714</t>
  </si>
  <si>
    <t>24520</t>
  </si>
  <si>
    <t>CM57785</t>
  </si>
  <si>
    <t>201704646</t>
  </si>
  <si>
    <t>CM57926</t>
  </si>
  <si>
    <t>CM57967</t>
  </si>
  <si>
    <t>CM57941</t>
  </si>
  <si>
    <t>CM57937</t>
  </si>
  <si>
    <t>CM57935</t>
  </si>
  <si>
    <t>CM57943</t>
  </si>
  <si>
    <t>CM57942</t>
  </si>
  <si>
    <t>CM57940</t>
  </si>
  <si>
    <t>CM57936</t>
  </si>
  <si>
    <t>CM57939</t>
  </si>
  <si>
    <t>CM58037</t>
  </si>
  <si>
    <t>58061</t>
  </si>
  <si>
    <t>CM58062</t>
  </si>
  <si>
    <t>FUSE</t>
  </si>
  <si>
    <t>72067002</t>
  </si>
  <si>
    <t>1499</t>
  </si>
  <si>
    <t>OVEN-SINGLE</t>
  </si>
  <si>
    <t>801307-06</t>
  </si>
  <si>
    <t>64753-001-003</t>
  </si>
  <si>
    <t>N18100492AA0418</t>
  </si>
  <si>
    <t>T903420701</t>
  </si>
  <si>
    <t>TAAI3-03CE22-01</t>
  </si>
  <si>
    <t>CM58687</t>
  </si>
  <si>
    <t>546061701</t>
  </si>
  <si>
    <t>289-601-211</t>
  </si>
  <si>
    <t>P11110413</t>
  </si>
  <si>
    <t>416815202</t>
  </si>
  <si>
    <t>289-601-212</t>
  </si>
  <si>
    <t>CM58866</t>
  </si>
  <si>
    <t>CM59071</t>
  </si>
  <si>
    <t>P12020857</t>
  </si>
  <si>
    <t>CM59163</t>
  </si>
  <si>
    <t>D2511411800000</t>
  </si>
  <si>
    <t>011826</t>
  </si>
  <si>
    <t>4515</t>
  </si>
  <si>
    <t>375123702</t>
  </si>
  <si>
    <t>TAAI2-33CE00-01</t>
  </si>
  <si>
    <t>678998</t>
  </si>
  <si>
    <t>3173</t>
  </si>
  <si>
    <t>Start</t>
  </si>
  <si>
    <t>End</t>
  </si>
  <si>
    <t>Type</t>
  </si>
  <si>
    <t>Workplace</t>
  </si>
  <si>
    <t>Productivity</t>
  </si>
  <si>
    <t>Remarks</t>
  </si>
  <si>
    <t>Workpackage</t>
  </si>
  <si>
    <t>A/C (Project)</t>
  </si>
  <si>
    <t>Shift Group</t>
  </si>
  <si>
    <t>Station (Shift Group)</t>
  </si>
  <si>
    <t>Classification</t>
  </si>
  <si>
    <t>Shift Short Code</t>
  </si>
  <si>
    <t>Part Number</t>
  </si>
  <si>
    <t>Serial Number</t>
  </si>
  <si>
    <t>CM_WOSC</t>
  </si>
  <si>
    <t>0,083333333333333329</t>
  </si>
  <si>
    <t>0,25</t>
  </si>
  <si>
    <t>0,375</t>
  </si>
  <si>
    <t>D31516 – Series (Workscope: 134917 / Project: CM58687) /</t>
  </si>
  <si>
    <t>0,16666666666666666</t>
  </si>
  <si>
    <t>D18309-series (Workscope: 132252 / Project: CM57785) /</t>
  </si>
  <si>
    <t>0,18402777777777779</t>
  </si>
  <si>
    <t>D18309-series (Workscope: 130924 / Project: CM57328) /</t>
  </si>
  <si>
    <t>0,34722222222222221</t>
  </si>
  <si>
    <t>D31516 – Series (Workscope: 132244 / Project: CM57785) /</t>
  </si>
  <si>
    <t>2-8020 - series (Workscope: 128093 / Project: CM55923) / Perforn linked CMJC</t>
  </si>
  <si>
    <t>0,40138888888888891</t>
  </si>
  <si>
    <t>0,125</t>
  </si>
  <si>
    <t>0,27152777777777776</t>
  </si>
  <si>
    <t>D31517 – Series (Workscope: 130915 / Project: CM57328) /</t>
  </si>
  <si>
    <t>0,20833333333333334</t>
  </si>
  <si>
    <t>60592-series OVH (Workscope: 133063 / Project: CM57133) /</t>
  </si>
  <si>
    <t>0,5</t>
  </si>
  <si>
    <t>0,041666666666666664</t>
  </si>
  <si>
    <t>0,33333333333333331</t>
  </si>
  <si>
    <t>RJ_CMS</t>
  </si>
  <si>
    <t>D31865-series OH (Workscope: 130532 / Project: CM54968) / Perform linked CMJC.</t>
  </si>
  <si>
    <t>0,46388888888888891</t>
  </si>
  <si>
    <t>0,020833333333333332</t>
  </si>
  <si>
    <t>COM_SU_O120</t>
  </si>
  <si>
    <t>ТО КОМПОНЕНТОВ OVB АЭРОФЛОТ</t>
  </si>
  <si>
    <t>0,625</t>
  </si>
  <si>
    <t>D31517 – Series (Workscope: 125864 / Project: CM54656) /</t>
  </si>
  <si>
    <t>D31517 – Series (Workscope: 126165 / Project: CM54655) /</t>
  </si>
  <si>
    <t>0,4909722222222222</t>
  </si>
  <si>
    <t>0,32847222222222222</t>
  </si>
  <si>
    <t>0,28333333333333333</t>
  </si>
  <si>
    <t>0,47361111111111109</t>
  </si>
  <si>
    <t>0,35486111111111113</t>
  </si>
  <si>
    <t>0,17986111111111111</t>
  </si>
  <si>
    <t>0,54166666666666663</t>
  </si>
  <si>
    <t>0,17847222222222223</t>
  </si>
  <si>
    <t>IT</t>
  </si>
  <si>
    <t>p/n</t>
  </si>
  <si>
    <t>754A0000-03</t>
  </si>
  <si>
    <t>Main Heat Exchanger</t>
  </si>
  <si>
    <t>С1 Air Cond &amp; Press</t>
  </si>
  <si>
    <t>754A0000-03 AMDT A</t>
  </si>
  <si>
    <t>754B0000-02</t>
  </si>
  <si>
    <t>754B0000-02 AMDT A</t>
  </si>
  <si>
    <t>754C0000-01</t>
  </si>
  <si>
    <t>754С0000-01</t>
  </si>
  <si>
    <t>753A0000-03</t>
  </si>
  <si>
    <t>Primary Heat Exchanger</t>
  </si>
  <si>
    <t>753A0000-03 AMDT A</t>
  </si>
  <si>
    <t>753A0000-04</t>
  </si>
  <si>
    <t>753B0000-02</t>
  </si>
  <si>
    <t>753B0000-02 AMDT A</t>
  </si>
  <si>
    <t>753B0000-03</t>
  </si>
  <si>
    <t>753C0000-01</t>
  </si>
  <si>
    <t>753C0000-02</t>
  </si>
  <si>
    <t>753С0000-02</t>
  </si>
  <si>
    <t>755A0000-04</t>
  </si>
  <si>
    <t>Reheater</t>
  </si>
  <si>
    <t>755A0000-04 Amdt A</t>
  </si>
  <si>
    <t>755B0000-02</t>
  </si>
  <si>
    <t>755B0000-02 Amdt A</t>
  </si>
  <si>
    <t>755C0000-01</t>
  </si>
  <si>
    <t>755С0000-01</t>
  </si>
  <si>
    <t>756A0000-05</t>
  </si>
  <si>
    <t>Condenser</t>
  </si>
  <si>
    <t>756A0000-05 AMDT A</t>
  </si>
  <si>
    <t>756A0000-05 AMDT B</t>
  </si>
  <si>
    <t>756A0000-06</t>
  </si>
  <si>
    <t>749A0000-02</t>
  </si>
  <si>
    <t>PLENUM</t>
  </si>
  <si>
    <t>2056B0000-02</t>
  </si>
  <si>
    <t>749A0000-02 Amdt.  A</t>
  </si>
  <si>
    <t>749A0000-02 Amdt.  B</t>
  </si>
  <si>
    <t>2056A0000-02</t>
  </si>
  <si>
    <t>2056A0000-02 Amdt. A</t>
  </si>
  <si>
    <t>2056B0000-01</t>
  </si>
  <si>
    <t>2056B0000-01 Amdt. A</t>
  </si>
  <si>
    <t>2071A0000-01</t>
  </si>
  <si>
    <t>1046GT2102AY</t>
  </si>
  <si>
    <t>Headset</t>
  </si>
  <si>
    <t>С3 Comm. and Nav.</t>
  </si>
  <si>
    <t xml:space="preserve">1046GT2102F </t>
  </si>
  <si>
    <t>1046GT2102G</t>
  </si>
  <si>
    <t>89-01-07000</t>
  </si>
  <si>
    <t>Handset</t>
  </si>
  <si>
    <t>89-01-07</t>
  </si>
  <si>
    <t>89-01-07002</t>
  </si>
  <si>
    <t>89-01-07010</t>
  </si>
  <si>
    <t>89-01-07020</t>
  </si>
  <si>
    <t>89-01-07030</t>
  </si>
  <si>
    <t>89-01-07032</t>
  </si>
  <si>
    <t>89-01-07035</t>
  </si>
  <si>
    <t>89-01-07040</t>
  </si>
  <si>
    <t>89-01-07042</t>
  </si>
  <si>
    <t>89-01-07045</t>
  </si>
  <si>
    <t>89-01-07052</t>
  </si>
  <si>
    <t>89-01-07062</t>
  </si>
  <si>
    <t>89-01-07065</t>
  </si>
  <si>
    <t>89-01-07067</t>
  </si>
  <si>
    <t>89-01-07112</t>
  </si>
  <si>
    <t>89-01-07117</t>
  </si>
  <si>
    <t>89-01-07122</t>
  </si>
  <si>
    <t>89-01-07125</t>
  </si>
  <si>
    <t>89-01-07126</t>
  </si>
  <si>
    <t>89-01-07127</t>
  </si>
  <si>
    <t>89-01-07130</t>
  </si>
  <si>
    <t>89-01-07142</t>
  </si>
  <si>
    <t>89-01-07147</t>
  </si>
  <si>
    <t>89-01-07152</t>
  </si>
  <si>
    <t>89-01-07154</t>
  </si>
  <si>
    <t>89-01-07155</t>
  </si>
  <si>
    <t>89-01-07157</t>
  </si>
  <si>
    <t>89-01-07162</t>
  </si>
  <si>
    <t>89-01-07172</t>
  </si>
  <si>
    <t>89-01-07182</t>
  </si>
  <si>
    <t>89-01-07185</t>
  </si>
  <si>
    <t>89-01-07187</t>
  </si>
  <si>
    <t>89-01-07202</t>
  </si>
  <si>
    <t>89-01-07212</t>
  </si>
  <si>
    <t>89-01-07222</t>
  </si>
  <si>
    <t>89-01-07232</t>
  </si>
  <si>
    <t>89-01-07235</t>
  </si>
  <si>
    <t>89-01-07237</t>
  </si>
  <si>
    <t>89-01-07240</t>
  </si>
  <si>
    <t>89-01-07250</t>
  </si>
  <si>
    <t>89-01-07260</t>
  </si>
  <si>
    <t>89-01-07270</t>
  </si>
  <si>
    <t>89-01-07282</t>
  </si>
  <si>
    <t>89-01-07285</t>
  </si>
  <si>
    <t>89-01-07292</t>
  </si>
  <si>
    <t>89-01-07295</t>
  </si>
  <si>
    <t>89-01-07332</t>
  </si>
  <si>
    <t>89-01-07335</t>
  </si>
  <si>
    <t>89-01-07337</t>
  </si>
  <si>
    <t>89-01-07340</t>
  </si>
  <si>
    <t>89-01-07350</t>
  </si>
  <si>
    <t>89-01-07360</t>
  </si>
  <si>
    <t>89-01-07375</t>
  </si>
  <si>
    <t>89-01-07377</t>
  </si>
  <si>
    <t>89-01-07390</t>
  </si>
  <si>
    <t>89-01-07405</t>
  </si>
  <si>
    <t>89-01-07410</t>
  </si>
  <si>
    <t>89-01-07420</t>
  </si>
  <si>
    <t>89-01-07430</t>
  </si>
  <si>
    <t>89-01-07462</t>
  </si>
  <si>
    <t>89-01-07465</t>
  </si>
  <si>
    <t>85-16-06343-05</t>
  </si>
  <si>
    <t>Microphone</t>
  </si>
  <si>
    <t>85-16-06961-05</t>
  </si>
  <si>
    <t>85-16-08836-05</t>
  </si>
  <si>
    <t>85-16-09502-05</t>
  </si>
  <si>
    <t>85-16-11494-05</t>
  </si>
  <si>
    <t>85-16-12022-05</t>
  </si>
  <si>
    <t xml:space="preserve">Model 5x5 PRO III </t>
  </si>
  <si>
    <t xml:space="preserve">Headset </t>
  </si>
  <si>
    <t>Part numbers:</t>
  </si>
  <si>
    <t>64000-000</t>
  </si>
  <si>
    <t>64000-100</t>
  </si>
  <si>
    <t>64000-001</t>
  </si>
  <si>
    <t>64000-101</t>
  </si>
  <si>
    <t>64000-002</t>
  </si>
  <si>
    <t>64000-102</t>
  </si>
  <si>
    <t>64000-003</t>
  </si>
  <si>
    <t>64000-103</t>
  </si>
  <si>
    <t>64300-000</t>
  </si>
  <si>
    <t>64300-100</t>
  </si>
  <si>
    <t>64300-005</t>
  </si>
  <si>
    <t>64300-105</t>
  </si>
  <si>
    <t>64300-205</t>
  </si>
  <si>
    <t>64300-008</t>
  </si>
  <si>
    <t>64300-108</t>
  </si>
  <si>
    <t>64300-208</t>
  </si>
  <si>
    <t>64300-010</t>
  </si>
  <si>
    <t>64300-110</t>
  </si>
  <si>
    <t>64300-012</t>
  </si>
  <si>
    <t>64300-112</t>
  </si>
  <si>
    <t>64300-212</t>
  </si>
  <si>
    <t>64300-016</t>
  </si>
  <si>
    <t>64300-116</t>
  </si>
  <si>
    <t>64300-216</t>
  </si>
  <si>
    <t>64300-018</t>
  </si>
  <si>
    <t>64300-118</t>
  </si>
  <si>
    <t>64300-218</t>
  </si>
  <si>
    <t>64300-019</t>
  </si>
  <si>
    <t>64300-119</t>
  </si>
  <si>
    <t>64300-219</t>
  </si>
  <si>
    <t>64300-020</t>
  </si>
  <si>
    <t>64300-120</t>
  </si>
  <si>
    <t>64300-220</t>
  </si>
  <si>
    <t>64300-021</t>
  </si>
  <si>
    <t>64300-121</t>
  </si>
  <si>
    <t>64300-022</t>
  </si>
  <si>
    <t>64300-122</t>
  </si>
  <si>
    <t>5145-1-24</t>
  </si>
  <si>
    <t>ACP</t>
  </si>
  <si>
    <t>5145-1-24A (10-62090-24)</t>
  </si>
  <si>
    <t>5145-1-40</t>
  </si>
  <si>
    <t>5145-1-40A(10-62090-40)</t>
  </si>
  <si>
    <t>5145-1-43</t>
  </si>
  <si>
    <t>5145-1-43A(10-62090-43)</t>
  </si>
  <si>
    <t>5145-1-44</t>
  </si>
  <si>
    <t>5145-1-44A(10-62090-44)</t>
  </si>
  <si>
    <t>5145-1-46</t>
  </si>
  <si>
    <t>5145-1-46A(10-62090-46)</t>
  </si>
  <si>
    <t>5145-1-47</t>
  </si>
  <si>
    <t>5145-1-47A(10-62090-47)</t>
  </si>
  <si>
    <t>5145-1-48</t>
  </si>
  <si>
    <t>5145-1-48A(10-62090-48)</t>
  </si>
  <si>
    <t>5145-1-60</t>
  </si>
  <si>
    <t>5145-1-60A(10-62090-60)</t>
  </si>
  <si>
    <t>5145-1-61</t>
  </si>
  <si>
    <t>5145-1-61A(10-62090-61)</t>
  </si>
  <si>
    <t>5145-1-62A</t>
  </si>
  <si>
    <t>5145-1-62B(10-62090-62)</t>
  </si>
  <si>
    <t>5145-1-63</t>
  </si>
  <si>
    <t>5145-1-63A(10-62090-63)</t>
  </si>
  <si>
    <t>5145-1-64A(10-62090-64)</t>
  </si>
  <si>
    <t>5145-1-65</t>
  </si>
  <si>
    <t>5145-1-65A(10-62090-65)</t>
  </si>
  <si>
    <t>5145-1-70</t>
  </si>
  <si>
    <t>5145-1-70A(10-62090-70)</t>
  </si>
  <si>
    <t>5145-1-71</t>
  </si>
  <si>
    <t>5145-1-71A(10-62090-71)</t>
  </si>
  <si>
    <t>285W0024-5SP</t>
  </si>
  <si>
    <t>285W0024-5SP MOD A</t>
  </si>
  <si>
    <t>285W0024-5SP MOD AB</t>
  </si>
  <si>
    <t>285W0024-5SP MOD AC</t>
  </si>
  <si>
    <t>285W0024-5SP MOD ABC</t>
  </si>
  <si>
    <t>285W0024-5SP MOD D</t>
  </si>
  <si>
    <t>285W0024-5SP MOD AD</t>
  </si>
  <si>
    <t>285W0024-5SP MOD ACD</t>
  </si>
  <si>
    <t>285W0024-7SP</t>
  </si>
  <si>
    <t>285W0024-7SP MOD A</t>
  </si>
  <si>
    <t>285W0024-8SP</t>
  </si>
  <si>
    <t>285W0024-8SP MOD A</t>
  </si>
  <si>
    <t>285W0024-9SP</t>
  </si>
  <si>
    <t>285W0024-9SP MOD A</t>
  </si>
  <si>
    <t>285W0024-1SP</t>
  </si>
  <si>
    <t>285W0024-1SP MOD A</t>
  </si>
  <si>
    <t>285W0024-1SP MOD D</t>
  </si>
  <si>
    <t>285W0024-1SP MOD AB</t>
  </si>
  <si>
    <t>285W0024-1SP MOD AC</t>
  </si>
  <si>
    <t>285W0024-1SP MOD AD</t>
  </si>
  <si>
    <t>285W0024-1SP MOD ABC</t>
  </si>
  <si>
    <t>285W0024-1SP MOD ACD</t>
  </si>
  <si>
    <t>285W0024-4SP</t>
  </si>
  <si>
    <t>285W0024-4SP MOD A</t>
  </si>
  <si>
    <t>285W0024-4SP MOD D</t>
  </si>
  <si>
    <t>285W0024-4SP MOD AB</t>
  </si>
  <si>
    <t>285W0024-4SP MOD AC</t>
  </si>
  <si>
    <t>285W0024-4SP MOD AD</t>
  </si>
  <si>
    <t>285W0024-4SP MOD ABC</t>
  </si>
  <si>
    <t>285W0024-4SP MOD ACD</t>
  </si>
  <si>
    <t>285W0024-10SP</t>
  </si>
  <si>
    <t>285W0024-10SP MOD A</t>
  </si>
  <si>
    <t>285W0024-10C</t>
  </si>
  <si>
    <t>285W0024-11SP</t>
  </si>
  <si>
    <t>980-6020-001</t>
  </si>
  <si>
    <t>SSCVR</t>
  </si>
  <si>
    <t>980-6020-002</t>
  </si>
  <si>
    <t>980-6020-011</t>
  </si>
  <si>
    <t>980-6020-012</t>
  </si>
  <si>
    <t>980-6020-021</t>
  </si>
  <si>
    <t>980-6020-023</t>
  </si>
  <si>
    <t>980-6022-001</t>
  </si>
  <si>
    <t>980-6022-002</t>
  </si>
  <si>
    <t>Aircraft battery</t>
  </si>
  <si>
    <t>C5 Electrical Power</t>
  </si>
  <si>
    <t>40176-4</t>
  </si>
  <si>
    <t>40176-7</t>
  </si>
  <si>
    <t>015920-000</t>
  </si>
  <si>
    <t>016392-000</t>
  </si>
  <si>
    <t xml:space="preserve">539CH-1 </t>
  </si>
  <si>
    <t>ВА35-01</t>
  </si>
  <si>
    <t>S282T003-1</t>
  </si>
  <si>
    <t>40678-2</t>
  </si>
  <si>
    <t>4078-2</t>
  </si>
  <si>
    <t>1658-6</t>
  </si>
  <si>
    <t>1756-1</t>
  </si>
  <si>
    <t>022835-000</t>
  </si>
  <si>
    <t>1756-3</t>
  </si>
  <si>
    <t>024637-000 (1756-3)</t>
  </si>
  <si>
    <t>024637-000</t>
  </si>
  <si>
    <t>151CH1</t>
  </si>
  <si>
    <t>151CH2</t>
  </si>
  <si>
    <t>4078-3</t>
  </si>
  <si>
    <t>4078-24</t>
  </si>
  <si>
    <t>600-59151-9</t>
  </si>
  <si>
    <t>40178-24</t>
  </si>
  <si>
    <t>024453-000</t>
  </si>
  <si>
    <t>40178-26</t>
  </si>
  <si>
    <t>27578-2</t>
  </si>
  <si>
    <t>TSP-408L-1</t>
  </si>
  <si>
    <t>976J449-1</t>
  </si>
  <si>
    <t>AC Generator</t>
  </si>
  <si>
    <t>976J498-1</t>
  </si>
  <si>
    <t>976J498-1R</t>
  </si>
  <si>
    <t>976J498-2</t>
  </si>
  <si>
    <t>976J598-1</t>
  </si>
  <si>
    <t>948F458-1</t>
  </si>
  <si>
    <t>GCU</t>
  </si>
  <si>
    <t>948F458-2</t>
  </si>
  <si>
    <t>948F458-3</t>
  </si>
  <si>
    <t>948F458-4</t>
  </si>
  <si>
    <t>948F458-5</t>
  </si>
  <si>
    <t>915F212-4</t>
  </si>
  <si>
    <t>915F212-5</t>
  </si>
  <si>
    <t>915F212-6</t>
  </si>
  <si>
    <t>915F212-7</t>
  </si>
  <si>
    <t>915F212-8</t>
  </si>
  <si>
    <t>10-61224-3</t>
  </si>
  <si>
    <t>915F213-3</t>
  </si>
  <si>
    <t>BPP</t>
  </si>
  <si>
    <t>915F213-4</t>
  </si>
  <si>
    <t>D717-01-001</t>
  </si>
  <si>
    <t>EPS</t>
  </si>
  <si>
    <t>3214-30</t>
  </si>
  <si>
    <t>Battery</t>
  </si>
  <si>
    <t>3081-25</t>
  </si>
  <si>
    <t>Ballast Unit</t>
  </si>
  <si>
    <t>3081-35</t>
  </si>
  <si>
    <t>3081-65</t>
  </si>
  <si>
    <t>3250-70</t>
  </si>
  <si>
    <t>3250-30</t>
  </si>
  <si>
    <t>3250-80</t>
  </si>
  <si>
    <t>3250-81</t>
  </si>
  <si>
    <t>3250-82</t>
  </si>
  <si>
    <t>3250-20-10</t>
  </si>
  <si>
    <t>3250-31</t>
  </si>
  <si>
    <t>3250-70-10</t>
  </si>
  <si>
    <t>4197-10</t>
  </si>
  <si>
    <t>4197-10-01</t>
  </si>
  <si>
    <t>4197-10-03</t>
  </si>
  <si>
    <t>4197-10-04</t>
  </si>
  <si>
    <t>4197-20</t>
  </si>
  <si>
    <t>4197-20-01</t>
  </si>
  <si>
    <t>4197-20-03</t>
  </si>
  <si>
    <t>4197-30</t>
  </si>
  <si>
    <t>4197-30-02</t>
  </si>
  <si>
    <t>4197-30-03</t>
  </si>
  <si>
    <t>4197-30-04</t>
  </si>
  <si>
    <t>RLL</t>
  </si>
  <si>
    <t>4315542</t>
  </si>
  <si>
    <t>45-0083-1</t>
  </si>
  <si>
    <t>45-0083-2</t>
  </si>
  <si>
    <t>45-0083-3</t>
  </si>
  <si>
    <t>45-0083-5</t>
  </si>
  <si>
    <t>45-0083-7</t>
  </si>
  <si>
    <t>45-0083-701</t>
  </si>
  <si>
    <t>TAXI LIGHT</t>
  </si>
  <si>
    <t>8000282Y00</t>
  </si>
  <si>
    <t>Z250H2101110</t>
  </si>
  <si>
    <t>Z250H2102110</t>
  </si>
  <si>
    <t>Z250H2103110</t>
  </si>
  <si>
    <t>Z250H2111110</t>
  </si>
  <si>
    <t>Z250H2112110</t>
  </si>
  <si>
    <t>Z250H2113110</t>
  </si>
  <si>
    <t xml:space="preserve">8ES005238-13  </t>
  </si>
  <si>
    <t xml:space="preserve">8ES005237-13  </t>
  </si>
  <si>
    <t>8ES005236-13</t>
  </si>
  <si>
    <t>425-0001-1</t>
  </si>
  <si>
    <t>Coffee Maker</t>
  </si>
  <si>
    <t>C6 Equipment</t>
  </si>
  <si>
    <t>425-0001-3</t>
  </si>
  <si>
    <t>425-0001-5</t>
  </si>
  <si>
    <t>425-0001-9</t>
  </si>
  <si>
    <t>425-0001-13</t>
  </si>
  <si>
    <t>425-0001-7</t>
  </si>
  <si>
    <t>425-0001-11</t>
  </si>
  <si>
    <t>4510-31UF-00</t>
  </si>
  <si>
    <t>Beverage Maker</t>
  </si>
  <si>
    <t>4510-31LF-00</t>
  </si>
  <si>
    <t>4510-32UF-00</t>
  </si>
  <si>
    <t>4510-32LF-00</t>
  </si>
  <si>
    <t>4510-33UF-00</t>
  </si>
  <si>
    <t>4510-33LF-00</t>
  </si>
  <si>
    <t>4510-34UF-00</t>
  </si>
  <si>
    <t>4510-34LF-00</t>
  </si>
  <si>
    <t>4510-35UF-00</t>
  </si>
  <si>
    <t>4510-35LF-00</t>
  </si>
  <si>
    <t>4510-36UF-00</t>
  </si>
  <si>
    <t>4510-36LF-00</t>
  </si>
  <si>
    <t>4510-37UF-00</t>
  </si>
  <si>
    <t>4510-37LF-00</t>
  </si>
  <si>
    <t>4510-38UF-00</t>
  </si>
  <si>
    <t>4510-38LF-00</t>
  </si>
  <si>
    <t>4510-41UF-00</t>
  </si>
  <si>
    <t>4510-41LF-00</t>
  </si>
  <si>
    <t>4510-42UF-00</t>
  </si>
  <si>
    <t>4510-42LF-00</t>
  </si>
  <si>
    <t>4510-43UF-00</t>
  </si>
  <si>
    <t>4510-43LF-00</t>
  </si>
  <si>
    <t>4510-44UF-00</t>
  </si>
  <si>
    <t>4510-44LF-00</t>
  </si>
  <si>
    <t>4510-45UF-00</t>
  </si>
  <si>
    <t>4510-45LF-00</t>
  </si>
  <si>
    <t>4510-46UF-00</t>
  </si>
  <si>
    <t>4510-46LF-00</t>
  </si>
  <si>
    <t>4510-47UF-00</t>
  </si>
  <si>
    <t>4510-47LF-00</t>
  </si>
  <si>
    <t>4510-48UF-00</t>
  </si>
  <si>
    <t>4510-48LF-00</t>
  </si>
  <si>
    <t>4510-31UG-00</t>
  </si>
  <si>
    <t>4510-31LG-00</t>
  </si>
  <si>
    <t>4510-32UG-00</t>
  </si>
  <si>
    <t>4510-32LG-00</t>
  </si>
  <si>
    <t>4510-33UG-00</t>
  </si>
  <si>
    <t>4510-33LG-00</t>
  </si>
  <si>
    <t>4510-34UG-00</t>
  </si>
  <si>
    <t>4510-34LG-00</t>
  </si>
  <si>
    <t>4510-35UG-00</t>
  </si>
  <si>
    <t>4510-35LG-00</t>
  </si>
  <si>
    <t>4510-36UG-00</t>
  </si>
  <si>
    <t xml:space="preserve">4510-36LG-00 </t>
  </si>
  <si>
    <t xml:space="preserve">4510-37UG-00 </t>
  </si>
  <si>
    <t>4510-37LG-00</t>
  </si>
  <si>
    <t xml:space="preserve">4510-38UG-00 </t>
  </si>
  <si>
    <t>4510-41UG-00</t>
  </si>
  <si>
    <t>4510-41LG-00</t>
  </si>
  <si>
    <t>4510-42UG-00</t>
  </si>
  <si>
    <t>4510-42LG-00</t>
  </si>
  <si>
    <t xml:space="preserve">4510-43UG-00 </t>
  </si>
  <si>
    <t>4510-43LG-00</t>
  </si>
  <si>
    <t>4510-44UG-00</t>
  </si>
  <si>
    <t>4510-44LG-00</t>
  </si>
  <si>
    <t>4510-45UG-00</t>
  </si>
  <si>
    <t>4510-45LG-00</t>
  </si>
  <si>
    <t>4510-46UG-00</t>
  </si>
  <si>
    <t>4510-46LG-00</t>
  </si>
  <si>
    <t>4510-47UG-00</t>
  </si>
  <si>
    <t>4510-47LG-00</t>
  </si>
  <si>
    <t>4510-48UG-00</t>
  </si>
  <si>
    <t>4510-48LG-00</t>
  </si>
  <si>
    <t>11225-3</t>
  </si>
  <si>
    <t>11225-31</t>
  </si>
  <si>
    <t>Model 1100</t>
  </si>
  <si>
    <t>3510-0006-01</t>
  </si>
  <si>
    <t>3510-0039-01</t>
  </si>
  <si>
    <t>3510-0039-03</t>
  </si>
  <si>
    <t>3510-0044-05</t>
  </si>
  <si>
    <t>3510-0044-07</t>
  </si>
  <si>
    <t>3510-0044-11</t>
  </si>
  <si>
    <t>3510-0066-01</t>
  </si>
  <si>
    <t>3510-0053-01</t>
  </si>
  <si>
    <t>3510-0072-01</t>
  </si>
  <si>
    <t>416-1001-1</t>
  </si>
  <si>
    <t>416-1001-1P</t>
  </si>
  <si>
    <t>416-1001-3</t>
  </si>
  <si>
    <t>416-1001-5</t>
  </si>
  <si>
    <t>416-1001-7</t>
  </si>
  <si>
    <t>416-1001-9</t>
  </si>
  <si>
    <t>416-1001-13</t>
  </si>
  <si>
    <t>416-1001-15</t>
  </si>
  <si>
    <t>416-1001-17</t>
  </si>
  <si>
    <t>416-1001-19</t>
  </si>
  <si>
    <t>416-1001-21</t>
  </si>
  <si>
    <t>416-1001-23</t>
  </si>
  <si>
    <t>416-1001-25</t>
  </si>
  <si>
    <t>416-1001-35</t>
  </si>
  <si>
    <t>416-1001-39</t>
  </si>
  <si>
    <t>416-1001-41</t>
  </si>
  <si>
    <t>416-1001-45</t>
  </si>
  <si>
    <t>416-1001-47</t>
  </si>
  <si>
    <t>416-1001-49</t>
  </si>
  <si>
    <t>416-0001-1</t>
  </si>
  <si>
    <t>416-0001-1P</t>
  </si>
  <si>
    <t>416-0001-3</t>
  </si>
  <si>
    <t>416-0001-5</t>
  </si>
  <si>
    <t>416-0001-7</t>
  </si>
  <si>
    <t>416-0001-9</t>
  </si>
  <si>
    <t>416-0001-13</t>
  </si>
  <si>
    <t>416-0001-15</t>
  </si>
  <si>
    <t>416-0001-17</t>
  </si>
  <si>
    <t>416-0001-19</t>
  </si>
  <si>
    <t>416-0001-21</t>
  </si>
  <si>
    <t>416-0001-23</t>
  </si>
  <si>
    <t>416-0001-25</t>
  </si>
  <si>
    <t>416-0001-29</t>
  </si>
  <si>
    <t>416-0001-35</t>
  </si>
  <si>
    <t>416-0001-39</t>
  </si>
  <si>
    <t>416-0001-41</t>
  </si>
  <si>
    <t>416-0001-45</t>
  </si>
  <si>
    <t>416-0001-47</t>
  </si>
  <si>
    <t>416-0001-49</t>
  </si>
  <si>
    <t>64753-001-005</t>
  </si>
  <si>
    <t>64752-001-003</t>
  </si>
  <si>
    <t>471-0001-1</t>
  </si>
  <si>
    <t>471-0001-3</t>
  </si>
  <si>
    <t>471-0001-5</t>
  </si>
  <si>
    <t>Oven</t>
  </si>
  <si>
    <t>8203-11-0000A</t>
  </si>
  <si>
    <t>8203-11-0000 A</t>
  </si>
  <si>
    <t>8203-11-0000D</t>
  </si>
  <si>
    <t>8203-12-0000</t>
  </si>
  <si>
    <t>8203-12-0000C</t>
  </si>
  <si>
    <t>8203-12-0000D</t>
  </si>
  <si>
    <t>8203-17-0000</t>
  </si>
  <si>
    <t>8203-62-0000</t>
  </si>
  <si>
    <t>8203-63-0000C</t>
  </si>
  <si>
    <t>8203-67-0000</t>
  </si>
  <si>
    <t>620-0009-1</t>
  </si>
  <si>
    <t>620-0009-3</t>
  </si>
  <si>
    <t>620-0009-5</t>
  </si>
  <si>
    <t>620-0009-7</t>
  </si>
  <si>
    <t>620-0009-9</t>
  </si>
  <si>
    <t>620-0009-11</t>
  </si>
  <si>
    <t>1238A</t>
  </si>
  <si>
    <t>1238B</t>
  </si>
  <si>
    <t>1238C</t>
  </si>
  <si>
    <t>1238D</t>
  </si>
  <si>
    <t>1238E</t>
  </si>
  <si>
    <t>8201-01-0000</t>
  </si>
  <si>
    <t>8201-51-0000</t>
  </si>
  <si>
    <t>8201-02-0000</t>
  </si>
  <si>
    <t>8201-52-0000</t>
  </si>
  <si>
    <t>8201-03-0000</t>
  </si>
  <si>
    <t>8201-53-0000</t>
  </si>
  <si>
    <t>8201-04-0000</t>
  </si>
  <si>
    <t>8201-54-0000</t>
  </si>
  <si>
    <t>8201-07-0000</t>
  </si>
  <si>
    <t>8201-11-0000</t>
  </si>
  <si>
    <t>8201-61-0000</t>
  </si>
  <si>
    <t>8201-13-0000</t>
  </si>
  <si>
    <t>8201-63-0000</t>
  </si>
  <si>
    <t>8201-14-0000</t>
  </si>
  <si>
    <t>8201-64-0000</t>
  </si>
  <si>
    <t>8201-17-0000</t>
  </si>
  <si>
    <t>8201-67-0000</t>
  </si>
  <si>
    <t>8201-11-0000A</t>
  </si>
  <si>
    <t>8201-11-00000</t>
  </si>
  <si>
    <t>8201-12-0000</t>
  </si>
  <si>
    <t>8201-12-00000</t>
  </si>
  <si>
    <t>4313100-00-6600</t>
  </si>
  <si>
    <t>4313101-00-6600</t>
  </si>
  <si>
    <t>4313101-00-66-00</t>
  </si>
  <si>
    <t>Rinse Valve</t>
  </si>
  <si>
    <t>15800-358A</t>
  </si>
  <si>
    <t>Life preserver</t>
  </si>
  <si>
    <t>63600-103</t>
  </si>
  <si>
    <t>63600-105</t>
  </si>
  <si>
    <t>63600-111</t>
  </si>
  <si>
    <t>63600-113</t>
  </si>
  <si>
    <t>63600-115</t>
  </si>
  <si>
    <t>63600-117</t>
  </si>
  <si>
    <t>63600-119</t>
  </si>
  <si>
    <t>63600-121</t>
  </si>
  <si>
    <t>63600-125</t>
  </si>
  <si>
    <t>63600-127</t>
  </si>
  <si>
    <t>63600-129</t>
  </si>
  <si>
    <t>63600-131</t>
  </si>
  <si>
    <t>63600-133</t>
  </si>
  <si>
    <t>63600-135</t>
  </si>
  <si>
    <t>63600-137</t>
  </si>
  <si>
    <t>63600-139</t>
  </si>
  <si>
    <t>63600-143</t>
  </si>
  <si>
    <t>63600-145</t>
  </si>
  <si>
    <t>63600-147</t>
  </si>
  <si>
    <t>63600-149</t>
  </si>
  <si>
    <t>63600-153</t>
  </si>
  <si>
    <t>63600-155</t>
  </si>
  <si>
    <t>63600-157</t>
  </si>
  <si>
    <t>63600-159</t>
  </si>
  <si>
    <t>63600-161</t>
  </si>
  <si>
    <t>63600-163</t>
  </si>
  <si>
    <t>63600-165</t>
  </si>
  <si>
    <t>63600-167</t>
  </si>
  <si>
    <t>63600-169</t>
  </si>
  <si>
    <t>63600-171</t>
  </si>
  <si>
    <t>63600-173</t>
  </si>
  <si>
    <t>63600-175</t>
  </si>
  <si>
    <t>63600-177</t>
  </si>
  <si>
    <t>63600-179</t>
  </si>
  <si>
    <t>63600-181</t>
  </si>
  <si>
    <t>63600-183</t>
  </si>
  <si>
    <t>63600-185</t>
  </si>
  <si>
    <t>63600-187</t>
  </si>
  <si>
    <t>63600-189</t>
  </si>
  <si>
    <t>63600-191</t>
  </si>
  <si>
    <t>63600-193</t>
  </si>
  <si>
    <t>63600-195</t>
  </si>
  <si>
    <t>63600-197</t>
  </si>
  <si>
    <t>63600-199</t>
  </si>
  <si>
    <t>63600-301</t>
  </si>
  <si>
    <t>63600-303</t>
  </si>
  <si>
    <t>63600-401</t>
  </si>
  <si>
    <t>63600-402</t>
  </si>
  <si>
    <t>63600-503</t>
  </si>
  <si>
    <t>63600-505</t>
  </si>
  <si>
    <t>63600-511</t>
  </si>
  <si>
    <t>63600-513</t>
  </si>
  <si>
    <t>63600-515</t>
  </si>
  <si>
    <t>63600-517</t>
  </si>
  <si>
    <t>63600-519</t>
  </si>
  <si>
    <t>63600-521</t>
  </si>
  <si>
    <t>63600-523</t>
  </si>
  <si>
    <t>63600-525</t>
  </si>
  <si>
    <t>63600-527</t>
  </si>
  <si>
    <t>63600-529</t>
  </si>
  <si>
    <t>63600-531</t>
  </si>
  <si>
    <t>63600-533</t>
  </si>
  <si>
    <t>63600-535</t>
  </si>
  <si>
    <t>63600-537</t>
  </si>
  <si>
    <t>63600-539</t>
  </si>
  <si>
    <t>63600-541</t>
  </si>
  <si>
    <t>63600-543</t>
  </si>
  <si>
    <t>63600-545</t>
  </si>
  <si>
    <t>63600-547</t>
  </si>
  <si>
    <t>63600-549</t>
  </si>
  <si>
    <t>63600-555</t>
  </si>
  <si>
    <t>63600-557</t>
  </si>
  <si>
    <t>63600-559</t>
  </si>
  <si>
    <t>63600-561</t>
  </si>
  <si>
    <t>63600-563</t>
  </si>
  <si>
    <t>63600-565</t>
  </si>
  <si>
    <t>63600-567</t>
  </si>
  <si>
    <t>63600-569</t>
  </si>
  <si>
    <t>63600-571</t>
  </si>
  <si>
    <t>63600-573</t>
  </si>
  <si>
    <t>63600-575</t>
  </si>
  <si>
    <t>63600-577</t>
  </si>
  <si>
    <t>63600-579</t>
  </si>
  <si>
    <t>63600-581</t>
  </si>
  <si>
    <t>63600-583</t>
  </si>
  <si>
    <t>63600-585</t>
  </si>
  <si>
    <t>63600-587</t>
  </si>
  <si>
    <t>63600-589</t>
  </si>
  <si>
    <t>63600-591</t>
  </si>
  <si>
    <t>63600-593</t>
  </si>
  <si>
    <t>63600-595</t>
  </si>
  <si>
    <t>63600-597</t>
  </si>
  <si>
    <t>63600-599</t>
  </si>
  <si>
    <t>63600-701</t>
  </si>
  <si>
    <t>63600-703</t>
  </si>
  <si>
    <t>63600-801</t>
  </si>
  <si>
    <t>63600-802</t>
  </si>
  <si>
    <t>D31516-101</t>
  </si>
  <si>
    <t>Slide</t>
  </si>
  <si>
    <t>D31516-103</t>
  </si>
  <si>
    <t>D31516-105</t>
  </si>
  <si>
    <t>D31516-107</t>
  </si>
  <si>
    <t>D31516-109</t>
  </si>
  <si>
    <t>D31516-111</t>
  </si>
  <si>
    <t>D31516-113</t>
  </si>
  <si>
    <t>D31516-115</t>
  </si>
  <si>
    <t>D31516-117</t>
  </si>
  <si>
    <t>D31516-119</t>
  </si>
  <si>
    <t>D31516-121</t>
  </si>
  <si>
    <t>D31516-311</t>
  </si>
  <si>
    <t>D31516-313</t>
  </si>
  <si>
    <t>D31516-315</t>
  </si>
  <si>
    <t>D31516-317</t>
  </si>
  <si>
    <t>D31516-415</t>
  </si>
  <si>
    <t>D31516-417</t>
  </si>
  <si>
    <t>D31516-519</t>
  </si>
  <si>
    <t>D31516-521</t>
  </si>
  <si>
    <t>D31516-523</t>
  </si>
  <si>
    <t>D31516-525</t>
  </si>
  <si>
    <t>D31517-101</t>
  </si>
  <si>
    <t>D31517-103</t>
  </si>
  <si>
    <t>D31517-105</t>
  </si>
  <si>
    <t>D31517-107</t>
  </si>
  <si>
    <t>D31517-109</t>
  </si>
  <si>
    <t>D31517-111</t>
  </si>
  <si>
    <t>D31517-113</t>
  </si>
  <si>
    <t>D31517-115</t>
  </si>
  <si>
    <t>D31517-117</t>
  </si>
  <si>
    <t>D31517-119</t>
  </si>
  <si>
    <t>D31517-121</t>
  </si>
  <si>
    <t>D31517-311</t>
  </si>
  <si>
    <t>D31517-313</t>
  </si>
  <si>
    <t>D31517-315</t>
  </si>
  <si>
    <t>D31517-317</t>
  </si>
  <si>
    <t>D31517-415</t>
  </si>
  <si>
    <t>D31517-417</t>
  </si>
  <si>
    <t>D31517-519</t>
  </si>
  <si>
    <t>D31517-521</t>
  </si>
  <si>
    <t>D31517-523</t>
  </si>
  <si>
    <t>D31517-525</t>
  </si>
  <si>
    <t>D31865-101</t>
  </si>
  <si>
    <t>Slide OFF-WING</t>
  </si>
  <si>
    <t>D31865-102</t>
  </si>
  <si>
    <t>D31865-103</t>
  </si>
  <si>
    <t>D31865-104</t>
  </si>
  <si>
    <t>D31865-105</t>
  </si>
  <si>
    <t>D31865-106</t>
  </si>
  <si>
    <t>D31865-107</t>
  </si>
  <si>
    <t>D31865-108</t>
  </si>
  <si>
    <t>D31865-109</t>
  </si>
  <si>
    <t>D31865-110</t>
  </si>
  <si>
    <t>D31865-209</t>
  </si>
  <si>
    <t>D31865-210</t>
  </si>
  <si>
    <t>D31865-311</t>
  </si>
  <si>
    <t>D31865-312</t>
  </si>
  <si>
    <t>D17978-101</t>
  </si>
  <si>
    <t>Reservoir Assy</t>
  </si>
  <si>
    <t>D17978-103</t>
  </si>
  <si>
    <t>D17978-105</t>
  </si>
  <si>
    <t>D17978-107</t>
  </si>
  <si>
    <t>D17978-109</t>
  </si>
  <si>
    <t>D17978-111</t>
  </si>
  <si>
    <t>D17978-113</t>
  </si>
  <si>
    <t>D17978-115</t>
  </si>
  <si>
    <t>D17978-119</t>
  </si>
  <si>
    <t>D17978-121</t>
  </si>
  <si>
    <t>D17978-131</t>
  </si>
  <si>
    <t>D17978-133</t>
  </si>
  <si>
    <t>D17978-201</t>
  </si>
  <si>
    <t>D17978-203</t>
  </si>
  <si>
    <t>D17978-205</t>
  </si>
  <si>
    <t>D17978-207</t>
  </si>
  <si>
    <t>D17978-209</t>
  </si>
  <si>
    <t>D17978-211</t>
  </si>
  <si>
    <t>D17978-213</t>
  </si>
  <si>
    <t>D17978-215</t>
  </si>
  <si>
    <t>D17978-233</t>
  </si>
  <si>
    <t>D37022-101</t>
  </si>
  <si>
    <t>D37022-103</t>
  </si>
  <si>
    <t>D37022-105</t>
  </si>
  <si>
    <t>D37022-205</t>
  </si>
  <si>
    <t>D17996-101</t>
  </si>
  <si>
    <t>D37080-101</t>
  </si>
  <si>
    <t>D18309-103</t>
  </si>
  <si>
    <t>D18309-105</t>
  </si>
  <si>
    <t>D18309-115</t>
  </si>
  <si>
    <t>D18309-205</t>
  </si>
  <si>
    <t>D18309-305</t>
  </si>
  <si>
    <t>60592-103</t>
  </si>
  <si>
    <t>60592-203</t>
  </si>
  <si>
    <t>61767-103</t>
  </si>
  <si>
    <t>61767-201</t>
  </si>
  <si>
    <t>61767-203</t>
  </si>
  <si>
    <t>61767-101</t>
  </si>
  <si>
    <t>61768-101</t>
  </si>
  <si>
    <t>61768-103</t>
  </si>
  <si>
    <t>61768-201</t>
  </si>
  <si>
    <t>61768-203</t>
  </si>
  <si>
    <t>61639-101</t>
  </si>
  <si>
    <t>61639-103</t>
  </si>
  <si>
    <t>D17906-111</t>
  </si>
  <si>
    <t>D17906-113</t>
  </si>
  <si>
    <t>D17906-115</t>
  </si>
  <si>
    <t>D17906-116</t>
  </si>
  <si>
    <t>D17906-121</t>
  </si>
  <si>
    <t>D17906-122</t>
  </si>
  <si>
    <t>D17906-123</t>
  </si>
  <si>
    <t>D17906-211</t>
  </si>
  <si>
    <t>D17906-213</t>
  </si>
  <si>
    <t>D17906-216</t>
  </si>
  <si>
    <t>D17906-221</t>
  </si>
  <si>
    <t>D17906-222</t>
  </si>
  <si>
    <t>D17906-223</t>
  </si>
  <si>
    <t>60740-101</t>
  </si>
  <si>
    <t>60740-102</t>
  </si>
  <si>
    <t>60740-105</t>
  </si>
  <si>
    <t>D31354-425</t>
  </si>
  <si>
    <t>D31354-433</t>
  </si>
  <si>
    <t>D31354-437</t>
  </si>
  <si>
    <t>D31354-442</t>
  </si>
  <si>
    <t>D31354-426</t>
  </si>
  <si>
    <t>D31354-434</t>
  </si>
  <si>
    <t>D31354-438</t>
  </si>
  <si>
    <t>D31354-443</t>
  </si>
  <si>
    <t>D31354-429</t>
  </si>
  <si>
    <t>D31354-435</t>
  </si>
  <si>
    <t>D31354-439</t>
  </si>
  <si>
    <t>D31354-447</t>
  </si>
  <si>
    <t>D31591-448</t>
  </si>
  <si>
    <t>D31591-449</t>
  </si>
  <si>
    <t>D31591-450</t>
  </si>
  <si>
    <t>D31591-451</t>
  </si>
  <si>
    <t>D31591-452</t>
  </si>
  <si>
    <t>D31591-453</t>
  </si>
  <si>
    <t>D31591-454</t>
  </si>
  <si>
    <t>D31591-458</t>
  </si>
  <si>
    <t>D31591-459</t>
  </si>
  <si>
    <t>D31591-460</t>
  </si>
  <si>
    <t>D31591-461</t>
  </si>
  <si>
    <t>D31591-462</t>
  </si>
  <si>
    <t>D31591-463</t>
  </si>
  <si>
    <t>D31591-464</t>
  </si>
  <si>
    <t>D31591-474</t>
  </si>
  <si>
    <t>D31591-475</t>
  </si>
  <si>
    <t>D31591-476</t>
  </si>
  <si>
    <t>D31591-477</t>
  </si>
  <si>
    <t>D31591-478</t>
  </si>
  <si>
    <t>D31591-479</t>
  </si>
  <si>
    <t>D31591-480</t>
  </si>
  <si>
    <t>D31591-487</t>
  </si>
  <si>
    <t>D31591-488</t>
  </si>
  <si>
    <t>D31591-489</t>
  </si>
  <si>
    <t>10-61323-448</t>
  </si>
  <si>
    <t>10-61323-449</t>
  </si>
  <si>
    <t>10-61323-450</t>
  </si>
  <si>
    <t>10-61323-451</t>
  </si>
  <si>
    <t>10-61323-452</t>
  </si>
  <si>
    <t>10-61323-453</t>
  </si>
  <si>
    <t>10-61323-454</t>
  </si>
  <si>
    <t>10-61323-458</t>
  </si>
  <si>
    <t>10-61323-459</t>
  </si>
  <si>
    <t>10-61323-460</t>
  </si>
  <si>
    <t>10-61323-461</t>
  </si>
  <si>
    <t>10-61323-462</t>
  </si>
  <si>
    <t>10-61323-463</t>
  </si>
  <si>
    <t>10-61323-464</t>
  </si>
  <si>
    <t>10-61323-474</t>
  </si>
  <si>
    <t>10-61323-475</t>
  </si>
  <si>
    <t>10-61323-476</t>
  </si>
  <si>
    <t>10-61323-477</t>
  </si>
  <si>
    <t>10-61323-478</t>
  </si>
  <si>
    <t>10-61323-479</t>
  </si>
  <si>
    <t>10-61323-480</t>
  </si>
  <si>
    <t>10-61323-487</t>
  </si>
  <si>
    <t>10-61323-488</t>
  </si>
  <si>
    <t>10-61323-489</t>
  </si>
  <si>
    <t>SCD 61323-468</t>
  </si>
  <si>
    <t>10-61323-469</t>
  </si>
  <si>
    <t>61620-468</t>
  </si>
  <si>
    <t>61621-469</t>
  </si>
  <si>
    <t>321-409-900-0</t>
  </si>
  <si>
    <t>Junction Box</t>
  </si>
  <si>
    <t>C12 Hydraulic Power</t>
  </si>
  <si>
    <t>TY2091</t>
  </si>
  <si>
    <t>Primary Door Latch</t>
  </si>
  <si>
    <t>TY2091-01A</t>
  </si>
  <si>
    <t>21SN41-42</t>
  </si>
  <si>
    <t>Pressure Switch</t>
  </si>
  <si>
    <t>C7 Engine - APU</t>
  </si>
  <si>
    <t>21SN41-52</t>
  </si>
  <si>
    <t>21SN41-84</t>
  </si>
  <si>
    <t>2-7680-1</t>
  </si>
  <si>
    <t>Fuse</t>
  </si>
  <si>
    <t>С8 Flight Controls</t>
  </si>
  <si>
    <t>(S272U860-5)</t>
  </si>
  <si>
    <t>65-44851-3</t>
  </si>
  <si>
    <t>Actuator</t>
  </si>
  <si>
    <t>65-44851-4</t>
  </si>
  <si>
    <t>65-44851-5</t>
  </si>
  <si>
    <t>65-44851-6</t>
  </si>
  <si>
    <t>65-44851-7</t>
  </si>
  <si>
    <t>65-44851-10</t>
  </si>
  <si>
    <t>65-44851-12</t>
  </si>
  <si>
    <t>65-44851-13</t>
  </si>
  <si>
    <t>65-44851-14</t>
  </si>
  <si>
    <t>251A1510-3</t>
  </si>
  <si>
    <t>65-44960-23</t>
  </si>
  <si>
    <t>65-44960-24</t>
  </si>
  <si>
    <t>65-44960-25</t>
  </si>
  <si>
    <t>65-44960-27</t>
  </si>
  <si>
    <t>65-44960-28</t>
  </si>
  <si>
    <t>D2727000700200</t>
  </si>
  <si>
    <t>Yaw Damper</t>
  </si>
  <si>
    <t>2-7681-1</t>
  </si>
  <si>
    <t>(S272U860-7)</t>
  </si>
  <si>
    <t>FRH 530017C</t>
  </si>
  <si>
    <t>Gas-Charging Valve</t>
  </si>
  <si>
    <t>HTE 510016</t>
  </si>
  <si>
    <t>Gas-Charging / Bleed Valve</t>
  </si>
  <si>
    <t>C82LL0010</t>
  </si>
  <si>
    <t>Drain Valve</t>
  </si>
  <si>
    <t>AE86195G</t>
  </si>
  <si>
    <t>Fill Valve</t>
  </si>
  <si>
    <t xml:space="preserve">PV3-240-10 </t>
  </si>
  <si>
    <t>Hydraulic Pump</t>
  </si>
  <si>
    <t xml:space="preserve">PV3-240-10A </t>
  </si>
  <si>
    <t>PV3-240-10C</t>
  </si>
  <si>
    <t>PV3-240-10D</t>
  </si>
  <si>
    <t>3031863-001</t>
  </si>
  <si>
    <t>6272-1</t>
  </si>
  <si>
    <t>C14 Landing Gear</t>
  </si>
  <si>
    <t>6273-1</t>
  </si>
  <si>
    <t>10-61245-24</t>
  </si>
  <si>
    <t>10-61245-17</t>
  </si>
  <si>
    <t>10-61245-23</t>
  </si>
  <si>
    <t>S274A100-1</t>
  </si>
  <si>
    <t>S274A100-2</t>
  </si>
  <si>
    <t>S274A100-3</t>
  </si>
  <si>
    <t>S274A100-5</t>
  </si>
  <si>
    <t>S274A100-6</t>
  </si>
  <si>
    <t>2-8020-14</t>
  </si>
  <si>
    <t>2-8020-18</t>
  </si>
  <si>
    <t>10-62204-11</t>
  </si>
  <si>
    <t>10-62204-12</t>
  </si>
  <si>
    <t>10-62204-13</t>
  </si>
  <si>
    <t>10-62204-14</t>
  </si>
  <si>
    <t>10-62204-15</t>
  </si>
  <si>
    <t>10-62204-16</t>
  </si>
  <si>
    <t>S273N203-4</t>
  </si>
  <si>
    <t>10-62204-24</t>
  </si>
  <si>
    <t>S274A100-11</t>
  </si>
  <si>
    <t>S274A100-12</t>
  </si>
  <si>
    <t>S274A100-13</t>
  </si>
  <si>
    <t>S274A100-15</t>
  </si>
  <si>
    <t>S274A100-16</t>
  </si>
  <si>
    <t>10-62204-17</t>
  </si>
  <si>
    <t>2-7735-1</t>
  </si>
  <si>
    <t>10-62204-5</t>
  </si>
  <si>
    <t>MC10-02-01</t>
  </si>
  <si>
    <t>Oxygen Mask</t>
  </si>
  <si>
    <t>С15 Oxygen</t>
  </si>
  <si>
    <t>MC10-02-02</t>
  </si>
  <si>
    <t>MC10-02-03</t>
  </si>
  <si>
    <t>MC10-02-04</t>
  </si>
  <si>
    <t>MC10-02-05</t>
  </si>
  <si>
    <t>MC10-02-06</t>
  </si>
  <si>
    <t>MC10-02-07</t>
  </si>
  <si>
    <t>MC10-02-10</t>
  </si>
  <si>
    <t>MC10-02-22</t>
  </si>
  <si>
    <t>MC10-02-50</t>
  </si>
  <si>
    <t>MC10-02-54</t>
  </si>
  <si>
    <t>MC10-02-55</t>
  </si>
  <si>
    <t>MC10-02-69</t>
  </si>
  <si>
    <t>MC10-02-102</t>
  </si>
  <si>
    <t>MC10-02-104</t>
  </si>
  <si>
    <t>MC10-02-105</t>
  </si>
  <si>
    <t>MC10-02-106</t>
  </si>
  <si>
    <t>MC10-02-107</t>
  </si>
  <si>
    <t>MC10-02-108</t>
  </si>
  <si>
    <t>MC10-02-109</t>
  </si>
  <si>
    <t>MC10-02-112</t>
  </si>
  <si>
    <t>MC10-02-115</t>
  </si>
  <si>
    <t>MC10-02-116</t>
  </si>
  <si>
    <t>MC10-02-117</t>
  </si>
  <si>
    <t>MC10-02-121</t>
  </si>
  <si>
    <t>MC10-02-155</t>
  </si>
  <si>
    <t>MC10-02-169</t>
  </si>
  <si>
    <t>MC10-02-170</t>
  </si>
  <si>
    <t>MC10-02-171</t>
  </si>
  <si>
    <t>MC10-04-01</t>
  </si>
  <si>
    <t>MC10-04-02</t>
  </si>
  <si>
    <t>MC10-04-07</t>
  </si>
  <si>
    <t>MC10-04-21</t>
  </si>
  <si>
    <t>MC10-04-22</t>
  </si>
  <si>
    <t>MC10-04-27</t>
  </si>
  <si>
    <t>MC10-04-77</t>
  </si>
  <si>
    <t>MC10-04-101</t>
  </si>
  <si>
    <t>MC10-04-102</t>
  </si>
  <si>
    <t>MC10-04-105</t>
  </si>
  <si>
    <t>MC10-04-107</t>
  </si>
  <si>
    <t>MC10-04-109</t>
  </si>
  <si>
    <t>MC10-04-110</t>
  </si>
  <si>
    <t>MC10-04-111</t>
  </si>
  <si>
    <t>MC10-04-112</t>
  </si>
  <si>
    <t>MC10-04-115</t>
  </si>
  <si>
    <t>MC10-04-116</t>
  </si>
  <si>
    <t>MC10-04-121</t>
  </si>
  <si>
    <t>MC10-04-122</t>
  </si>
  <si>
    <t>MC10-04-127</t>
  </si>
  <si>
    <t>MC10-04-157</t>
  </si>
  <si>
    <t>MC10-04-159</t>
  </si>
  <si>
    <t>MC10-04-177</t>
  </si>
  <si>
    <t>MC10-05-04</t>
  </si>
  <si>
    <t>MC10-05-100</t>
  </si>
  <si>
    <t>MC10-05-101</t>
  </si>
  <si>
    <t>MC10-05-102</t>
  </si>
  <si>
    <t>MC10-05-104</t>
  </si>
  <si>
    <t>MC10-05-124</t>
  </si>
  <si>
    <t>MC10-05-152</t>
  </si>
  <si>
    <t>MC10-06-00</t>
  </si>
  <si>
    <t>MC10-06-01</t>
  </si>
  <si>
    <t>MC10-06-03</t>
  </si>
  <si>
    <t>MC10-06-20</t>
  </si>
  <si>
    <t>MC10-06-21</t>
  </si>
  <si>
    <t>MC10-06-23</t>
  </si>
  <si>
    <t>MC10-06-100</t>
  </si>
  <si>
    <t>MC10-06-101</t>
  </si>
  <si>
    <t>MC10-06-102</t>
  </si>
  <si>
    <t>MC10-06-104</t>
  </si>
  <si>
    <t>MC10-06-105</t>
  </si>
  <si>
    <t>MC10-06-106</t>
  </si>
  <si>
    <t>MC10-06-120</t>
  </si>
  <si>
    <t>MC10-06-121</t>
  </si>
  <si>
    <t>MC10-06-124</t>
  </si>
  <si>
    <t>MC10-06-125</t>
  </si>
  <si>
    <t>MC10-06-126</t>
  </si>
  <si>
    <t>MC10-08-00</t>
  </si>
  <si>
    <t>MC10-08-01</t>
  </si>
  <si>
    <t>MC10-08-02</t>
  </si>
  <si>
    <t>MC10-08-05</t>
  </si>
  <si>
    <t>MC10-08-09</t>
  </si>
  <si>
    <t>MC10-08-13</t>
  </si>
  <si>
    <t>MC10-08-25</t>
  </si>
  <si>
    <t>MC10-08-100</t>
  </si>
  <si>
    <t>MC10-08-102</t>
  </si>
  <si>
    <t>MC10-08-103</t>
  </si>
  <si>
    <t>MC10-08-104</t>
  </si>
  <si>
    <t>MC10-08-106</t>
  </si>
  <si>
    <t>MC10-08-107</t>
  </si>
  <si>
    <t>MC10-08-108</t>
  </si>
  <si>
    <t>MC10-08-110</t>
  </si>
  <si>
    <t>MC10-08-111</t>
  </si>
  <si>
    <t>MC10-08-112</t>
  </si>
  <si>
    <t>MC10-08-120</t>
  </si>
  <si>
    <t>MC10-08-123</t>
  </si>
  <si>
    <t>MC10-08-124</t>
  </si>
  <si>
    <t>MC10-08-126</t>
  </si>
  <si>
    <t>MC10-08-127</t>
  </si>
  <si>
    <t>MC10-08-128</t>
  </si>
  <si>
    <t>MC10-08-209</t>
  </si>
  <si>
    <t>MC10-09-00</t>
  </si>
  <si>
    <t>MC10-09-01</t>
  </si>
  <si>
    <t>MC10-10-100</t>
  </si>
  <si>
    <t>MC10-10-101</t>
  </si>
  <si>
    <t>MC10-10-102</t>
  </si>
  <si>
    <t>MC10-10-103</t>
  </si>
  <si>
    <t>MC10-10-104</t>
  </si>
  <si>
    <t>MC10-12-100</t>
  </si>
  <si>
    <t>MC10-12-101</t>
  </si>
  <si>
    <t>MC10-12-150</t>
  </si>
  <si>
    <t>MC10-12-151</t>
  </si>
  <si>
    <t>MC10-13-02</t>
  </si>
  <si>
    <t>MC10-13-03</t>
  </si>
  <si>
    <t>MC10-13-04</t>
  </si>
  <si>
    <t>MC10-13-05</t>
  </si>
  <si>
    <t>MC10-13-102</t>
  </si>
  <si>
    <t>MC10-13-103</t>
  </si>
  <si>
    <t>MC10-13-104</t>
  </si>
  <si>
    <t>MC10-13-114</t>
  </si>
  <si>
    <t>MC10-13-150</t>
  </si>
  <si>
    <t>MC10-14-00</t>
  </si>
  <si>
    <t>MC10-14-01</t>
  </si>
  <si>
    <t>MC10-14-02</t>
  </si>
  <si>
    <t>MC10-14-20</t>
  </si>
  <si>
    <t>MC10-14-21</t>
  </si>
  <si>
    <t>MC10-14-22</t>
  </si>
  <si>
    <t>MC10-14-100</t>
  </si>
  <si>
    <t>MC10-14-101</t>
  </si>
  <si>
    <t>MC10-14-102</t>
  </si>
  <si>
    <t>MC10-14-103</t>
  </si>
  <si>
    <t>MC10-14-104</t>
  </si>
  <si>
    <t>MC10-14-120</t>
  </si>
  <si>
    <t>MC10-14-121</t>
  </si>
  <si>
    <t>MC10-14-122</t>
  </si>
  <si>
    <t>MC10-14-123</t>
  </si>
  <si>
    <t>MC10-14-124</t>
  </si>
  <si>
    <t>MC10-15-01</t>
  </si>
  <si>
    <t>MC10-15-02</t>
  </si>
  <si>
    <t>MC10-15-03</t>
  </si>
  <si>
    <t>MC10-15-04</t>
  </si>
  <si>
    <t>MC10-15-05</t>
  </si>
  <si>
    <t>MC10-15-07</t>
  </si>
  <si>
    <t>MC10-15-09</t>
  </si>
  <si>
    <t>MC10-15-10</t>
  </si>
  <si>
    <t>MC10-15-11</t>
  </si>
  <si>
    <t>MC10-15-12</t>
  </si>
  <si>
    <t>MC10-15-13</t>
  </si>
  <si>
    <t>MC10-15-17</t>
  </si>
  <si>
    <t>MC10-15-18</t>
  </si>
  <si>
    <t>MC10-15-101</t>
  </si>
  <si>
    <t>MC10-15-102</t>
  </si>
  <si>
    <t>MC10-15-104</t>
  </si>
  <si>
    <t>MC10-15-105</t>
  </si>
  <si>
    <t>MC10-15-107</t>
  </si>
  <si>
    <t>MC10-15-108</t>
  </si>
  <si>
    <t>MC10-15-109</t>
  </si>
  <si>
    <t>MC10-15-113</t>
  </si>
  <si>
    <t>MC10-15-114</t>
  </si>
  <si>
    <t>MC10-15-115</t>
  </si>
  <si>
    <t>MC10-15-116</t>
  </si>
  <si>
    <t>MC10-15-117</t>
  </si>
  <si>
    <t>MC10-15-118</t>
  </si>
  <si>
    <t>MC10-15-119</t>
  </si>
  <si>
    <t>MC10-15-120</t>
  </si>
  <si>
    <t>MC10-15-121</t>
  </si>
  <si>
    <t>MC10-15-122</t>
  </si>
  <si>
    <t>MC10-15-151</t>
  </si>
  <si>
    <t>MC10-15-152</t>
  </si>
  <si>
    <t>MC10-15-155</t>
  </si>
  <si>
    <t>MC10-15-157</t>
  </si>
  <si>
    <t>MC10-15-158</t>
  </si>
  <si>
    <t>MC10-15-159</t>
  </si>
  <si>
    <t>MC10-15-166</t>
  </si>
  <si>
    <t>MC10-15-167</t>
  </si>
  <si>
    <t>MC10-15-168</t>
  </si>
  <si>
    <t>MC10-15-170</t>
  </si>
  <si>
    <t>MC10-15-171</t>
  </si>
  <si>
    <t>MC10-15-176</t>
  </si>
  <si>
    <t>MC10-16-100</t>
  </si>
  <si>
    <t>MC10-16-101</t>
  </si>
  <si>
    <t>MC10-16-103</t>
  </si>
  <si>
    <t>MC10-16-104</t>
  </si>
  <si>
    <t>MC10-16-105</t>
  </si>
  <si>
    <t>MC10-16-150</t>
  </si>
  <si>
    <t>MC10-16-151</t>
  </si>
  <si>
    <t>MC10-16-152</t>
  </si>
  <si>
    <t>MC10-16-153</t>
  </si>
  <si>
    <t>MC10-17-00</t>
  </si>
  <si>
    <t>MC10-17-101</t>
  </si>
  <si>
    <t>MC10-17-100</t>
  </si>
  <si>
    <t>MC10-19-00</t>
  </si>
  <si>
    <t>MC10-19-01</t>
  </si>
  <si>
    <t>MC10-19-02</t>
  </si>
  <si>
    <t>MC10-19-101</t>
  </si>
  <si>
    <t>MC10-19-102</t>
  </si>
  <si>
    <t>MC10-19-103</t>
  </si>
  <si>
    <t>MC10-19-151</t>
  </si>
  <si>
    <t>MC10-20-00</t>
  </si>
  <si>
    <t>MC10-22-00</t>
  </si>
  <si>
    <t>MC10-22-01</t>
  </si>
  <si>
    <t>MC10-22-100</t>
  </si>
  <si>
    <t>MC10-22-101</t>
  </si>
  <si>
    <t>MC10-25-00</t>
  </si>
  <si>
    <t>MC10-25-01</t>
  </si>
  <si>
    <t>MC10-25-04</t>
  </si>
  <si>
    <t>MC10-25-101</t>
  </si>
  <si>
    <t>MC10-25-102</t>
  </si>
  <si>
    <t>MC10-25-103</t>
  </si>
  <si>
    <t>MC10-25-104</t>
  </si>
  <si>
    <t>MC10-25-105</t>
  </si>
  <si>
    <t>MC10-25-106</t>
  </si>
  <si>
    <t>MC10-25-107</t>
  </si>
  <si>
    <t>MC10-25-108</t>
  </si>
  <si>
    <t>MC10-25-124</t>
  </si>
  <si>
    <t>MC10-25-154</t>
  </si>
  <si>
    <t>MC10-25-158</t>
  </si>
  <si>
    <t>MC10-25-204</t>
  </si>
  <si>
    <t>MC10-32-101</t>
  </si>
  <si>
    <t>MC10-32-102</t>
  </si>
  <si>
    <t>MC10-32-103</t>
  </si>
  <si>
    <t>MC10-35-101</t>
  </si>
  <si>
    <t>MC10-35-102</t>
  </si>
  <si>
    <t>MF10-02-01</t>
  </si>
  <si>
    <t>MF10-02-02</t>
  </si>
  <si>
    <t>MF10-02-03</t>
  </si>
  <si>
    <t>MF10-02-04</t>
  </si>
  <si>
    <t>MF10-02-05</t>
  </si>
  <si>
    <t>MF10-02-06</t>
  </si>
  <si>
    <t>MF10-02-08</t>
  </si>
  <si>
    <t>MF10-02-10</t>
  </si>
  <si>
    <t>MF10-02-11</t>
  </si>
  <si>
    <t>MF10-02-12</t>
  </si>
  <si>
    <t>MF10-02-13</t>
  </si>
  <si>
    <t>MF10-02-14</t>
  </si>
  <si>
    <t>MF10-02-20</t>
  </si>
  <si>
    <t>MF10-03-01</t>
  </si>
  <si>
    <t>MF10-03-02</t>
  </si>
  <si>
    <t>MF10-03-03</t>
  </si>
  <si>
    <t>MF10-03-04</t>
  </si>
  <si>
    <t>MF10-03-05</t>
  </si>
  <si>
    <t>MF10-03-08</t>
  </si>
  <si>
    <t>MF10-03-10</t>
  </si>
  <si>
    <t>MF10-03-11</t>
  </si>
  <si>
    <t>MF10-03-12</t>
  </si>
  <si>
    <t>MF10-03-14</t>
  </si>
  <si>
    <t>MF10-04-01</t>
  </si>
  <si>
    <t>MF10-04-02</t>
  </si>
  <si>
    <t>MF10-04-05</t>
  </si>
  <si>
    <t>MF10-04-06</t>
  </si>
  <si>
    <t>MF10-04-07</t>
  </si>
  <si>
    <t>MF10-05-01</t>
  </si>
  <si>
    <t>MF10-05-02</t>
  </si>
  <si>
    <t>MF10-05-03</t>
  </si>
  <si>
    <t>MF10-05-04</t>
  </si>
  <si>
    <t>MF10-05-05</t>
  </si>
  <si>
    <t>MF10-05-07</t>
  </si>
  <si>
    <t>MF10-05-08</t>
  </si>
  <si>
    <t>MF10-05-11</t>
  </si>
  <si>
    <t>MF10-05-12</t>
  </si>
  <si>
    <t>MF10-05-14</t>
  </si>
  <si>
    <t>MF10-08-01</t>
  </si>
  <si>
    <t>MF10-08-02</t>
  </si>
  <si>
    <t>MF10-09-01</t>
  </si>
  <si>
    <t>MF10-10-00</t>
  </si>
  <si>
    <t>MF10-10-01</t>
  </si>
  <si>
    <t>MF10-30-01</t>
  </si>
  <si>
    <t>MF10-30-02</t>
  </si>
  <si>
    <t>MF10-30-03</t>
  </si>
  <si>
    <t>MF10-30-13</t>
  </si>
  <si>
    <t>MF20-001</t>
  </si>
  <si>
    <t>MF20-002</t>
  </si>
  <si>
    <t>MF20-003</t>
  </si>
  <si>
    <t>MF20-004</t>
  </si>
  <si>
    <t>MF20-005</t>
  </si>
  <si>
    <t>MF20-006</t>
  </si>
  <si>
    <t>MF20-007</t>
  </si>
  <si>
    <t>MF20-010</t>
  </si>
  <si>
    <t>MF20-013</t>
  </si>
  <si>
    <t>MF20-028</t>
  </si>
  <si>
    <t>MF20-029</t>
  </si>
  <si>
    <t>MF20-030</t>
  </si>
  <si>
    <t>MF20-107</t>
  </si>
  <si>
    <t>MF20-108</t>
  </si>
  <si>
    <t>MF20-501</t>
  </si>
  <si>
    <t>MF20-502</t>
  </si>
  <si>
    <t>MF20-503</t>
  </si>
  <si>
    <t>MF20-504</t>
  </si>
  <si>
    <t>MF20-506</t>
  </si>
  <si>
    <t>MF20-507</t>
  </si>
  <si>
    <t>MF20-508</t>
  </si>
  <si>
    <t>MF20-509</t>
  </si>
  <si>
    <t>MF20-510</t>
  </si>
  <si>
    <t>MF20-511</t>
  </si>
  <si>
    <t>MF20-512</t>
  </si>
  <si>
    <t>MF20-513</t>
  </si>
  <si>
    <t>MF20-514</t>
  </si>
  <si>
    <t>MF20-515</t>
  </si>
  <si>
    <t>MF20-516</t>
  </si>
  <si>
    <t>MF20-517</t>
  </si>
  <si>
    <t>MF20-518</t>
  </si>
  <si>
    <t>MF20-519</t>
  </si>
  <si>
    <t>MF20-520</t>
  </si>
  <si>
    <t>MF20-524</t>
  </si>
  <si>
    <t>MF20-527</t>
  </si>
  <si>
    <t>MF20-528</t>
  </si>
  <si>
    <t>MF20-529</t>
  </si>
  <si>
    <t>MF20-530</t>
  </si>
  <si>
    <t>MF20-531</t>
  </si>
  <si>
    <t>MF20-532</t>
  </si>
  <si>
    <t>MF20-534</t>
  </si>
  <si>
    <t>MF20-536</t>
  </si>
  <si>
    <t>MF20-537</t>
  </si>
  <si>
    <t>MF20-539</t>
  </si>
  <si>
    <t>MF20-540</t>
  </si>
  <si>
    <t>MF20-541</t>
  </si>
  <si>
    <t>MF20-542</t>
  </si>
  <si>
    <t>MF20-543</t>
  </si>
  <si>
    <t>MF20-544</t>
  </si>
  <si>
    <t>MF20-546</t>
  </si>
  <si>
    <t>MF20-547</t>
  </si>
  <si>
    <t>MF20-548</t>
  </si>
  <si>
    <t>MF20-549</t>
  </si>
  <si>
    <t>MF20-550</t>
  </si>
  <si>
    <t>MF20-551</t>
  </si>
  <si>
    <t>MF20-554</t>
  </si>
  <si>
    <t>MF20-556</t>
  </si>
  <si>
    <t>174095-MA</t>
  </si>
  <si>
    <t>174095-MB</t>
  </si>
  <si>
    <t>174095-MC</t>
  </si>
  <si>
    <t>174095-MD</t>
  </si>
  <si>
    <t>174095-ME</t>
  </si>
  <si>
    <t>174095-MF</t>
  </si>
  <si>
    <t>174095-MG</t>
  </si>
  <si>
    <t>174095-MH</t>
  </si>
  <si>
    <t>174095-MJ</t>
  </si>
  <si>
    <t>174095-MK</t>
  </si>
  <si>
    <t>174095-ML</t>
  </si>
  <si>
    <t>174095-MM</t>
  </si>
  <si>
    <t>174095-M1</t>
  </si>
  <si>
    <t>174095-M2</t>
  </si>
  <si>
    <t>174095-M3</t>
  </si>
  <si>
    <t>174095-M4</t>
  </si>
  <si>
    <t>174095-M5</t>
  </si>
  <si>
    <t>174095-M6</t>
  </si>
  <si>
    <t>174095-M7</t>
  </si>
  <si>
    <t>174095-M8</t>
  </si>
  <si>
    <t>174095-M9</t>
  </si>
  <si>
    <t>174095-1E</t>
  </si>
  <si>
    <t>174095-12</t>
  </si>
  <si>
    <t>174095-24</t>
  </si>
  <si>
    <t>174095-35</t>
  </si>
  <si>
    <t>174095-48</t>
  </si>
  <si>
    <t>174095-51</t>
  </si>
  <si>
    <t>174095-52</t>
  </si>
  <si>
    <t>174095-54</t>
  </si>
  <si>
    <t>174095-57</t>
  </si>
  <si>
    <t>174095-58</t>
  </si>
  <si>
    <t>174095-59</t>
  </si>
  <si>
    <t>174095-60</t>
  </si>
  <si>
    <t>174095-61</t>
  </si>
  <si>
    <t>174095-62</t>
  </si>
  <si>
    <t>174095-66</t>
  </si>
  <si>
    <t>174095-73</t>
  </si>
  <si>
    <t>174095-74</t>
  </si>
  <si>
    <t>174095-76</t>
  </si>
  <si>
    <t>174095-87</t>
  </si>
  <si>
    <t>174095-96</t>
  </si>
  <si>
    <t>174095-97</t>
  </si>
  <si>
    <t>174095-98</t>
  </si>
  <si>
    <t>174097-01</t>
  </si>
  <si>
    <t>174097-04</t>
  </si>
  <si>
    <t>174097-05</t>
  </si>
  <si>
    <t>174097-12</t>
  </si>
  <si>
    <t>174097-17</t>
  </si>
  <si>
    <t>174097-24</t>
  </si>
  <si>
    <t>174097-25</t>
  </si>
  <si>
    <t>174097-27</t>
  </si>
  <si>
    <t>174097-28</t>
  </si>
  <si>
    <t>174097-29</t>
  </si>
  <si>
    <t>174097-30</t>
  </si>
  <si>
    <t>174097-31</t>
  </si>
  <si>
    <t>174097-32</t>
  </si>
  <si>
    <t>174097-33</t>
  </si>
  <si>
    <t>174097-34</t>
  </si>
  <si>
    <t>174097-40</t>
  </si>
  <si>
    <t>174097-47</t>
  </si>
  <si>
    <t>174097-48</t>
  </si>
  <si>
    <t>174097-51</t>
  </si>
  <si>
    <t>174097-52</t>
  </si>
  <si>
    <t>174097-53</t>
  </si>
  <si>
    <t>174097-54</t>
  </si>
  <si>
    <t>174097-55</t>
  </si>
  <si>
    <t>174097-56</t>
  </si>
  <si>
    <t>174097-57</t>
  </si>
  <si>
    <t>174097-58</t>
  </si>
  <si>
    <t>174097-59</t>
  </si>
  <si>
    <t>174097-71</t>
  </si>
  <si>
    <t>174097-72</t>
  </si>
  <si>
    <t>174097-73</t>
  </si>
  <si>
    <t>174097-74</t>
  </si>
  <si>
    <t>174097-75</t>
  </si>
  <si>
    <t>174097-76</t>
  </si>
  <si>
    <t>174097-80</t>
  </si>
  <si>
    <t>174097-83</t>
  </si>
  <si>
    <t>174097-86</t>
  </si>
  <si>
    <t>174097-88</t>
  </si>
  <si>
    <t>174097-89</t>
  </si>
  <si>
    <t>174097-801</t>
  </si>
  <si>
    <t>174097-802</t>
  </si>
  <si>
    <t>174097-803</t>
  </si>
  <si>
    <t>174097-804</t>
  </si>
  <si>
    <t>174097-805</t>
  </si>
  <si>
    <t>174097-806</t>
  </si>
  <si>
    <t>174097-807</t>
  </si>
  <si>
    <t>174097-808</t>
  </si>
  <si>
    <t>174097-809</t>
  </si>
  <si>
    <t>891311-00</t>
  </si>
  <si>
    <t>Oxygen Cylinder</t>
  </si>
  <si>
    <t>891311-11</t>
  </si>
  <si>
    <t>891311-14</t>
  </si>
  <si>
    <t>891311-19</t>
  </si>
  <si>
    <t>891311-31</t>
  </si>
  <si>
    <t>891311-23</t>
  </si>
  <si>
    <t>891411-00</t>
  </si>
  <si>
    <t>891411-14</t>
  </si>
  <si>
    <t>891411-17</t>
  </si>
  <si>
    <t>891411-19</t>
  </si>
  <si>
    <t>891411-31</t>
  </si>
  <si>
    <t>891511-00</t>
  </si>
  <si>
    <t>891511-11</t>
  </si>
  <si>
    <t>891511-14</t>
  </si>
  <si>
    <t>891511-31</t>
  </si>
  <si>
    <t>891111-14</t>
  </si>
  <si>
    <t>891211-14</t>
  </si>
  <si>
    <t>9700-A1A-BF20B</t>
  </si>
  <si>
    <t>9700-A1A-BF23A</t>
  </si>
  <si>
    <t>9700-A1A-BF23B</t>
  </si>
  <si>
    <t>9700-A1A-B20A</t>
  </si>
  <si>
    <t>9700-A1A-YY0N</t>
  </si>
  <si>
    <t>9700-B1X-BBF25A</t>
  </si>
  <si>
    <t>9700-C1A-BB23A</t>
  </si>
  <si>
    <t>9700-C1A-BF20A</t>
  </si>
  <si>
    <t>9700-C1A-BF20B</t>
  </si>
  <si>
    <t>9700-C1A-BF20D</t>
  </si>
  <si>
    <t>9700-C1A-BF23AM</t>
  </si>
  <si>
    <t>9700-C1A-BF23B</t>
  </si>
  <si>
    <t>9700-C1A-BF23C</t>
  </si>
  <si>
    <t>9700-C1A-BF23D</t>
  </si>
  <si>
    <t>9700-C1A-B23AN</t>
  </si>
  <si>
    <t>9700-C1A-F20D</t>
  </si>
  <si>
    <t>9700-C1A-F23A</t>
  </si>
  <si>
    <t>9700-C1A-F23AM</t>
  </si>
  <si>
    <t>9700-C1A-F23AN</t>
  </si>
  <si>
    <t>9700-C1A-F23BN</t>
  </si>
  <si>
    <t>9700-C1A-YY0N</t>
  </si>
  <si>
    <t>9700-C1A-YY0S</t>
  </si>
  <si>
    <t>9700-C1A-Y0N</t>
  </si>
  <si>
    <t>9700-C1B-BF23D</t>
  </si>
  <si>
    <t>9700-C1C-BF23A</t>
  </si>
  <si>
    <t>9700-C2C-F20D</t>
  </si>
  <si>
    <t>9700-C3C-BF20D</t>
  </si>
  <si>
    <t>9700-D1A-BBF20B</t>
  </si>
  <si>
    <t>9700-D1A-BBF23A</t>
  </si>
  <si>
    <t>9700-F1A-BF23AM</t>
  </si>
  <si>
    <t>9700-F1A-BF23AN</t>
  </si>
  <si>
    <t>9700-FAB-F23BN</t>
  </si>
  <si>
    <t>9700-F1A-BY23AN</t>
  </si>
  <si>
    <t>9700-F1A-YYY0N</t>
  </si>
  <si>
    <t>9700-C1A-FF23A</t>
  </si>
  <si>
    <t>9700-F1A-F23AKN</t>
  </si>
  <si>
    <t>9700-F1A-F23A</t>
  </si>
  <si>
    <t>9700-G2A-BF10A</t>
  </si>
  <si>
    <t>9700-G2A-BF10B</t>
  </si>
  <si>
    <t>9700-G2A-BF10D</t>
  </si>
  <si>
    <t>9700-G2A-BF20A</t>
  </si>
  <si>
    <t>9700-G2A-BF20B</t>
  </si>
  <si>
    <t>9700-G2A-BF20D</t>
  </si>
  <si>
    <t>9700-G2A-BF23A</t>
  </si>
  <si>
    <t>9700-G2A-BF23B</t>
  </si>
  <si>
    <t>9700-G2A-BF23D</t>
  </si>
  <si>
    <t>9700-G2A-F10AN</t>
  </si>
  <si>
    <t>9700-G2A-F10D</t>
  </si>
  <si>
    <t>9700-G2A-F20AN</t>
  </si>
  <si>
    <t>9700-G2A-F20D</t>
  </si>
  <si>
    <t>9700-G2A-F23AN</t>
  </si>
  <si>
    <t>9700-G2A-F23D</t>
  </si>
  <si>
    <t>9700-H2A-BF10BN</t>
  </si>
  <si>
    <t>9700-H2A-BF20BN</t>
  </si>
  <si>
    <t>9700-H2A-BF23BN</t>
  </si>
  <si>
    <t>9700-G2A-BF25A</t>
  </si>
  <si>
    <t>9700-G2A-FF25B</t>
  </si>
  <si>
    <t>9700-G2X-Y0N</t>
  </si>
  <si>
    <t>9800-1C1A-E20A</t>
  </si>
  <si>
    <t>9800-1C1A-E20B</t>
  </si>
  <si>
    <t>9800-1C1A-E23B</t>
  </si>
  <si>
    <t>9800-1C1A-F20A</t>
  </si>
  <si>
    <t>9800-1C1A-F20B</t>
  </si>
  <si>
    <t>9800-1C1A-F23A</t>
  </si>
  <si>
    <t>9800-1C1A-X0N</t>
  </si>
  <si>
    <t>9800-1C1A-X0X</t>
  </si>
  <si>
    <t>9800-1D1A-BF23A</t>
  </si>
  <si>
    <t>9800-1D1A-F23AN</t>
  </si>
  <si>
    <t>9800-2C1A-E20A</t>
  </si>
  <si>
    <t>9800-2C1A-E20B</t>
  </si>
  <si>
    <t>9800-2C1A-E20C</t>
  </si>
  <si>
    <t>9800-2C1A-E20D</t>
  </si>
  <si>
    <t>9800-2C1A-E23A</t>
  </si>
  <si>
    <t>9800-2C1A-E23B</t>
  </si>
  <si>
    <t>9800-2C1A-F23A</t>
  </si>
  <si>
    <t>9800-2C1A-F23D</t>
  </si>
  <si>
    <t>9800-2C1A-X0M</t>
  </si>
  <si>
    <t>9800-2C1A-X0X</t>
  </si>
  <si>
    <t>9800-2D1A-BF20B</t>
  </si>
  <si>
    <t>9800-2D1A-BF23A</t>
  </si>
  <si>
    <t>9800-2D1A-E23AM</t>
  </si>
  <si>
    <t>9800-2D1A-F20BM</t>
  </si>
  <si>
    <t>9800-2D1A-F23AM</t>
  </si>
  <si>
    <t>9800-2D1A-F23AN</t>
  </si>
  <si>
    <t>9800-2D1A-F23BM</t>
  </si>
  <si>
    <t>9800-9C1A-E23A</t>
  </si>
  <si>
    <t>9800-9C1A-X0X</t>
  </si>
  <si>
    <t>9800-9D1A-F23AM</t>
  </si>
  <si>
    <t>9800-1D1A-F-23AM</t>
  </si>
  <si>
    <t>9800-8C1B-F23A</t>
  </si>
  <si>
    <t>803668-01</t>
  </si>
  <si>
    <t>807434-01</t>
  </si>
  <si>
    <t>5500-A1A-AB23A</t>
  </si>
  <si>
    <t>5500-A1A-AE20B</t>
  </si>
  <si>
    <t xml:space="preserve">5500-A1A-A15A </t>
  </si>
  <si>
    <t xml:space="preserve">5500-A1A-A15D </t>
  </si>
  <si>
    <t xml:space="preserve">5500-A1A-A23A </t>
  </si>
  <si>
    <t>5500-A1A-BB20A</t>
  </si>
  <si>
    <t>5500-A1A-BB23A</t>
  </si>
  <si>
    <t>5500-A1A-BB25A</t>
  </si>
  <si>
    <t>5500-A1A-BC30A</t>
  </si>
  <si>
    <t>5500-A1A-BE20A</t>
  </si>
  <si>
    <t>5500-A1A-BE20B</t>
  </si>
  <si>
    <t>5500-A1A-BF10A</t>
  </si>
  <si>
    <t>5500-A1A-BF20A</t>
  </si>
  <si>
    <t>5500-A1A-BF20B</t>
  </si>
  <si>
    <t>5500-A1A-BF23B</t>
  </si>
  <si>
    <t>5500-A1A-BF23D</t>
  </si>
  <si>
    <t>5500-A1A-BF25A</t>
  </si>
  <si>
    <t>5500-A1A-BF25B</t>
  </si>
  <si>
    <t>5500-A1A-BF30A</t>
  </si>
  <si>
    <t>5500-A1A-BF30B</t>
  </si>
  <si>
    <t xml:space="preserve">5500-A1A-B15A </t>
  </si>
  <si>
    <t xml:space="preserve">5500-A1A-B20A </t>
  </si>
  <si>
    <t xml:space="preserve">5500-A1A-C30B </t>
  </si>
  <si>
    <t>5500-A1A-EE23A</t>
  </si>
  <si>
    <t xml:space="preserve">5500-A1A-E20A </t>
  </si>
  <si>
    <t xml:space="preserve">5500-A1A-E20B </t>
  </si>
  <si>
    <t>5500-A1A-E20BK</t>
  </si>
  <si>
    <t xml:space="preserve">5500-A1A-F20A </t>
  </si>
  <si>
    <t>5500-A1A-F20B</t>
  </si>
  <si>
    <t>5500-A1A-F20D</t>
  </si>
  <si>
    <t>5500-A1A-F23A</t>
  </si>
  <si>
    <t>5500-A1A-F25A</t>
  </si>
  <si>
    <t>5500-A1A-F25AN</t>
  </si>
  <si>
    <t>5500-A1A-X0K</t>
  </si>
  <si>
    <t>5500-A1A-YY0E</t>
  </si>
  <si>
    <t>5500-A1B-F23A</t>
  </si>
  <si>
    <t>5500-A1M-AA15B</t>
  </si>
  <si>
    <t>5500-A1N-BF23A</t>
  </si>
  <si>
    <t>5500-A1Q-B30AD</t>
  </si>
  <si>
    <t>5500-A1Q-B30D</t>
  </si>
  <si>
    <t>5500-A1Q-B30DA</t>
  </si>
  <si>
    <t>5500-A1R-EE25A</t>
  </si>
  <si>
    <t>5500-A1S-B20A</t>
  </si>
  <si>
    <t>5500-A1S-CC30A</t>
  </si>
  <si>
    <t>5500-A1T-BF20B</t>
  </si>
  <si>
    <t>5500-A1U-BF23A</t>
  </si>
  <si>
    <t>5500-A1U-BF25A</t>
  </si>
  <si>
    <t>5500-A1U-EE25A</t>
  </si>
  <si>
    <t>5500-A1U-F30AN</t>
  </si>
  <si>
    <t>5500-A1V-BF20B</t>
  </si>
  <si>
    <t>5500-A1V-BF23B</t>
  </si>
  <si>
    <t>5500-A1V-BF25B</t>
  </si>
  <si>
    <t>5500-A1V-F20BM</t>
  </si>
  <si>
    <t>5500-A1W-BF23A</t>
  </si>
  <si>
    <t>5500-A1W-BF25A</t>
  </si>
  <si>
    <t>5500-A1W-BF30A</t>
  </si>
  <si>
    <t>5500-A1X-BF20B</t>
  </si>
  <si>
    <t>5500-A1X-FF23A</t>
  </si>
  <si>
    <t>5500-A1Y-BF20B</t>
  </si>
  <si>
    <t>5500-A3A-BF23A</t>
  </si>
  <si>
    <t>5500-A5A-BG20B</t>
  </si>
  <si>
    <t>5500-A6A-BF23A</t>
  </si>
  <si>
    <t>5500-A6A-BF23B</t>
  </si>
  <si>
    <t>5500-A6A-BG20B</t>
  </si>
  <si>
    <t>5500-A6A-F20B</t>
  </si>
  <si>
    <t>5500-A6P-FF23A</t>
  </si>
  <si>
    <t>5500-A6S-B30A</t>
  </si>
  <si>
    <t>5500-A6U-E30A</t>
  </si>
  <si>
    <t>5500-A6W-BB15A</t>
  </si>
  <si>
    <t>5500-A6W-BB23A</t>
  </si>
  <si>
    <t>5500-A6W-BB25A</t>
  </si>
  <si>
    <t>5500-A6W-FF23A</t>
  </si>
  <si>
    <t>5500-A6W-F30AP</t>
  </si>
  <si>
    <t>5500-A9A-B30A</t>
  </si>
  <si>
    <t>5500-A9S-AC25A</t>
  </si>
  <si>
    <t>5500-A9S-BF30A</t>
  </si>
  <si>
    <t>5500-A9S-G30A</t>
  </si>
  <si>
    <t>5500-A9W-EE25A</t>
  </si>
  <si>
    <t>5500-A9X-F23A</t>
  </si>
  <si>
    <t>5500-A1A-A15D</t>
  </si>
  <si>
    <t>5500-A1A-A23A</t>
  </si>
  <si>
    <t>5500-A1A-G20B</t>
  </si>
  <si>
    <t>5500-A1A-Y0N</t>
  </si>
  <si>
    <t>5500-A1P-BF23A</t>
  </si>
  <si>
    <t>5500-A1S-B15A</t>
  </si>
  <si>
    <t>5500-A1U-F25A</t>
  </si>
  <si>
    <t>5500-A1W-BF15A</t>
  </si>
  <si>
    <t>5500-A6W-FF15A</t>
  </si>
  <si>
    <t>5500-B1A-BE20B</t>
  </si>
  <si>
    <t>5500-B1A-BF20A</t>
  </si>
  <si>
    <t>5500-B1A-BF20B</t>
  </si>
  <si>
    <t>5500-B1A-BF20D</t>
  </si>
  <si>
    <t>5500-B1A-BF23A</t>
  </si>
  <si>
    <t>5500-B1A-BF23B</t>
  </si>
  <si>
    <t>5500-B1A-BF25A</t>
  </si>
  <si>
    <t>5500-B1A-B30A</t>
  </si>
  <si>
    <t>5500-B1A-CF23A</t>
  </si>
  <si>
    <t>5500-B1A-CF25A</t>
  </si>
  <si>
    <t>5500-B1A-FF20A</t>
  </si>
  <si>
    <t>5500-B1A-F20D</t>
  </si>
  <si>
    <t>5500-B1A-F23A</t>
  </si>
  <si>
    <t>5500-B1A-F30A</t>
  </si>
  <si>
    <t>5500-B1A-YY0E</t>
  </si>
  <si>
    <t>5500-B1A-Y0P</t>
  </si>
  <si>
    <t>5500-B1S-B20A</t>
  </si>
  <si>
    <t>5500-B1S-B20AP</t>
  </si>
  <si>
    <t>5500-B1U-BF23A</t>
  </si>
  <si>
    <t>5500-B1V-BE20B</t>
  </si>
  <si>
    <t>5500-B1V-BF20B</t>
  </si>
  <si>
    <t>5500-B1W-BF10A</t>
  </si>
  <si>
    <t>5500-B1W-BF20A</t>
  </si>
  <si>
    <t>5500-B1X-YY0E</t>
  </si>
  <si>
    <t>5500-B1X-Y0E</t>
  </si>
  <si>
    <t>5500-B3B-F25A</t>
  </si>
  <si>
    <t>5500-B6C-BF25A</t>
  </si>
  <si>
    <t>5500-B6U-BF25A</t>
  </si>
  <si>
    <t>5500-B6U-F30AN</t>
  </si>
  <si>
    <t>5500-B1A-C20A</t>
  </si>
  <si>
    <t>5500-B1A-E20A</t>
  </si>
  <si>
    <t>5500-B6A-BF23B</t>
  </si>
  <si>
    <t>5500-B6A-F23B</t>
  </si>
  <si>
    <t>5500-B6X-X0K</t>
  </si>
  <si>
    <t>5500-B1A-BF30A</t>
  </si>
  <si>
    <t>5500-C1A-BB20B</t>
  </si>
  <si>
    <t>5500-C1A-BF20A</t>
  </si>
  <si>
    <t>5500-C1A-BF20B</t>
  </si>
  <si>
    <t>5500-C1A-BF20D</t>
  </si>
  <si>
    <t>5500-C1A-BF23B</t>
  </si>
  <si>
    <t>5500-C1A-BF23D</t>
  </si>
  <si>
    <t>5500-C1A-BF30A</t>
  </si>
  <si>
    <t>5500-C1A-BG23A</t>
  </si>
  <si>
    <t>5500-C1A-B23A</t>
  </si>
  <si>
    <t>5500-C1A-EG23A</t>
  </si>
  <si>
    <t>5500-C1A-EY20BM</t>
  </si>
  <si>
    <t>5500-C1A-E20BN</t>
  </si>
  <si>
    <t>5500-C1A-E23AN</t>
  </si>
  <si>
    <t>5500-C1A-FF20A</t>
  </si>
  <si>
    <t>5500-C1A-FF23A</t>
  </si>
  <si>
    <t>5500-C1A-FG23A</t>
  </si>
  <si>
    <t>5500-C1A-FH23A</t>
  </si>
  <si>
    <t>5500-C1A-FY30BN</t>
  </si>
  <si>
    <t>5500-C1A-F20B</t>
  </si>
  <si>
    <t>5500-C1A-F23A</t>
  </si>
  <si>
    <t>5500-C1A-F23AP</t>
  </si>
  <si>
    <t>5500-C1A-F25A</t>
  </si>
  <si>
    <t>5500-C1A-X0K</t>
  </si>
  <si>
    <t>5500-C1A-YY0E</t>
  </si>
  <si>
    <t>5500-C1A-YY0EE</t>
  </si>
  <si>
    <t>5500-C1A-YY0N</t>
  </si>
  <si>
    <t>5500-C1A-Y0E</t>
  </si>
  <si>
    <t>5500-C1A-Y0EE</t>
  </si>
  <si>
    <t>5500-C1A-Y0N</t>
  </si>
  <si>
    <t>5500-C1B-BF23D</t>
  </si>
  <si>
    <t>5500-C1B-E25A</t>
  </si>
  <si>
    <t>5500-C1N-BF23A</t>
  </si>
  <si>
    <t>5500-C1S-BF20A</t>
  </si>
  <si>
    <t>5500-C1S-BY20AE</t>
  </si>
  <si>
    <t>5500-C1S-B20AE</t>
  </si>
  <si>
    <t>5500-C1S-B20AP</t>
  </si>
  <si>
    <t>5500-C1S-F23A</t>
  </si>
  <si>
    <t>5500-C1T-BF20B</t>
  </si>
  <si>
    <t>5500-C1T-F20BM</t>
  </si>
  <si>
    <t>5500-C1U-BF23A</t>
  </si>
  <si>
    <t>5500-C1U-BF25A</t>
  </si>
  <si>
    <t>5500-C1U-BF30A</t>
  </si>
  <si>
    <t>5500-C1U-B23AN</t>
  </si>
  <si>
    <t>5500-C1U-B25A</t>
  </si>
  <si>
    <t>5500-C1U-FF23A</t>
  </si>
  <si>
    <t>5500-C1U-F20AN</t>
  </si>
  <si>
    <t>5500-C1U-F23A</t>
  </si>
  <si>
    <t>5500-C1U-F30AN</t>
  </si>
  <si>
    <t>5500-C1V-FG20B</t>
  </si>
  <si>
    <t>5500-C1V-FY30AN</t>
  </si>
  <si>
    <t>5500-C1V-FY30BN</t>
  </si>
  <si>
    <t>5500-C1V-F20BM</t>
  </si>
  <si>
    <t>5500-C1V-F30AN</t>
  </si>
  <si>
    <t>5500-C1V-F30BN</t>
  </si>
  <si>
    <t>5500-C1W-BF23A</t>
  </si>
  <si>
    <t>5500-C1W-BF30A</t>
  </si>
  <si>
    <t>5500-C1X-BF20B</t>
  </si>
  <si>
    <t>5500-C1X-Y0N</t>
  </si>
  <si>
    <t>5500-C1Y-BF20B</t>
  </si>
  <si>
    <t>5500-C6A-BF15A</t>
  </si>
  <si>
    <t>5500-C6A-BF20B</t>
  </si>
  <si>
    <t>5500-C6A-BF23A</t>
  </si>
  <si>
    <t>5500-C6A-BF23B</t>
  </si>
  <si>
    <t>5500-C6A-BF23D</t>
  </si>
  <si>
    <t>5500-C6A-BF25A</t>
  </si>
  <si>
    <t>5500-C6A-BG30B</t>
  </si>
  <si>
    <t>5500-C6A-EF20A</t>
  </si>
  <si>
    <t>5500-C6A-F20A</t>
  </si>
  <si>
    <t>5500-C6A-F20AR</t>
  </si>
  <si>
    <t>5500-C6A-F23AE</t>
  </si>
  <si>
    <t>5500-C6A-F30A</t>
  </si>
  <si>
    <t>5500-C6A-F30AE</t>
  </si>
  <si>
    <t>5500-C6A-F30AN</t>
  </si>
  <si>
    <t>5500-C6A-G30AN</t>
  </si>
  <si>
    <t>5500-C6A-YY0N</t>
  </si>
  <si>
    <t>5500-C6A-Y0N</t>
  </si>
  <si>
    <t>5500-C6E-BF23D</t>
  </si>
  <si>
    <t>5500-C6R-BF23D</t>
  </si>
  <si>
    <t>5500-C6T-G20B</t>
  </si>
  <si>
    <t>5500-C6U-BF30A</t>
  </si>
  <si>
    <t>5500-C6U-F23AP</t>
  </si>
  <si>
    <t>5500-C6U-F30AN</t>
  </si>
  <si>
    <t>5500-C6W-FF23A</t>
  </si>
  <si>
    <t>5500-C6X-BF23D</t>
  </si>
  <si>
    <t>5500-C9A-BF20A</t>
  </si>
  <si>
    <t>5500-C9A-BF20B</t>
  </si>
  <si>
    <t>5500-C9A-FF10A</t>
  </si>
  <si>
    <t>5500-C9S-F30A</t>
  </si>
  <si>
    <t>5500-C9U-F30AN</t>
  </si>
  <si>
    <t>5500-C9U-H20A</t>
  </si>
  <si>
    <t>5500-C9W-FF10A</t>
  </si>
  <si>
    <t>5500-C9W-Y0E</t>
  </si>
  <si>
    <t>5500-C9X-BB20A</t>
  </si>
  <si>
    <t>5500-C1A-F20BN</t>
  </si>
  <si>
    <t>5500-C1A-F23AK</t>
  </si>
  <si>
    <t>5500-C1A-Y0EN</t>
  </si>
  <si>
    <t>5500-C1A-Y0P</t>
  </si>
  <si>
    <t>5500-C1S-B23A</t>
  </si>
  <si>
    <t>5500-C1V-G30BN</t>
  </si>
  <si>
    <t>5500-C1W-FF20A</t>
  </si>
  <si>
    <t>5500-C1W-FF30A</t>
  </si>
  <si>
    <t>5500-C6A</t>
  </si>
  <si>
    <t>5500-C6A-BF20A</t>
  </si>
  <si>
    <t>5500-C9A-E30A</t>
  </si>
  <si>
    <t>5500-D1A-BF23A</t>
  </si>
  <si>
    <t>5500-D1A-E20A</t>
  </si>
  <si>
    <t>5500-D1A-E25A</t>
  </si>
  <si>
    <t>5500-D1A-F23A</t>
  </si>
  <si>
    <t>5500-D1A-YY0E</t>
  </si>
  <si>
    <t>5500-D1A-YY0P</t>
  </si>
  <si>
    <t>5500-D1A-Y0E</t>
  </si>
  <si>
    <t>5500-D1A-Y0N</t>
  </si>
  <si>
    <t>5500-D1P-CC20A</t>
  </si>
  <si>
    <t>5500-D1W-BB15A</t>
  </si>
  <si>
    <t>5500-D1X-Y0E</t>
  </si>
  <si>
    <t>5500-D1X-Y0N</t>
  </si>
  <si>
    <t>5500-D6A-YY0E</t>
  </si>
  <si>
    <t>5500-D6A-YY0N</t>
  </si>
  <si>
    <t>5500-D6A-Y0E</t>
  </si>
  <si>
    <t>5500-D6P-BF25A</t>
  </si>
  <si>
    <t>5500-D6X-HH30A</t>
  </si>
  <si>
    <t>5500-D1A-Y0P</t>
  </si>
  <si>
    <t>5500-D1W-BF23A</t>
  </si>
  <si>
    <t>5500-D6A</t>
  </si>
  <si>
    <t>5500-D6A-Y0N</t>
  </si>
  <si>
    <t>5500-F1X-FH20A</t>
  </si>
  <si>
    <t>5500-F6A-BB30A</t>
  </si>
  <si>
    <t>5500-G1A-B23A</t>
  </si>
  <si>
    <t>5500-G1A-F20A</t>
  </si>
  <si>
    <t>5500-G1W-EE30A</t>
  </si>
  <si>
    <t>5500-J1A-ABE20B</t>
  </si>
  <si>
    <t>5500-J1A-BBF20A</t>
  </si>
  <si>
    <t>5500-J1A-BBF20B</t>
  </si>
  <si>
    <t>5500-J1A-BBF23A</t>
  </si>
  <si>
    <t>5500-J1A-BEG20B</t>
  </si>
  <si>
    <t>5500-J1A-BFL23A</t>
  </si>
  <si>
    <t>5500-L1W-BBF23A</t>
  </si>
  <si>
    <t>5500-L6C-BBF23A</t>
  </si>
  <si>
    <t>5500-L6C-BBF25A</t>
  </si>
  <si>
    <t>5500-L6U-BBF25A</t>
  </si>
  <si>
    <t>5500-L6W-BBF25A</t>
  </si>
  <si>
    <t>5500-L6W-BEF23A</t>
  </si>
  <si>
    <t>5500-L6W-FF23AP</t>
  </si>
  <si>
    <t>5500-M1A-BBB20B</t>
  </si>
  <si>
    <t>5500-M1A-BH23A</t>
  </si>
  <si>
    <t>5500-M1A-BH23AN</t>
  </si>
  <si>
    <t>5500-M1A-FFF25A</t>
  </si>
  <si>
    <t>5500-M1A-LLL30A</t>
  </si>
  <si>
    <t>5500-M1A-X0K</t>
  </si>
  <si>
    <t>5500-M1W-BF23AM</t>
  </si>
  <si>
    <t>5500-M6W-BBF10A</t>
  </si>
  <si>
    <t>5500-M6W-FF23AN</t>
  </si>
  <si>
    <t>5500-M6W-FF23AP</t>
  </si>
  <si>
    <t>5500-P6U-EEE20A</t>
  </si>
  <si>
    <t>5500-S6X-YY0E</t>
  </si>
  <si>
    <t>5500-S6X-YY0N</t>
  </si>
  <si>
    <t>5500-S9X-YYY0E</t>
  </si>
  <si>
    <t>5500-S9X-YY0E</t>
  </si>
  <si>
    <t>5500-F6A-Y0N</t>
  </si>
  <si>
    <t>5500-G1A-BB20A</t>
  </si>
  <si>
    <t>5500-G1A-Y0N</t>
  </si>
  <si>
    <t>5500-G1A-Y0P</t>
  </si>
  <si>
    <t>5500-R6A</t>
  </si>
  <si>
    <t>5500-S1X-BBF10A</t>
  </si>
  <si>
    <t>5500-S6X-BBF10A</t>
  </si>
  <si>
    <t>5500-N6S-BF10A</t>
  </si>
  <si>
    <t>5500-Q6X-BF10A</t>
  </si>
  <si>
    <t>5500-Q6X-BF23A</t>
  </si>
  <si>
    <t>5500-Q6X-YY0E</t>
  </si>
  <si>
    <t>5500-Q6X-F5AM</t>
  </si>
  <si>
    <t>5500-Q6X-H10AM</t>
  </si>
  <si>
    <t>5500-T2A-CC30B</t>
  </si>
  <si>
    <t>5500-T2A-YY0N</t>
  </si>
  <si>
    <t>5500-T2A-Y0E</t>
  </si>
  <si>
    <t>5500-T2A-Y0N</t>
  </si>
  <si>
    <t>5500-T2A-Y0T</t>
  </si>
  <si>
    <t>5500-T2W-BF25AN</t>
  </si>
  <si>
    <t>5500-T2W-FF30A</t>
  </si>
  <si>
    <t>5500-V2X</t>
  </si>
  <si>
    <t>5500-W2A-BF25AN</t>
  </si>
  <si>
    <t>5500-W2W-BF25AN</t>
  </si>
  <si>
    <t>5600-1B1A-E20B</t>
  </si>
  <si>
    <t>5600-1B1A-F23A</t>
  </si>
  <si>
    <t>5600-1C1A-B20A</t>
  </si>
  <si>
    <t>5600-1C1A-B20B</t>
  </si>
  <si>
    <t>5600-1C1A-B23A</t>
  </si>
  <si>
    <t>5600-1C1A-E20A</t>
  </si>
  <si>
    <t>5600-1C1A-E20B</t>
  </si>
  <si>
    <t>5600-1C1A-E20D</t>
  </si>
  <si>
    <t>5600-1C1A-E23A</t>
  </si>
  <si>
    <t>5600-1C1A-E23B</t>
  </si>
  <si>
    <t>5600-1C1A-F20A</t>
  </si>
  <si>
    <t>5600-1C1A-F20B</t>
  </si>
  <si>
    <t>5600-1C1A-F23A</t>
  </si>
  <si>
    <t>5600-1C1A-F23B</t>
  </si>
  <si>
    <t>5600-1C1A-F25A</t>
  </si>
  <si>
    <t>5600-1C1A-X0K</t>
  </si>
  <si>
    <t>5600-1C1A-X0M</t>
  </si>
  <si>
    <t>5600-1C1A-Y0M</t>
  </si>
  <si>
    <t>5600-1C1B-X0K</t>
  </si>
  <si>
    <t>5600-1C1B-X0M</t>
  </si>
  <si>
    <t>5600-1C1B-Y0M</t>
  </si>
  <si>
    <t>5600-1C6A-E20A</t>
  </si>
  <si>
    <t>5600-1C6A-F23A</t>
  </si>
  <si>
    <t>5600-1C6A-F23B</t>
  </si>
  <si>
    <t>5600-1C6A-X0K</t>
  </si>
  <si>
    <t>5600-1D1A-F23A</t>
  </si>
  <si>
    <t>5600-1D1A-F30A</t>
  </si>
  <si>
    <t>5600-1D6A-E20A</t>
  </si>
  <si>
    <t>5600-1G1A-F20A</t>
  </si>
  <si>
    <t>5600-1M1A-F20BM</t>
  </si>
  <si>
    <t>5600-2A1A-B23B</t>
  </si>
  <si>
    <t>5600-2A1A-F23A</t>
  </si>
  <si>
    <t>5600-2B1A-E20A</t>
  </si>
  <si>
    <t>5600-2B1A-F20A</t>
  </si>
  <si>
    <t>5600-2B1A-Y0E</t>
  </si>
  <si>
    <t>5600-2C1A-B20B</t>
  </si>
  <si>
    <t>5600-2C1A-C20A</t>
  </si>
  <si>
    <t>5600-2C1A-E20A</t>
  </si>
  <si>
    <t>5600-2C1A-E20B</t>
  </si>
  <si>
    <t>5600-2C1A-E20C</t>
  </si>
  <si>
    <t>5600-2C1A-E20D</t>
  </si>
  <si>
    <t>5600-2C1A-E23A</t>
  </si>
  <si>
    <t>5600-2C1A-E23B</t>
  </si>
  <si>
    <t>5600-2C1A-F20A</t>
  </si>
  <si>
    <t>5600-2C1A-F30A</t>
  </si>
  <si>
    <t>5600-2C1A-G25A</t>
  </si>
  <si>
    <t>5600-2C1A-X0K</t>
  </si>
  <si>
    <t>5600-2C1A-X0M</t>
  </si>
  <si>
    <t>5600-2C1A-Y0M</t>
  </si>
  <si>
    <t>5600-2C1A-Y0N</t>
  </si>
  <si>
    <t>5600-2C1B-X0K</t>
  </si>
  <si>
    <t>5600-2C5A-E20B</t>
  </si>
  <si>
    <t>5600-2C6A-B23A</t>
  </si>
  <si>
    <t>5600-2C6A-F23A</t>
  </si>
  <si>
    <t>5600-2C6A-X0K</t>
  </si>
  <si>
    <t>5600-2C9F-X0K</t>
  </si>
  <si>
    <t>5600-2D1A-X0K</t>
  </si>
  <si>
    <t>5600-2D1B-X0K</t>
  </si>
  <si>
    <t>5600-2G1A-B20B</t>
  </si>
  <si>
    <t>5600-2J1A-BF23A</t>
  </si>
  <si>
    <t>5600-2M1A-BF23A</t>
  </si>
  <si>
    <t>5600-2M1A-BG23A</t>
  </si>
  <si>
    <t>5600-1A1A-X0K</t>
  </si>
  <si>
    <t>5600-1B1A-X0K</t>
  </si>
  <si>
    <t>5600-1C1A-BF23A</t>
  </si>
  <si>
    <t>5600-1C9A-F30A</t>
  </si>
  <si>
    <t>5600-1C9F-F30A</t>
  </si>
  <si>
    <t>5600-1M1A-BF23A</t>
  </si>
  <si>
    <t>5600-2C1A-B23A</t>
  </si>
  <si>
    <t>5600-2C1A-F23A</t>
  </si>
  <si>
    <t>5600-2C1A-F23D</t>
  </si>
  <si>
    <t>5600-2C5A-X0K</t>
  </si>
  <si>
    <t>5600-8B6A-X0K</t>
  </si>
  <si>
    <t>5600-8B9A-X0K</t>
  </si>
  <si>
    <t>5600-8C1A-F23A</t>
  </si>
  <si>
    <t>5600-8C1A-X0K</t>
  </si>
  <si>
    <t>5600-8C1B-F23A</t>
  </si>
  <si>
    <t>5600-8C6A-F23A</t>
  </si>
  <si>
    <t>5600-8C6A-X0K</t>
  </si>
  <si>
    <t>5600-8D1A-X0K</t>
  </si>
  <si>
    <t>5600-8D1A-Y0N</t>
  </si>
  <si>
    <t>5600-8G2A-X0K</t>
  </si>
  <si>
    <t>5600-8G6A-X0K</t>
  </si>
  <si>
    <t>5600-9C1A-F20A</t>
  </si>
  <si>
    <t>5600-9C1A-F20B</t>
  </si>
  <si>
    <t>5600-9C1A-F23A</t>
  </si>
  <si>
    <t>5600-9C1A-X0K</t>
  </si>
  <si>
    <t>5600-9C1A-Y0E</t>
  </si>
  <si>
    <t>5600-9C1A-Y0N</t>
  </si>
  <si>
    <t>5600-9C6A-X0K</t>
  </si>
  <si>
    <t>5600-9C6A-Y0K</t>
  </si>
  <si>
    <t>5600-9C9A-F10A</t>
  </si>
  <si>
    <t>5600-9D1A-E20B</t>
  </si>
  <si>
    <t>5600-9D1A-E30A</t>
  </si>
  <si>
    <t>5600-9D1A-F23A</t>
  </si>
  <si>
    <t>5600-9D1A-G30A</t>
  </si>
  <si>
    <t>5600-9D1A-X0K</t>
  </si>
  <si>
    <t>5600-9D1A-Y0N</t>
  </si>
  <si>
    <t>5600-9D1B-X0K</t>
  </si>
  <si>
    <t>5600-9D9A-X0K</t>
  </si>
  <si>
    <t>5600-9G1A-X0K</t>
  </si>
  <si>
    <t>5600-9J6A-F30AN</t>
  </si>
  <si>
    <t>5600-9M1A-HH20A</t>
  </si>
  <si>
    <t>5600-9M6A-BF30A</t>
  </si>
  <si>
    <t>5600-9M6A-FF30A</t>
  </si>
  <si>
    <t>5600-9M6A-F30AE</t>
  </si>
  <si>
    <t>5600-9M6A-F30AN</t>
  </si>
  <si>
    <t>5600-9M9F-F30AN</t>
  </si>
  <si>
    <t>5600-9P1A-Y0EN</t>
  </si>
  <si>
    <t>5600-9P6A-F30AN</t>
  </si>
  <si>
    <t>5600-9A1A-B25A</t>
  </si>
  <si>
    <t>5600-9A1A-X0K</t>
  </si>
  <si>
    <t>5600-9B2A-X0K</t>
  </si>
  <si>
    <t>5600-9B6A-X0K</t>
  </si>
  <si>
    <t>5600-9C1B-X0K</t>
  </si>
  <si>
    <t>5600-9C1C-BF23A</t>
  </si>
  <si>
    <t>5600-9C9A-F30A</t>
  </si>
  <si>
    <t>5600-9D6A-B5A</t>
  </si>
  <si>
    <t>5600-9D6A-X0K</t>
  </si>
  <si>
    <t>5600-9D6A-Y0E</t>
  </si>
  <si>
    <t>5600-9L6C-BF25A</t>
  </si>
  <si>
    <t>5600-9M1A-F23AM</t>
  </si>
  <si>
    <t>5600-9M1A-G20BN</t>
  </si>
  <si>
    <t>5600-9T1A-F25A</t>
  </si>
  <si>
    <t>5600-9C1A-E25A</t>
  </si>
  <si>
    <t>801307-01</t>
  </si>
  <si>
    <t>801307-02</t>
  </si>
  <si>
    <t>801307-03</t>
  </si>
  <si>
    <t>801307-04</t>
  </si>
  <si>
    <t>801307-05</t>
  </si>
  <si>
    <t>801307-07</t>
  </si>
  <si>
    <t>801307-08</t>
  </si>
  <si>
    <t>801307-09</t>
  </si>
  <si>
    <t>801307-10</t>
  </si>
  <si>
    <t>801307-11</t>
  </si>
  <si>
    <t>801307-20</t>
  </si>
  <si>
    <t>801307-21</t>
  </si>
  <si>
    <t>801307-22</t>
  </si>
  <si>
    <t>801307-23</t>
  </si>
  <si>
    <t>801307-24</t>
  </si>
  <si>
    <t>801307-25</t>
  </si>
  <si>
    <t>89710015</t>
  </si>
  <si>
    <t>89713015</t>
  </si>
  <si>
    <t>89715050</t>
  </si>
  <si>
    <t>89718015</t>
  </si>
  <si>
    <t>89718050</t>
  </si>
  <si>
    <t>89720050</t>
  </si>
  <si>
    <t>89721022</t>
  </si>
  <si>
    <t>89723015</t>
  </si>
  <si>
    <t>89726022</t>
  </si>
  <si>
    <t>89726050</t>
  </si>
  <si>
    <t>89726077</t>
  </si>
  <si>
    <t>89728040</t>
  </si>
  <si>
    <t>89730050</t>
  </si>
  <si>
    <t>89730077</t>
  </si>
  <si>
    <t>89790022</t>
  </si>
  <si>
    <t>89790050</t>
  </si>
  <si>
    <t>89793015</t>
  </si>
  <si>
    <t>89793050</t>
  </si>
  <si>
    <t>89793077</t>
  </si>
  <si>
    <t>89794015</t>
  </si>
  <si>
    <t>89794040</t>
  </si>
  <si>
    <t>89794050</t>
  </si>
  <si>
    <t>89795050</t>
  </si>
  <si>
    <t>89796015</t>
  </si>
  <si>
    <t>89796077</t>
  </si>
  <si>
    <t>89798015</t>
  </si>
  <si>
    <t>89798022</t>
  </si>
  <si>
    <t>89798050</t>
  </si>
  <si>
    <t>89798077</t>
  </si>
  <si>
    <t>89799015</t>
  </si>
  <si>
    <t>89799050</t>
  </si>
  <si>
    <t>3552AAAAAACXCD</t>
  </si>
  <si>
    <t>3552AAAEAACXCD</t>
  </si>
  <si>
    <t>3552AAAWAACXCD</t>
  </si>
  <si>
    <t>3552AAAXAACXCD</t>
  </si>
  <si>
    <t>3552AAAYAACXCD</t>
  </si>
  <si>
    <t>3552BAAAAACXCD</t>
  </si>
  <si>
    <t>3552BAADAACXCD</t>
  </si>
  <si>
    <t>3552BAAWAACXCD</t>
  </si>
  <si>
    <t>3552BAAXAACXCD</t>
  </si>
  <si>
    <t>3552BAAYAACXCD</t>
  </si>
  <si>
    <t>3552CAAAAACXCD</t>
  </si>
  <si>
    <t>3552CAADAACXCD</t>
  </si>
  <si>
    <t>3552CAAWAACXCD</t>
  </si>
  <si>
    <t>3552CAAXAACXCD</t>
  </si>
  <si>
    <t>3552CAAYAACXCD</t>
  </si>
  <si>
    <t>FireEx Portable</t>
  </si>
  <si>
    <t>С18 Protection ice/rain/fire</t>
  </si>
  <si>
    <t>Portable Fire Extinguisher  (Halon)</t>
  </si>
  <si>
    <t>74-00</t>
  </si>
  <si>
    <t>74-21</t>
  </si>
  <si>
    <t>FireEx (Eng/APU/Car)</t>
  </si>
  <si>
    <t>34600012-22</t>
  </si>
  <si>
    <t>34600012-24</t>
  </si>
  <si>
    <t>34600012-25</t>
  </si>
  <si>
    <t>34600012-27</t>
  </si>
  <si>
    <t>34600013-21</t>
  </si>
  <si>
    <t>34600013-23</t>
  </si>
  <si>
    <t>34600013-26</t>
  </si>
  <si>
    <t>17343-116-825F</t>
  </si>
  <si>
    <t>Overheat Detector</t>
  </si>
  <si>
    <t>33600005-1</t>
  </si>
  <si>
    <t>34600016</t>
  </si>
  <si>
    <t>34600025-1</t>
  </si>
  <si>
    <t>33700005</t>
  </si>
  <si>
    <t>33700006-1</t>
  </si>
  <si>
    <t>4313101-01-6600</t>
  </si>
  <si>
    <t>Water Heater</t>
  </si>
  <si>
    <t>4360004-88-00-19</t>
  </si>
  <si>
    <t>4360004-80-00-18</t>
  </si>
  <si>
    <t>4360004-80-00-25</t>
  </si>
  <si>
    <t>4360004-80SQ18</t>
  </si>
  <si>
    <t>4360004-85-00-18</t>
  </si>
  <si>
    <t>4360004-87-00-18</t>
  </si>
  <si>
    <t>4360004-86-00-18</t>
  </si>
  <si>
    <t>2013-1</t>
  </si>
  <si>
    <t>Battery Assy</t>
  </si>
  <si>
    <t>TAAI1-404000-03</t>
  </si>
  <si>
    <t>ARMREST ASSY</t>
  </si>
  <si>
    <t>TAAI3-03PE21-01</t>
  </si>
  <si>
    <t>CPT SEAT</t>
  </si>
  <si>
    <t>TAAI3-03CE21-01</t>
  </si>
  <si>
    <t>F/O SEAT</t>
  </si>
  <si>
    <t>AC40-SERIES</t>
  </si>
  <si>
    <t>UFHNS</t>
  </si>
  <si>
    <t>995-NW125L-2L</t>
  </si>
  <si>
    <t>PASS. SEAT</t>
  </si>
  <si>
    <t>AC40-0217210</t>
  </si>
  <si>
    <t>985-NW125L-3L</t>
  </si>
  <si>
    <t>995-NW125J-2L</t>
  </si>
  <si>
    <t>995-NW125K-2R</t>
  </si>
  <si>
    <t>995-NW125M-2R</t>
  </si>
  <si>
    <t>AC40-0217010</t>
  </si>
  <si>
    <t>985-NW125U-3L</t>
  </si>
  <si>
    <t>TAAI2-33PE00-01</t>
  </si>
  <si>
    <t>CARGO NET</t>
  </si>
  <si>
    <t>HV08000-01</t>
  </si>
  <si>
    <t>HYDROLOK</t>
  </si>
  <si>
    <t>4891417-03</t>
  </si>
  <si>
    <t>00B68281</t>
  </si>
  <si>
    <t>AZAZAZ</t>
  </si>
  <si>
    <t>BCCN</t>
  </si>
  <si>
    <t>9401-51-0000-01</t>
  </si>
  <si>
    <t>9001-01-0000-01</t>
  </si>
  <si>
    <t>9201-01-0000-01</t>
  </si>
  <si>
    <t>9401-01-0000-01</t>
  </si>
  <si>
    <t>9401-02-0000-01</t>
  </si>
  <si>
    <t>9401-03-0000-01</t>
  </si>
  <si>
    <t>ACCMS</t>
  </si>
  <si>
    <t>Comp. C/S</t>
  </si>
  <si>
    <t>X</t>
  </si>
  <si>
    <t>Столбец1</t>
  </si>
  <si>
    <t>1328.Description</t>
  </si>
  <si>
    <t>надо запилить автоудаление пустых строк и автосортировку по дате, поперепердолить лишние столбцы</t>
  </si>
  <si>
    <t>источники данных перенести в листы ытого файла</t>
  </si>
  <si>
    <t>SBT3328</t>
  </si>
  <si>
    <t>Parinov</t>
  </si>
  <si>
    <t>Vladimir Alekseevich</t>
  </si>
  <si>
    <t>0,3659722222222222</t>
  </si>
  <si>
    <t>D31517 – Series (Workscope: 138606 / Project: CM58866) /</t>
  </si>
  <si>
    <t>0,52986111111111112</t>
  </si>
  <si>
    <t>60592-series OVH (Workscope: 133055 / Project: CM57714) /</t>
  </si>
  <si>
    <t>0,27638888888888891</t>
  </si>
  <si>
    <t>New... (Workscope: 128407 / Project: CM55880) /</t>
  </si>
  <si>
    <t>0,46805555555555556</t>
  </si>
  <si>
    <t>60592-series Regulator/Valve 15 year service (Workscope: 133060 / Project: CM56386) /</t>
  </si>
  <si>
    <t>0,36805555555555558</t>
  </si>
  <si>
    <t>0,46736111111111112</t>
  </si>
  <si>
    <t>60592-series OVH (Workscope: 133059 / Project: CM56386) /</t>
  </si>
  <si>
    <t>0,3215277777777778</t>
  </si>
  <si>
    <t>60592-series OVH (Workscope: 133049 / Project: CM55927) /</t>
  </si>
  <si>
    <t>0,49583333333333335</t>
  </si>
  <si>
    <t>Lockwire (Workscope: 134731 / Project: CM58062) /</t>
  </si>
  <si>
    <t>0,48958333333333331</t>
  </si>
  <si>
    <t>Lockwire (Workscope: 134730 / Project: CM56356) /</t>
  </si>
  <si>
    <t>0,48333333333333334</t>
  </si>
  <si>
    <t>Lockwire (Workscope: 134729 / Project: CM56354) /</t>
  </si>
  <si>
    <t>Lockwire (Workscope: 134728 / Project: CM56352) /</t>
  </si>
  <si>
    <t>0,47291666666666665</t>
  </si>
  <si>
    <t>2-8020 - series (Workscope: 131740 / Project: CM56352) / Perforn linked CMJC</t>
  </si>
  <si>
    <t>2-8020 - series (Workscope: 133736 / Project: CM58062) / Perforn linked CMJC</t>
  </si>
  <si>
    <t>2-8020 - series (Workscope: 131736 / Project: CM56356) / Perforn linked CMJC</t>
  </si>
  <si>
    <t>0,4826388888888889</t>
  </si>
  <si>
    <t>2-8020 - series (Workscope: 131738 / Project: CM56354) / Perforn linked CMJC</t>
  </si>
  <si>
    <t>0,11180555555555556</t>
  </si>
  <si>
    <t>D31865-series OH (Workscope: 130529 / Project: CM56382) / Perform linked CMJC.</t>
  </si>
  <si>
    <t>0,52083333333333337</t>
  </si>
  <si>
    <t>0,46250000000000002</t>
  </si>
  <si>
    <t>седло (Workscope: 132332 / Project: CM57785) /</t>
  </si>
  <si>
    <t>0,46180555555555558</t>
  </si>
  <si>
    <t>0,51249999999999996</t>
  </si>
  <si>
    <t>Repair (Workscope: 132330 / Project: CM57785) /</t>
  </si>
  <si>
    <t>0,28888888888888886</t>
  </si>
  <si>
    <t>2-8020 - series (Workscope: 135706 / Project: CM59163) / Perforn linked CMJC</t>
  </si>
  <si>
    <t>2-8020 - series (Workscope: 135714 / Project: CM59071) / Perforn linked CMJC</t>
  </si>
  <si>
    <t>2-8020 - series (Workscope: 128103 / Project: CM55922) / Perforn linked CMJC</t>
  </si>
  <si>
    <t>0,16527777777777777</t>
  </si>
  <si>
    <t>2-8020 - series (Workscope: 128100 / Project: CM55879) / Perforn linked CMJC</t>
  </si>
  <si>
    <t>0,36458333333333331</t>
  </si>
  <si>
    <t>74 -series OV (Workscope: 133986 / Project: CM57937) /</t>
  </si>
  <si>
    <t>0,2722222222222222</t>
  </si>
  <si>
    <t>Доп работа (Workscope: 128742 / Project: CM56432) / Замена клапана</t>
  </si>
  <si>
    <t>0,29375000000000001</t>
  </si>
  <si>
    <t>74 -series OV (Workscope: 133971 / Project: CM57935) /</t>
  </si>
  <si>
    <t>0,27291666666666664</t>
  </si>
  <si>
    <t>74 -series OV (Workscope: 128682 / Project: CM56432) /</t>
  </si>
  <si>
    <t>0,15208333333333332</t>
  </si>
  <si>
    <t>0,00069444444444444447</t>
  </si>
  <si>
    <t>O_CMS</t>
  </si>
  <si>
    <t>RS (RESTORE) ON P/N:D31865-112 S/N:M11791 (Workscope: 127406 / Project: CM55907) / null</t>
  </si>
  <si>
    <t>0,14027777777777778</t>
  </si>
  <si>
    <t>RS (RESTORE) ON P/N:D31865-111 S/N:A8707 (Workscope: 125435 / Project: CM54968) / null</t>
  </si>
  <si>
    <t>74 -series OV (Workscope: 133992 / Project: CM57941) /</t>
  </si>
  <si>
    <t>74 -series OV (Workscope: 133994 / Project: CM57939) /</t>
  </si>
  <si>
    <t>0,33611111111111114</t>
  </si>
  <si>
    <t>74 -series OV (Workscope: 133991 / Project: CM57936) /</t>
  </si>
  <si>
    <t>74 -series OV (Workscope: 133996 / Project: CM58037) /</t>
  </si>
  <si>
    <t>0,1111111111111111</t>
  </si>
  <si>
    <t>Repair (Workscope: 133460 / Project: CM55907) /</t>
  </si>
  <si>
    <t>74 -series OV (Workscope: 133970 / Project: CM57943) /</t>
  </si>
  <si>
    <t>0,26180555555555557</t>
  </si>
  <si>
    <t>74 -series OV (Workscope: 133990 / Project: CM57940) /</t>
  </si>
  <si>
    <t>D31865-series OH (Workscope: 130533 / Project: CM55907) / Perform linked CMJC.</t>
  </si>
  <si>
    <t>0,53680555555555554</t>
  </si>
  <si>
    <t>74 -series OV (Workscope: 133973 / Project: CM57942) /</t>
  </si>
  <si>
    <t>0,50694444444444442</t>
  </si>
  <si>
    <t>D31516 – Series (Workscope: 132934 / Project: CM57926) /</t>
  </si>
  <si>
    <t>0,48472222222222222</t>
  </si>
  <si>
    <t>D18309-series (Workscope: 132963 / Project: CM57926) /</t>
  </si>
  <si>
    <t>0,52222222222222225</t>
  </si>
  <si>
    <t>0,49166666666666664</t>
  </si>
  <si>
    <t>repair (Workscope: 133187 / Project: CM57926) /</t>
  </si>
  <si>
    <t>0,49305555555555558</t>
  </si>
  <si>
    <t>0,49236111111111114</t>
  </si>
  <si>
    <t>0,52916666666666667</t>
  </si>
  <si>
    <t>0,26319444444444445</t>
  </si>
  <si>
    <t>2-8020 - series (Workscope: 128094 / Project: CM55876) / Perforn linked CMJC</t>
  </si>
  <si>
    <t>0,41597222222222224</t>
  </si>
  <si>
    <t>2-8020 - series (Workscope: 128110 / Project: CM55194) / Perforn linked CMJC</t>
  </si>
  <si>
    <t>0,43611111111111112</t>
  </si>
  <si>
    <t>2-8041-1 SV (Workscope: 131776 / Project: CM56342) / Perform linked CMJC</t>
  </si>
  <si>
    <t>0,42291666666666666</t>
  </si>
  <si>
    <t>2-8041-1 SV (Workscope: 131781 / Project: CM56345) / Perform linked CMJC</t>
  </si>
  <si>
    <t>0,29305555555555557</t>
  </si>
  <si>
    <t>2-8020 - series (Workscope: 131733 / Project: CM56351) / Perforn linked CMJC</t>
  </si>
  <si>
    <t>0,35694444444444445</t>
  </si>
  <si>
    <t>0,0069444444444444441</t>
  </si>
  <si>
    <t>repair (Workscope: 132428 / Project: CM54656) /</t>
  </si>
  <si>
    <t>2-8020 - series (Workscope: 128101 / Project: CM55924) / Perforn linked CMJC</t>
  </si>
  <si>
    <t>0,17291666666666666</t>
  </si>
  <si>
    <t>2-8020 - series (Workscope: 128092 / Project: CM55877) / Perforn linked CMJC</t>
  </si>
  <si>
    <t>repair (Workscope: 131531 / Project: CM55924) /</t>
  </si>
  <si>
    <t>0,1736111111111111</t>
  </si>
  <si>
    <t>repair (Workscope: 131523 / Project: CM55877) /</t>
  </si>
  <si>
    <t>0,3576388888888889</t>
  </si>
  <si>
    <t>IN_CAB</t>
  </si>
  <si>
    <t>repair (Workscope: 131409 / Project: CM55923) /</t>
  </si>
  <si>
    <t>repair (Workscope: 131411 / Project: CM55922) /</t>
  </si>
  <si>
    <t>0,49027777777777776</t>
  </si>
  <si>
    <t>0,48888888888888887</t>
  </si>
  <si>
    <t>0,48819444444444443</t>
  </si>
  <si>
    <t>0,27708333333333335</t>
  </si>
  <si>
    <t>Repair (Workscope: 128280 / Project: CM55926) /</t>
  </si>
  <si>
    <t>Repair (Workscope: 128408 / Project: CM55925) /</t>
  </si>
  <si>
    <t>0,52361111111111114</t>
  </si>
  <si>
    <t>0,42708333333333331</t>
  </si>
  <si>
    <t>D31516 – Series (Workscope: 129625 / Project: CM56456) /</t>
  </si>
  <si>
    <t>0,4</t>
  </si>
  <si>
    <t>D18309-series (Workscope: 129624 / Project: CM56456) /</t>
  </si>
  <si>
    <t>0,29166666666666669</t>
  </si>
  <si>
    <t>0,91666666666666663</t>
  </si>
  <si>
    <t>0,46319444444444446</t>
  </si>
  <si>
    <t>2-8020 - series (Workscope: 128116 / Project: CM55873) / Perforn linked CMJC</t>
  </si>
  <si>
    <t>0,37083333333333335</t>
  </si>
  <si>
    <t>74 -series OV (Workscope: 128678 / Project: CM56388) /</t>
  </si>
  <si>
    <t>0,36388888888888887</t>
  </si>
  <si>
    <t>74 -series OV (Workscope: 128679 / Project: CM56387) /</t>
  </si>
  <si>
    <t>RS (RESTORE) ON P/N:D31516-717 S/N:M13874 (Workscope: 124525 / Project: CM54654) / null</t>
  </si>
  <si>
    <t>004-25-117/VSB (Rev.: 00 Issued by: SAFRAN) (Workscope: 124524 / Project: CM54654) / null</t>
  </si>
  <si>
    <t>D18309-series Rupt Disc Insp (Workscope: 126298 / Project: CM54654) /</t>
  </si>
  <si>
    <t>D18309-series (Workscope: 126187 / Project: CM54654) /</t>
  </si>
  <si>
    <t>0,26527777777777778</t>
  </si>
  <si>
    <t>0,50902777777777775</t>
  </si>
  <si>
    <t>501963002</t>
  </si>
  <si>
    <t>0414</t>
  </si>
  <si>
    <t>F161484</t>
  </si>
  <si>
    <t>8ES005238-13</t>
  </si>
  <si>
    <t>READING LIGHT POWER UNIT</t>
  </si>
  <si>
    <t>23-73</t>
  </si>
  <si>
    <t>R10886221</t>
  </si>
  <si>
    <t>306031805</t>
  </si>
  <si>
    <t>CM61161</t>
  </si>
  <si>
    <t>B28611</t>
  </si>
  <si>
    <t>NET ASSY - DOOR, TYPE A</t>
  </si>
  <si>
    <t>25-54</t>
  </si>
  <si>
    <t>MASK ASSY-OXY/REGULATOR</t>
  </si>
  <si>
    <t>N16110330AA0131</t>
  </si>
  <si>
    <t>N17030433AA0138</t>
  </si>
  <si>
    <t>301920104</t>
  </si>
  <si>
    <t>375123703</t>
  </si>
  <si>
    <t>495309303</t>
  </si>
  <si>
    <t>P17011412</t>
  </si>
  <si>
    <t>25-64</t>
  </si>
  <si>
    <t>PANEL-AUDIO SELECTOR_1</t>
  </si>
  <si>
    <t>MICROPHONE-HAND</t>
  </si>
  <si>
    <t>546061703</t>
  </si>
  <si>
    <t>424427503</t>
  </si>
  <si>
    <t>612165803</t>
  </si>
  <si>
    <t>N17030434AA0139</t>
  </si>
  <si>
    <t>X06168</t>
  </si>
  <si>
    <t>600381804</t>
  </si>
  <si>
    <t>450504804</t>
  </si>
  <si>
    <t>2034</t>
  </si>
  <si>
    <t>N17070578AA0184</t>
  </si>
  <si>
    <t>N18070329AA0364</t>
  </si>
  <si>
    <t>N17091074AA0211</t>
  </si>
  <si>
    <t>NET ASSY - DOOR, TYPE B</t>
  </si>
  <si>
    <t>N13011715030115</t>
  </si>
  <si>
    <t>P14070363</t>
  </si>
  <si>
    <t>N12021163030003</t>
  </si>
  <si>
    <t>R10988421</t>
  </si>
  <si>
    <t>58021</t>
  </si>
  <si>
    <t>CM61771</t>
  </si>
  <si>
    <t>LIGHT-RETRACTABLE, LANDING</t>
  </si>
  <si>
    <t>R11019421</t>
  </si>
  <si>
    <t>CM61948</t>
  </si>
  <si>
    <t>R11019521</t>
  </si>
  <si>
    <t>CM61950</t>
  </si>
  <si>
    <t>R11019621</t>
  </si>
  <si>
    <t>CM61949</t>
  </si>
  <si>
    <t>R11031421</t>
  </si>
  <si>
    <t>N/A48</t>
  </si>
  <si>
    <t>CM62135</t>
  </si>
  <si>
    <t>CM62105</t>
  </si>
  <si>
    <t>060284</t>
  </si>
  <si>
    <t>R11054921</t>
  </si>
  <si>
    <t>CM62175</t>
  </si>
  <si>
    <t>R11066021</t>
  </si>
  <si>
    <t>CM62192</t>
  </si>
  <si>
    <t>P16011949</t>
  </si>
  <si>
    <t>P17101878</t>
  </si>
  <si>
    <t>P16110478</t>
  </si>
  <si>
    <t>R11159021</t>
  </si>
  <si>
    <t>CM62814</t>
  </si>
  <si>
    <t>R11159121</t>
  </si>
  <si>
    <t>CM62816</t>
  </si>
  <si>
    <t>R11168121</t>
  </si>
  <si>
    <t>N17090784AA0207</t>
  </si>
  <si>
    <t>CM62904</t>
  </si>
  <si>
    <t>R11174321</t>
  </si>
  <si>
    <t>CM62937</t>
  </si>
  <si>
    <t>R11177521</t>
  </si>
  <si>
    <t>D01164</t>
  </si>
  <si>
    <t>CM62936</t>
  </si>
  <si>
    <t>R11178421</t>
  </si>
  <si>
    <t>CM62948</t>
  </si>
  <si>
    <t>R11178521</t>
  </si>
  <si>
    <t>306031804</t>
  </si>
  <si>
    <t>CM62949</t>
  </si>
  <si>
    <t>R11178821</t>
  </si>
  <si>
    <t>N11110900022405</t>
  </si>
  <si>
    <t>CM62943</t>
  </si>
  <si>
    <t>R11179221</t>
  </si>
  <si>
    <t>2074</t>
  </si>
  <si>
    <t>CM62939</t>
  </si>
  <si>
    <t>R11179321</t>
  </si>
  <si>
    <t>N13010520012914</t>
  </si>
  <si>
    <t>CM62940</t>
  </si>
  <si>
    <t>R11179421</t>
  </si>
  <si>
    <t>N14022017020433</t>
  </si>
  <si>
    <t>CM62942</t>
  </si>
  <si>
    <t>R11179521</t>
  </si>
  <si>
    <t>N18050330AA1675</t>
  </si>
  <si>
    <t>CM62941</t>
  </si>
  <si>
    <t>R11180921</t>
  </si>
  <si>
    <t>CM62945</t>
  </si>
  <si>
    <t>R11181021</t>
  </si>
  <si>
    <t>T877684601</t>
  </si>
  <si>
    <t>CM62951</t>
  </si>
  <si>
    <t>R11181321</t>
  </si>
  <si>
    <t>CM62950</t>
  </si>
  <si>
    <t>R11182721</t>
  </si>
  <si>
    <t>CM62956</t>
  </si>
  <si>
    <t>R11182921</t>
  </si>
  <si>
    <t>CM62957</t>
  </si>
  <si>
    <t>R11183021</t>
  </si>
  <si>
    <t>40649D1</t>
  </si>
  <si>
    <t>CM62971</t>
  </si>
  <si>
    <t>R11183221</t>
  </si>
  <si>
    <t>N18080176AA1745</t>
  </si>
  <si>
    <t>CM62977</t>
  </si>
  <si>
    <t>R11183321</t>
  </si>
  <si>
    <t>M10058</t>
  </si>
  <si>
    <t>CM62972</t>
  </si>
  <si>
    <t>R11183421</t>
  </si>
  <si>
    <t>N16100639AA0367</t>
  </si>
  <si>
    <t>CM62978</t>
  </si>
  <si>
    <t>R11183621</t>
  </si>
  <si>
    <t>N16100642AA0370</t>
  </si>
  <si>
    <t>CM62979</t>
  </si>
  <si>
    <t>R11185321</t>
  </si>
  <si>
    <t>N19100596AA0654</t>
  </si>
  <si>
    <t>CM62969</t>
  </si>
  <si>
    <t>R11187621</t>
  </si>
  <si>
    <t>N18030074AA0267</t>
  </si>
  <si>
    <t>CM62976</t>
  </si>
  <si>
    <t>R11191021</t>
  </si>
  <si>
    <t>C00270</t>
  </si>
  <si>
    <t>CM63003</t>
  </si>
  <si>
    <t>R11192021</t>
  </si>
  <si>
    <t>CM62997</t>
  </si>
  <si>
    <t>R11192721</t>
  </si>
  <si>
    <t>14-07-6858</t>
  </si>
  <si>
    <t>CM62986</t>
  </si>
  <si>
    <t>R11193721</t>
  </si>
  <si>
    <t>CM63014</t>
  </si>
  <si>
    <t>R11193821</t>
  </si>
  <si>
    <t>TAAI3-03PE22-01</t>
  </si>
  <si>
    <t>5573</t>
  </si>
  <si>
    <t>CM63000</t>
  </si>
  <si>
    <t>SEAT-CAPTAIN</t>
  </si>
  <si>
    <t>R11193921</t>
  </si>
  <si>
    <t>CM62999</t>
  </si>
  <si>
    <t>R11195821</t>
  </si>
  <si>
    <t>P11101438</t>
  </si>
  <si>
    <t>CM63010</t>
  </si>
  <si>
    <t>R11198521</t>
  </si>
  <si>
    <t>0419-JSL0001270-007</t>
  </si>
  <si>
    <t>CM63024</t>
  </si>
  <si>
    <t>R11199721</t>
  </si>
  <si>
    <t>CM63026</t>
  </si>
  <si>
    <t>R11200021</t>
  </si>
  <si>
    <t>P19121103</t>
  </si>
  <si>
    <t>CM63025</t>
  </si>
  <si>
    <t>R11202721</t>
  </si>
  <si>
    <t>17254</t>
  </si>
  <si>
    <t>CM63034</t>
  </si>
  <si>
    <t>R11202921</t>
  </si>
  <si>
    <t>16897</t>
  </si>
  <si>
    <t>CM63035</t>
  </si>
  <si>
    <t>R11203521</t>
  </si>
  <si>
    <t>17314</t>
  </si>
  <si>
    <t>CM63036</t>
  </si>
  <si>
    <t>R11203721</t>
  </si>
  <si>
    <t>CM63033</t>
  </si>
  <si>
    <t>R11203821</t>
  </si>
  <si>
    <t>17083</t>
  </si>
  <si>
    <t>CM63037</t>
  </si>
  <si>
    <t>R11204521</t>
  </si>
  <si>
    <t>L20784</t>
  </si>
  <si>
    <t>CM63032</t>
  </si>
  <si>
    <t>R11205521</t>
  </si>
  <si>
    <t>B43047</t>
  </si>
  <si>
    <t>CM63044</t>
  </si>
  <si>
    <t>R11206121</t>
  </si>
  <si>
    <t>P09031013</t>
  </si>
  <si>
    <t>CM63043</t>
  </si>
  <si>
    <t>R11206221</t>
  </si>
  <si>
    <t>A6790</t>
  </si>
  <si>
    <t>CM63052</t>
  </si>
  <si>
    <t>R11208521</t>
  </si>
  <si>
    <t>P18100128</t>
  </si>
  <si>
    <t>CM63051</t>
  </si>
  <si>
    <t>R11212721</t>
  </si>
  <si>
    <t>ALT750-16418</t>
  </si>
  <si>
    <t>R11213921</t>
  </si>
  <si>
    <t>73766D1</t>
  </si>
  <si>
    <t>CM63065</t>
  </si>
  <si>
    <t>R11214021</t>
  </si>
  <si>
    <t>P08010949</t>
  </si>
  <si>
    <t>CM63182</t>
  </si>
  <si>
    <t>R11217521</t>
  </si>
  <si>
    <t>1757</t>
  </si>
  <si>
    <t>CM63102</t>
  </si>
  <si>
    <t>R11217621</t>
  </si>
  <si>
    <t>ST55106</t>
  </si>
  <si>
    <t>CM63116</t>
  </si>
  <si>
    <t>R11217721</t>
  </si>
  <si>
    <t>P20020381</t>
  </si>
  <si>
    <t>CM63115</t>
  </si>
  <si>
    <t>R11223421</t>
  </si>
  <si>
    <t>CM63155</t>
  </si>
  <si>
    <t>R11224621</t>
  </si>
  <si>
    <t>CM63154</t>
  </si>
  <si>
    <t>R11224721</t>
  </si>
  <si>
    <t>ALT749-15596</t>
  </si>
  <si>
    <t>CM63158</t>
  </si>
  <si>
    <t>R11225321</t>
  </si>
  <si>
    <t>N19080141AA2145</t>
  </si>
  <si>
    <t>CM63159</t>
  </si>
  <si>
    <t>R11229121</t>
  </si>
  <si>
    <t>CM63178</t>
  </si>
  <si>
    <t>R11230821</t>
  </si>
  <si>
    <t>N10120352022249</t>
  </si>
  <si>
    <t>CM63195</t>
  </si>
  <si>
    <t>R11231521</t>
  </si>
  <si>
    <t>CM63196</t>
  </si>
  <si>
    <t>R11234221</t>
  </si>
  <si>
    <t>CM63210</t>
  </si>
  <si>
    <t>R11235021</t>
  </si>
  <si>
    <t>495309301</t>
  </si>
  <si>
    <t>CM63212</t>
  </si>
  <si>
    <t>R11235721</t>
  </si>
  <si>
    <t>CM63211</t>
  </si>
  <si>
    <t>R11241921</t>
  </si>
  <si>
    <t>CM63405</t>
  </si>
  <si>
    <t>R11242021</t>
  </si>
  <si>
    <t>CM63406</t>
  </si>
  <si>
    <t>R11242121</t>
  </si>
  <si>
    <t>CM63407</t>
  </si>
  <si>
    <t>R11243421</t>
  </si>
  <si>
    <t>1117-JSL0008849-0018</t>
  </si>
  <si>
    <t>CM63440</t>
  </si>
  <si>
    <t>R11243521</t>
  </si>
  <si>
    <t>0415-JSL000/458-0007</t>
  </si>
  <si>
    <t>CM63441</t>
  </si>
  <si>
    <t>R11249221</t>
  </si>
  <si>
    <t>1083</t>
  </si>
  <si>
    <t>CM63439</t>
  </si>
  <si>
    <t>R11250321</t>
  </si>
  <si>
    <t>T03241</t>
  </si>
  <si>
    <t>CM63442</t>
  </si>
  <si>
    <t>R11251721</t>
  </si>
  <si>
    <t>C3112</t>
  </si>
  <si>
    <t>CM63698</t>
  </si>
  <si>
    <t>R11251821</t>
  </si>
  <si>
    <t>C3111</t>
  </si>
  <si>
    <t>CM63699</t>
  </si>
  <si>
    <t>R11252121</t>
  </si>
  <si>
    <t>ST-128308-05</t>
  </si>
  <si>
    <t>DRESS COVER, BTM</t>
  </si>
  <si>
    <t>R11256021</t>
  </si>
  <si>
    <t>N19090166AA0633</t>
  </si>
  <si>
    <t>CM63468</t>
  </si>
  <si>
    <t>R11256221</t>
  </si>
  <si>
    <t>201702255</t>
  </si>
  <si>
    <t>CM63480</t>
  </si>
  <si>
    <t>R11256721</t>
  </si>
  <si>
    <t>14-07-6915</t>
  </si>
  <si>
    <t>CM63464</t>
  </si>
  <si>
    <t>R11257121</t>
  </si>
  <si>
    <t>1914A</t>
  </si>
  <si>
    <t>CM63462</t>
  </si>
  <si>
    <t>R11259421</t>
  </si>
  <si>
    <t>R11263721</t>
  </si>
  <si>
    <t>18-06-1584</t>
  </si>
  <si>
    <t>CM63516</t>
  </si>
  <si>
    <t>25-32</t>
  </si>
  <si>
    <t>R11263821</t>
  </si>
  <si>
    <t>18-06-2098</t>
  </si>
  <si>
    <t>CM63513</t>
  </si>
  <si>
    <t>R11263921</t>
  </si>
  <si>
    <t>18-09-0990</t>
  </si>
  <si>
    <t>CM63511</t>
  </si>
  <si>
    <t>R11267721</t>
  </si>
  <si>
    <t>CM63530</t>
  </si>
  <si>
    <t>R11268121</t>
  </si>
  <si>
    <t>WF-736965</t>
  </si>
  <si>
    <t>CM63552</t>
  </si>
  <si>
    <t>R11270821</t>
  </si>
  <si>
    <t>CM63548</t>
  </si>
  <si>
    <t>R11270921</t>
  </si>
  <si>
    <t>CM63550</t>
  </si>
  <si>
    <t>R11273221</t>
  </si>
  <si>
    <t>101532</t>
  </si>
  <si>
    <t>CM63546</t>
  </si>
  <si>
    <t>R11273321</t>
  </si>
  <si>
    <t>100832</t>
  </si>
  <si>
    <t>CM63547</t>
  </si>
  <si>
    <t>R11274521</t>
  </si>
  <si>
    <t>N17091145AA0213</t>
  </si>
  <si>
    <t>CM63569</t>
  </si>
  <si>
    <t>R11277421</t>
  </si>
  <si>
    <t>354533401</t>
  </si>
  <si>
    <t>CM63606</t>
  </si>
  <si>
    <t>R11277521</t>
  </si>
  <si>
    <t>N16030940AA0015</t>
  </si>
  <si>
    <t>CM63570</t>
  </si>
  <si>
    <t>R11278121</t>
  </si>
  <si>
    <t>3947</t>
  </si>
  <si>
    <t>CM63566</t>
  </si>
  <si>
    <t>R11279321</t>
  </si>
  <si>
    <t>002657</t>
  </si>
  <si>
    <t>CM63597</t>
  </si>
  <si>
    <t>R11279421</t>
  </si>
  <si>
    <t>001757</t>
  </si>
  <si>
    <t>CM63599</t>
  </si>
  <si>
    <t>R11279521</t>
  </si>
  <si>
    <t>014472</t>
  </si>
  <si>
    <t>CM63586</t>
  </si>
  <si>
    <t>R11279621</t>
  </si>
  <si>
    <t>002792</t>
  </si>
  <si>
    <t>CM63588</t>
  </si>
  <si>
    <t>R11279921</t>
  </si>
  <si>
    <t>ALT750-11598</t>
  </si>
  <si>
    <t>R11280021</t>
  </si>
  <si>
    <t>R11280121</t>
  </si>
  <si>
    <t>ALT750-14396</t>
  </si>
  <si>
    <t>R11283621</t>
  </si>
  <si>
    <t>201808301</t>
  </si>
  <si>
    <t>CM63612</t>
  </si>
  <si>
    <t>R11286621</t>
  </si>
  <si>
    <t>09009F1</t>
  </si>
  <si>
    <t>CM63610</t>
  </si>
  <si>
    <t>R11287721</t>
  </si>
  <si>
    <t>73779D1</t>
  </si>
  <si>
    <t>CM63633</t>
  </si>
  <si>
    <t>R11287921</t>
  </si>
  <si>
    <t>T02120</t>
  </si>
  <si>
    <t>CM63627</t>
  </si>
  <si>
    <t>R11289221</t>
  </si>
  <si>
    <t>73764D1</t>
  </si>
  <si>
    <t>CM63634</t>
  </si>
  <si>
    <t>R11291521</t>
  </si>
  <si>
    <t>236436</t>
  </si>
  <si>
    <t>CM63660</t>
  </si>
  <si>
    <t>R11294921</t>
  </si>
  <si>
    <t>SE78508</t>
  </si>
  <si>
    <t>CM63669</t>
  </si>
  <si>
    <t>R11296821</t>
  </si>
  <si>
    <t>CM63665</t>
  </si>
  <si>
    <t>R11296921</t>
  </si>
  <si>
    <t>N18080308AA1764</t>
  </si>
  <si>
    <t>CM63664</t>
  </si>
  <si>
    <t>R11297521</t>
  </si>
  <si>
    <t>CM63666</t>
  </si>
  <si>
    <t>R11298221</t>
  </si>
  <si>
    <t>CM63667</t>
  </si>
  <si>
    <t>R11299621</t>
  </si>
  <si>
    <t>CM63670</t>
  </si>
  <si>
    <t>R11300021</t>
  </si>
  <si>
    <t>58433-3</t>
  </si>
  <si>
    <t>SBI-E-1045-3N</t>
  </si>
  <si>
    <t>CM63671</t>
  </si>
  <si>
    <t>CRIMPER</t>
  </si>
  <si>
    <t>R11300221</t>
  </si>
  <si>
    <t>EP4-134-46</t>
  </si>
  <si>
    <t>SBI-E-026-6N</t>
  </si>
  <si>
    <t>CM63672</t>
  </si>
  <si>
    <t>LIGHT SENSOR</t>
  </si>
  <si>
    <t>R11301421</t>
  </si>
  <si>
    <t>CM63679</t>
  </si>
  <si>
    <t>R11301521</t>
  </si>
  <si>
    <t>466</t>
  </si>
  <si>
    <t>SBI-E-1377</t>
  </si>
  <si>
    <t>CM63680</t>
  </si>
  <si>
    <t>TEST BOTTLE</t>
  </si>
  <si>
    <t>R11301821</t>
  </si>
  <si>
    <t>MO-RLL-01-ST</t>
  </si>
  <si>
    <t>SBI-E-2000</t>
  </si>
  <si>
    <t>CM63681</t>
  </si>
  <si>
    <t>RETRACTABLE LANDING LIGHT TEST SETUP</t>
  </si>
  <si>
    <t>R11302021</t>
  </si>
  <si>
    <t>201607406</t>
  </si>
  <si>
    <t>CM63689</t>
  </si>
  <si>
    <t>R11302121</t>
  </si>
  <si>
    <t>MO-TLTB1-ST</t>
  </si>
  <si>
    <t>SBI-E-2020</t>
  </si>
  <si>
    <t>CM63687</t>
  </si>
  <si>
    <t>TAXI LIGHT TEST BOX</t>
  </si>
  <si>
    <t>R11302421</t>
  </si>
  <si>
    <t>N02169</t>
  </si>
  <si>
    <t>CM63710</t>
  </si>
  <si>
    <t>R11303021</t>
  </si>
  <si>
    <t>TLTB1</t>
  </si>
  <si>
    <t>SBI-E-2021</t>
  </si>
  <si>
    <t>SUPPORT TOOL</t>
  </si>
  <si>
    <t>R11303421</t>
  </si>
  <si>
    <t>CM63693</t>
  </si>
  <si>
    <t>R11303621</t>
  </si>
  <si>
    <t>P08021439</t>
  </si>
  <si>
    <t>CM63692</t>
  </si>
  <si>
    <t>R11308321</t>
  </si>
  <si>
    <t>CM63718</t>
  </si>
  <si>
    <t>R11313021</t>
  </si>
  <si>
    <t>CM63728</t>
  </si>
  <si>
    <t>R11313721</t>
  </si>
  <si>
    <t>CM63729</t>
  </si>
  <si>
    <t>R11314521</t>
  </si>
  <si>
    <t>064893</t>
  </si>
  <si>
    <t>R11314821</t>
  </si>
  <si>
    <t>018796</t>
  </si>
  <si>
    <t>R11314921</t>
  </si>
  <si>
    <t>061711</t>
  </si>
  <si>
    <t>R11315021</t>
  </si>
  <si>
    <t>054602</t>
  </si>
  <si>
    <t>R11316921</t>
  </si>
  <si>
    <t>CM63733</t>
  </si>
  <si>
    <t>R11317021</t>
  </si>
  <si>
    <t>CM63734</t>
  </si>
  <si>
    <t>R11322421</t>
  </si>
  <si>
    <t>R11322721</t>
  </si>
  <si>
    <t>R11324421</t>
  </si>
  <si>
    <t>5065</t>
  </si>
  <si>
    <t>CM63804</t>
  </si>
  <si>
    <t>R11324621</t>
  </si>
  <si>
    <t>CM63749</t>
  </si>
  <si>
    <t>R11325421</t>
  </si>
  <si>
    <t>02-10-18227</t>
  </si>
  <si>
    <t>CM63832</t>
  </si>
  <si>
    <t>R11325721</t>
  </si>
  <si>
    <t>CM63827</t>
  </si>
  <si>
    <t>R11328921</t>
  </si>
  <si>
    <t>CM63823</t>
  </si>
  <si>
    <t>R11329521</t>
  </si>
  <si>
    <t>CM63842</t>
  </si>
  <si>
    <t>R11330121</t>
  </si>
  <si>
    <t>CM63835</t>
  </si>
  <si>
    <t>R11330921</t>
  </si>
  <si>
    <t>A02044</t>
  </si>
  <si>
    <t>CM63839</t>
  </si>
  <si>
    <t>R11331021</t>
  </si>
  <si>
    <t>201607710</t>
  </si>
  <si>
    <t>CM63841</t>
  </si>
  <si>
    <t>R11331121</t>
  </si>
  <si>
    <t>U00951</t>
  </si>
  <si>
    <t>CM63838</t>
  </si>
  <si>
    <t>R11331221</t>
  </si>
  <si>
    <t>A00099</t>
  </si>
  <si>
    <t>CM63840</t>
  </si>
  <si>
    <t>R11331321</t>
  </si>
  <si>
    <t>CM63843</t>
  </si>
  <si>
    <t>R11332221</t>
  </si>
  <si>
    <t>CM63874</t>
  </si>
  <si>
    <t>R11332321</t>
  </si>
  <si>
    <t>P08010955</t>
  </si>
  <si>
    <t>CM63873</t>
  </si>
  <si>
    <t>R11332721</t>
  </si>
  <si>
    <t>P13012560</t>
  </si>
  <si>
    <t>CM63875</t>
  </si>
  <si>
    <t>R11332821</t>
  </si>
  <si>
    <t>350971901</t>
  </si>
  <si>
    <t>CM63882</t>
  </si>
  <si>
    <t>R11334321</t>
  </si>
  <si>
    <t>CM63877</t>
  </si>
  <si>
    <t>R11334421</t>
  </si>
  <si>
    <t>CM63870</t>
  </si>
  <si>
    <t>R11334521</t>
  </si>
  <si>
    <t>CM63878</t>
  </si>
  <si>
    <t>R11334721</t>
  </si>
  <si>
    <t>T1067188701</t>
  </si>
  <si>
    <t>CM63879</t>
  </si>
  <si>
    <t>R11334921</t>
  </si>
  <si>
    <t>CM63883</t>
  </si>
  <si>
    <t>R11336021</t>
  </si>
  <si>
    <t>P11110150</t>
  </si>
  <si>
    <t>CM63909</t>
  </si>
  <si>
    <t>R11337921</t>
  </si>
  <si>
    <t>2557</t>
  </si>
  <si>
    <t>CM63910</t>
  </si>
  <si>
    <t>R11339421</t>
  </si>
  <si>
    <t>CM63915</t>
  </si>
  <si>
    <t>R11340121</t>
  </si>
  <si>
    <t>P19090063</t>
  </si>
  <si>
    <t>CM63913</t>
  </si>
  <si>
    <t>R11340221</t>
  </si>
  <si>
    <t>P18012692</t>
  </si>
  <si>
    <t>CM63914</t>
  </si>
  <si>
    <t>P19010892</t>
  </si>
  <si>
    <t>479504203</t>
  </si>
  <si>
    <t>485700801</t>
  </si>
  <si>
    <t>201800548</t>
  </si>
  <si>
    <t>ST25057</t>
  </si>
  <si>
    <t>416815201</t>
  </si>
  <si>
    <t>T1006949101</t>
  </si>
  <si>
    <t>479504204</t>
  </si>
  <si>
    <t>P09070013</t>
  </si>
  <si>
    <t>546061702</t>
  </si>
  <si>
    <t>1161</t>
  </si>
  <si>
    <t>TEST BENCH</t>
  </si>
  <si>
    <t>4388</t>
  </si>
  <si>
    <t>T843615101</t>
  </si>
  <si>
    <t>N14030089040055</t>
  </si>
  <si>
    <t>1122</t>
  </si>
  <si>
    <t>1128</t>
  </si>
  <si>
    <t>99D28108418000</t>
  </si>
  <si>
    <t>SBI-014N</t>
  </si>
  <si>
    <t>ACT VALVES CONTROL BOX</t>
  </si>
  <si>
    <t>1963</t>
  </si>
  <si>
    <t>2047</t>
  </si>
  <si>
    <t>P19032650</t>
  </si>
  <si>
    <t>0469</t>
  </si>
  <si>
    <t>A9612</t>
  </si>
  <si>
    <t>P17010737</t>
  </si>
  <si>
    <t>N16110332AA0088</t>
  </si>
  <si>
    <t>351634705</t>
  </si>
  <si>
    <t>P18030760</t>
  </si>
  <si>
    <t>D03452</t>
  </si>
  <si>
    <t>201808230</t>
  </si>
  <si>
    <t>40227</t>
  </si>
  <si>
    <t>P15062135</t>
  </si>
  <si>
    <t>141647</t>
  </si>
  <si>
    <t>A26001-187</t>
  </si>
  <si>
    <t>SBI-260BN</t>
  </si>
  <si>
    <t>ELECTRICAL TEST EQUIPMENT - BOTTLE S</t>
  </si>
  <si>
    <t>T1058820201</t>
  </si>
  <si>
    <t>12304G-04</t>
  </si>
  <si>
    <t>COMMUNICATION HEADSET</t>
  </si>
  <si>
    <t>539745301</t>
  </si>
  <si>
    <t>385254204</t>
  </si>
  <si>
    <t>N/А</t>
  </si>
  <si>
    <t>D09878</t>
  </si>
  <si>
    <t>N12030455012061</t>
  </si>
  <si>
    <t>P09090725</t>
  </si>
  <si>
    <t>B24343</t>
  </si>
  <si>
    <t>P08021425</t>
  </si>
  <si>
    <t>875488</t>
  </si>
  <si>
    <t>062507</t>
  </si>
  <si>
    <t>CM52532</t>
  </si>
  <si>
    <t>CM52580</t>
  </si>
  <si>
    <t>87RM233-2011</t>
  </si>
  <si>
    <t>SBI-E-29-1H</t>
  </si>
  <si>
    <t>UNIVERSAL HYDRAULIC STAND</t>
  </si>
  <si>
    <t>001602</t>
  </si>
  <si>
    <t>201703371</t>
  </si>
  <si>
    <t>0,45833333333333331</t>
  </si>
  <si>
    <t>0,12916666666666668</t>
  </si>
  <si>
    <t>0,28263888888888888</t>
  </si>
  <si>
    <t>0,45555555555555555</t>
  </si>
  <si>
    <t>0,4513888888888889</t>
  </si>
  <si>
    <t>0,41111111111111109</t>
  </si>
  <si>
    <t>0,51944444444444449</t>
  </si>
  <si>
    <t>0,3347222222222222</t>
  </si>
  <si>
    <t>0,42499999999999999</t>
  </si>
  <si>
    <t>0,39583333333333331</t>
  </si>
  <si>
    <t>0,1763888888888889</t>
  </si>
  <si>
    <t>0,45902777777777776</t>
  </si>
  <si>
    <t>0,26250000000000001</t>
  </si>
  <si>
    <t>0,16458333333333333</t>
  </si>
  <si>
    <t>0,40416666666666667</t>
  </si>
  <si>
    <t>S7TE_MOW</t>
  </si>
  <si>
    <t>R10628121</t>
  </si>
  <si>
    <t>ВМ-15ПБ</t>
  </si>
  <si>
    <t>SBI-E-1392</t>
  </si>
  <si>
    <t>CM64921</t>
  </si>
  <si>
    <t>GAUGE (ALTIMETER)</t>
  </si>
  <si>
    <t>R11112621</t>
  </si>
  <si>
    <t>CM65189</t>
  </si>
  <si>
    <t>R11122721</t>
  </si>
  <si>
    <t>МП 150 МДА Ф-3</t>
  </si>
  <si>
    <t>SBI-E-3051</t>
  </si>
  <si>
    <t>CM64736</t>
  </si>
  <si>
    <t>SCALES NONAVTOMATIC ACTION</t>
  </si>
  <si>
    <t>R11122821</t>
  </si>
  <si>
    <t>SBI-E-3050</t>
  </si>
  <si>
    <t>CM64733</t>
  </si>
  <si>
    <t>EXTINGUISHER-FIRE, PORTABLE</t>
  </si>
  <si>
    <t>R11342621</t>
  </si>
  <si>
    <t>C3095</t>
  </si>
  <si>
    <t>CM64019</t>
  </si>
  <si>
    <t>R11342821</t>
  </si>
  <si>
    <t>CM64020</t>
  </si>
  <si>
    <t>R11343921</t>
  </si>
  <si>
    <t>N11120239011748</t>
  </si>
  <si>
    <t>CM64027</t>
  </si>
  <si>
    <t>R11346321</t>
  </si>
  <si>
    <t>CM64028</t>
  </si>
  <si>
    <t>R11347121</t>
  </si>
  <si>
    <t>CM64117</t>
  </si>
  <si>
    <t>R11347221</t>
  </si>
  <si>
    <t>CM64109</t>
  </si>
  <si>
    <t>R11349121</t>
  </si>
  <si>
    <t>CM64037</t>
  </si>
  <si>
    <t>R11352921</t>
  </si>
  <si>
    <t>CM64118</t>
  </si>
  <si>
    <t>R11356321</t>
  </si>
  <si>
    <t>CM64132</t>
  </si>
  <si>
    <t>R11356921</t>
  </si>
  <si>
    <t>CM64133</t>
  </si>
  <si>
    <t>R11357021</t>
  </si>
  <si>
    <t>5392</t>
  </si>
  <si>
    <t>CM64139</t>
  </si>
  <si>
    <t>R11357121</t>
  </si>
  <si>
    <t>CM64140</t>
  </si>
  <si>
    <t>R11360121</t>
  </si>
  <si>
    <t>CM64154</t>
  </si>
  <si>
    <t>R11362021</t>
  </si>
  <si>
    <t>CM64169</t>
  </si>
  <si>
    <t>R11363021</t>
  </si>
  <si>
    <t>N11110669011694</t>
  </si>
  <si>
    <t>CM64170</t>
  </si>
  <si>
    <t>R11363121</t>
  </si>
  <si>
    <t>N09080656010263</t>
  </si>
  <si>
    <t>CM64172</t>
  </si>
  <si>
    <t>R11363921</t>
  </si>
  <si>
    <t>N12030957033423</t>
  </si>
  <si>
    <t>CM64173</t>
  </si>
  <si>
    <t>R11364621</t>
  </si>
  <si>
    <t>N13041833013328</t>
  </si>
  <si>
    <t>CM64174</t>
  </si>
  <si>
    <t>R11374421</t>
  </si>
  <si>
    <t>CM64201</t>
  </si>
  <si>
    <t>R11374721</t>
  </si>
  <si>
    <t>CM64202</t>
  </si>
  <si>
    <t>R11381721</t>
  </si>
  <si>
    <t>CM64268</t>
  </si>
  <si>
    <t>R11384821</t>
  </si>
  <si>
    <t>CM64272</t>
  </si>
  <si>
    <t>R11385021</t>
  </si>
  <si>
    <t>CM64274</t>
  </si>
  <si>
    <t>R11386421</t>
  </si>
  <si>
    <t>00499</t>
  </si>
  <si>
    <t>CM64349</t>
  </si>
  <si>
    <t>R11387021</t>
  </si>
  <si>
    <t>2318</t>
  </si>
  <si>
    <t>CM64290</t>
  </si>
  <si>
    <t>R11387821</t>
  </si>
  <si>
    <t>E76581632</t>
  </si>
  <si>
    <t>CM64293</t>
  </si>
  <si>
    <t>R11389921</t>
  </si>
  <si>
    <t>C3107</t>
  </si>
  <si>
    <t>CM64298</t>
  </si>
  <si>
    <t>R11397121</t>
  </si>
  <si>
    <t>B29237</t>
  </si>
  <si>
    <t>CM64357</t>
  </si>
  <si>
    <t>R11402721</t>
  </si>
  <si>
    <t>CM64383</t>
  </si>
  <si>
    <t>R11404721</t>
  </si>
  <si>
    <t>CM64387</t>
  </si>
  <si>
    <t>R11407621</t>
  </si>
  <si>
    <t>P11101439</t>
  </si>
  <si>
    <t>CM64431</t>
  </si>
  <si>
    <t>R11409321</t>
  </si>
  <si>
    <t>CM64436</t>
  </si>
  <si>
    <t>R11410521</t>
  </si>
  <si>
    <t>201602268</t>
  </si>
  <si>
    <t>CM64437</t>
  </si>
  <si>
    <t>R11411321</t>
  </si>
  <si>
    <t>09052002339E4</t>
  </si>
  <si>
    <t>CM64440</t>
  </si>
  <si>
    <t>R11411421</t>
  </si>
  <si>
    <t>0905200232669</t>
  </si>
  <si>
    <t>CM64439</t>
  </si>
  <si>
    <t>R11416221</t>
  </si>
  <si>
    <t>CM64694</t>
  </si>
  <si>
    <t>R11420321</t>
  </si>
  <si>
    <t>CM64463</t>
  </si>
  <si>
    <t>R11420521</t>
  </si>
  <si>
    <t>CM64462</t>
  </si>
  <si>
    <t>R11421021</t>
  </si>
  <si>
    <t>CM64470</t>
  </si>
  <si>
    <t>R11421321</t>
  </si>
  <si>
    <t>CM64843</t>
  </si>
  <si>
    <t>R11421421</t>
  </si>
  <si>
    <t>CM64471</t>
  </si>
  <si>
    <t>R11422021</t>
  </si>
  <si>
    <t>CM64468</t>
  </si>
  <si>
    <t>R11423421</t>
  </si>
  <si>
    <t>CM64492</t>
  </si>
  <si>
    <t>R11424621</t>
  </si>
  <si>
    <t>CM64489</t>
  </si>
  <si>
    <t>R11429121</t>
  </si>
  <si>
    <t>094245</t>
  </si>
  <si>
    <t>CM64503</t>
  </si>
  <si>
    <t>R11436921</t>
  </si>
  <si>
    <t>CM64497</t>
  </si>
  <si>
    <t>R11437021</t>
  </si>
  <si>
    <t>CM64498</t>
  </si>
  <si>
    <t>R11437821</t>
  </si>
  <si>
    <t>CM64509</t>
  </si>
  <si>
    <t>R11441121</t>
  </si>
  <si>
    <t>SBI-E-2003</t>
  </si>
  <si>
    <t>CM64514</t>
  </si>
  <si>
    <t>ROTARY TABLE WITH BUBBLE TUBE</t>
  </si>
  <si>
    <t>R11443221</t>
  </si>
  <si>
    <t>ASF-01-10ST</t>
  </si>
  <si>
    <t>SBI-E-2201</t>
  </si>
  <si>
    <t>CM64520</t>
  </si>
  <si>
    <t>R11443321</t>
  </si>
  <si>
    <t>C1402</t>
  </si>
  <si>
    <t>CM64532</t>
  </si>
  <si>
    <t>R11443721</t>
  </si>
  <si>
    <t>CM64529</t>
  </si>
  <si>
    <t>R11444221</t>
  </si>
  <si>
    <t>C1208</t>
  </si>
  <si>
    <t>CM64534</t>
  </si>
  <si>
    <t>R11444421</t>
  </si>
  <si>
    <t>CM64636</t>
  </si>
  <si>
    <t>R11444921</t>
  </si>
  <si>
    <t>W-566457</t>
  </si>
  <si>
    <t>CM64550</t>
  </si>
  <si>
    <t>R11445121</t>
  </si>
  <si>
    <t>W-575335</t>
  </si>
  <si>
    <t>CM64551</t>
  </si>
  <si>
    <t>R11447921</t>
  </si>
  <si>
    <t>40174</t>
  </si>
  <si>
    <t>CM64562</t>
  </si>
  <si>
    <t>R11448021</t>
  </si>
  <si>
    <t>2238</t>
  </si>
  <si>
    <t>CM64560</t>
  </si>
  <si>
    <t>R11448121</t>
  </si>
  <si>
    <t>2351</t>
  </si>
  <si>
    <t>CM64561</t>
  </si>
  <si>
    <t>R11448221</t>
  </si>
  <si>
    <t>CM64565</t>
  </si>
  <si>
    <t>R11448421</t>
  </si>
  <si>
    <t>CM64564</t>
  </si>
  <si>
    <t>R11448521</t>
  </si>
  <si>
    <t>CM64563</t>
  </si>
  <si>
    <t>R11450521</t>
  </si>
  <si>
    <t>CM64559</t>
  </si>
  <si>
    <t>R11451221</t>
  </si>
  <si>
    <t>CM64538</t>
  </si>
  <si>
    <t>R11454321</t>
  </si>
  <si>
    <t>CM64611</t>
  </si>
  <si>
    <t>R11455621</t>
  </si>
  <si>
    <t>013</t>
  </si>
  <si>
    <t>CM64566</t>
  </si>
  <si>
    <t>R11457021</t>
  </si>
  <si>
    <t>CM64634</t>
  </si>
  <si>
    <t>R11457121</t>
  </si>
  <si>
    <t>CM64635</t>
  </si>
  <si>
    <t>R11458121</t>
  </si>
  <si>
    <t>10717</t>
  </si>
  <si>
    <t>CM64612</t>
  </si>
  <si>
    <t>R11458621</t>
  </si>
  <si>
    <t>10620</t>
  </si>
  <si>
    <t>CM64609</t>
  </si>
  <si>
    <t>R11466621</t>
  </si>
  <si>
    <t>RD315937</t>
  </si>
  <si>
    <t>CM64652</t>
  </si>
  <si>
    <t>R11467321</t>
  </si>
  <si>
    <t>CM64653</t>
  </si>
  <si>
    <t>R11467521</t>
  </si>
  <si>
    <t>RD311495</t>
  </si>
  <si>
    <t>CM64662</t>
  </si>
  <si>
    <t>R11468221</t>
  </si>
  <si>
    <t>CM64672</t>
  </si>
  <si>
    <t>R11468621</t>
  </si>
  <si>
    <t>399</t>
  </si>
  <si>
    <t>CM64673</t>
  </si>
  <si>
    <t>R11469021</t>
  </si>
  <si>
    <t>9887</t>
  </si>
  <si>
    <t>CM64674</t>
  </si>
  <si>
    <t>R11469321</t>
  </si>
  <si>
    <t>9516</t>
  </si>
  <si>
    <t>CM64676</t>
  </si>
  <si>
    <t>R11471621</t>
  </si>
  <si>
    <t>CM64685</t>
  </si>
  <si>
    <t>R11475921</t>
  </si>
  <si>
    <t>CM64692</t>
  </si>
  <si>
    <t>R11476121</t>
  </si>
  <si>
    <t>CM64693</t>
  </si>
  <si>
    <t>R11477121</t>
  </si>
  <si>
    <t>CM64698</t>
  </si>
  <si>
    <t>R11477221</t>
  </si>
  <si>
    <t>CM64699</t>
  </si>
  <si>
    <t>R11478021</t>
  </si>
  <si>
    <t>03A12175060003</t>
  </si>
  <si>
    <t>CM64734</t>
  </si>
  <si>
    <t>R11479421</t>
  </si>
  <si>
    <t>47712D1</t>
  </si>
  <si>
    <t>CM64842</t>
  </si>
  <si>
    <t>R11479721</t>
  </si>
  <si>
    <t>CM64735</t>
  </si>
  <si>
    <t>R11480221</t>
  </si>
  <si>
    <t>CM64712</t>
  </si>
  <si>
    <t>R11480421</t>
  </si>
  <si>
    <t>CM64710</t>
  </si>
  <si>
    <t>R11484021</t>
  </si>
  <si>
    <t>26013F1</t>
  </si>
  <si>
    <t>CM64726</t>
  </si>
  <si>
    <t>R11486321</t>
  </si>
  <si>
    <t>CM64725</t>
  </si>
  <si>
    <t>R11495021</t>
  </si>
  <si>
    <t>CM64823</t>
  </si>
  <si>
    <t>R11497821</t>
  </si>
  <si>
    <t>N19100595AA0653</t>
  </si>
  <si>
    <t>CM64822</t>
  </si>
  <si>
    <t>R11498121</t>
  </si>
  <si>
    <t>CM64856</t>
  </si>
  <si>
    <t>R11498221</t>
  </si>
  <si>
    <t>CM64824</t>
  </si>
  <si>
    <t>R11501021</t>
  </si>
  <si>
    <t>CM64821</t>
  </si>
  <si>
    <t>R11502421</t>
  </si>
  <si>
    <t>CM64820</t>
  </si>
  <si>
    <t>R11505021</t>
  </si>
  <si>
    <t>3563</t>
  </si>
  <si>
    <t>CM64886</t>
  </si>
  <si>
    <t>R11507721</t>
  </si>
  <si>
    <t>CM64854</t>
  </si>
  <si>
    <t>R11508421</t>
  </si>
  <si>
    <t>201700321</t>
  </si>
  <si>
    <t>CM64855</t>
  </si>
  <si>
    <t>R11509521</t>
  </si>
  <si>
    <t>73625D1</t>
  </si>
  <si>
    <t>CM64841</t>
  </si>
  <si>
    <t>R11509621</t>
  </si>
  <si>
    <t>RD631770</t>
  </si>
  <si>
    <t>CM64840</t>
  </si>
  <si>
    <t>R11511921</t>
  </si>
  <si>
    <t>A8476</t>
  </si>
  <si>
    <t>CM64858</t>
  </si>
  <si>
    <t>R11518521</t>
  </si>
  <si>
    <t>SBI-E-3050-1</t>
  </si>
  <si>
    <t>CM64899</t>
  </si>
  <si>
    <t>HOSE</t>
  </si>
  <si>
    <t>R11518621</t>
  </si>
  <si>
    <t>SBI-E-3050-2</t>
  </si>
  <si>
    <t>CM64905</t>
  </si>
  <si>
    <t>R11518721</t>
  </si>
  <si>
    <t>SBI-E-3050-3</t>
  </si>
  <si>
    <t>CM64907</t>
  </si>
  <si>
    <t>R11519921</t>
  </si>
  <si>
    <t>CM64919</t>
  </si>
  <si>
    <t>R11522621</t>
  </si>
  <si>
    <t>CM64928</t>
  </si>
  <si>
    <t>R11526021</t>
  </si>
  <si>
    <t>813871</t>
  </si>
  <si>
    <t>CM64949</t>
  </si>
  <si>
    <t>R11526421</t>
  </si>
  <si>
    <t>116631</t>
  </si>
  <si>
    <t>CM64950</t>
  </si>
  <si>
    <t>R11526521</t>
  </si>
  <si>
    <t>812865</t>
  </si>
  <si>
    <t>CM64951</t>
  </si>
  <si>
    <t>R11526621</t>
  </si>
  <si>
    <t>CM64948</t>
  </si>
  <si>
    <t>R11526721</t>
  </si>
  <si>
    <t>CM64952</t>
  </si>
  <si>
    <t>R11531921</t>
  </si>
  <si>
    <t>351634708</t>
  </si>
  <si>
    <t>CM64980</t>
  </si>
  <si>
    <t>R11533721</t>
  </si>
  <si>
    <t>Y-77839</t>
  </si>
  <si>
    <t>CM64982</t>
  </si>
  <si>
    <t>R11533821</t>
  </si>
  <si>
    <t>Y-608493</t>
  </si>
  <si>
    <t>CM64983</t>
  </si>
  <si>
    <t>R11536521</t>
  </si>
  <si>
    <t>CM65004</t>
  </si>
  <si>
    <t>R11537221</t>
  </si>
  <si>
    <t>CM65029</t>
  </si>
  <si>
    <t>R11537721</t>
  </si>
  <si>
    <t>CM65016</t>
  </si>
  <si>
    <t>R11538321</t>
  </si>
  <si>
    <t>CM65006</t>
  </si>
  <si>
    <t>R11538421</t>
  </si>
  <si>
    <t>CM65005</t>
  </si>
  <si>
    <t>R11540221</t>
  </si>
  <si>
    <t>CM65015</t>
  </si>
  <si>
    <t>R11541721</t>
  </si>
  <si>
    <t>CM65014</t>
  </si>
  <si>
    <t>R11543221</t>
  </si>
  <si>
    <t>CM65047</t>
  </si>
  <si>
    <t>R11548921</t>
  </si>
  <si>
    <t>A153743</t>
  </si>
  <si>
    <t>CM65581</t>
  </si>
  <si>
    <t>R11550421</t>
  </si>
  <si>
    <t>CM65051</t>
  </si>
  <si>
    <t>R11554721</t>
  </si>
  <si>
    <t>A17144</t>
  </si>
  <si>
    <t>CM65563</t>
  </si>
  <si>
    <t>R11567321</t>
  </si>
  <si>
    <t>CM65118</t>
  </si>
  <si>
    <t>R11568021</t>
  </si>
  <si>
    <t>S7O499866</t>
  </si>
  <si>
    <t>CM65114</t>
  </si>
  <si>
    <t>R11571321</t>
  </si>
  <si>
    <t>CM65142</t>
  </si>
  <si>
    <t>R11572721</t>
  </si>
  <si>
    <t>CM65239</t>
  </si>
  <si>
    <t>R11575821</t>
  </si>
  <si>
    <t>CM65143</t>
  </si>
  <si>
    <t>R11585721</t>
  </si>
  <si>
    <t>C94844675</t>
  </si>
  <si>
    <t>CM65180</t>
  </si>
  <si>
    <t>R11585921</t>
  </si>
  <si>
    <t>P11110417</t>
  </si>
  <si>
    <t>CM65363</t>
  </si>
  <si>
    <t>R11586521</t>
  </si>
  <si>
    <t>CM65181</t>
  </si>
  <si>
    <t>R11586621</t>
  </si>
  <si>
    <t>CM65182</t>
  </si>
  <si>
    <t>R11586921</t>
  </si>
  <si>
    <t>R11587321</t>
  </si>
  <si>
    <t>R11588121</t>
  </si>
  <si>
    <t>R11588221</t>
  </si>
  <si>
    <t>CM65196</t>
  </si>
  <si>
    <t>R11588721</t>
  </si>
  <si>
    <t>CM65185</t>
  </si>
  <si>
    <t>R11589021</t>
  </si>
  <si>
    <t>CM65188</t>
  </si>
  <si>
    <t>R11593921</t>
  </si>
  <si>
    <t>CM65210</t>
  </si>
  <si>
    <t>R11595021</t>
  </si>
  <si>
    <t>P08021431</t>
  </si>
  <si>
    <t>CM65211</t>
  </si>
  <si>
    <t>R11595321</t>
  </si>
  <si>
    <t>CM65225</t>
  </si>
  <si>
    <t>R11595721</t>
  </si>
  <si>
    <t>CM65218</t>
  </si>
  <si>
    <t>R11595921</t>
  </si>
  <si>
    <t>CM65219</t>
  </si>
  <si>
    <t>R11599521</t>
  </si>
  <si>
    <t>CM65235</t>
  </si>
  <si>
    <t>R11601321</t>
  </si>
  <si>
    <t>09052000DC806</t>
  </si>
  <si>
    <t>CM65317</t>
  </si>
  <si>
    <t>R11601421</t>
  </si>
  <si>
    <t>0905200091A14</t>
  </si>
  <si>
    <t>CM65316</t>
  </si>
  <si>
    <t>R11601521</t>
  </si>
  <si>
    <t>117517</t>
  </si>
  <si>
    <t>CM65889</t>
  </si>
  <si>
    <t>R11601621</t>
  </si>
  <si>
    <t>09052000B9874</t>
  </si>
  <si>
    <t>CM65891</t>
  </si>
  <si>
    <t>R11602921</t>
  </si>
  <si>
    <t>3727</t>
  </si>
  <si>
    <t>CM65365</t>
  </si>
  <si>
    <t>R11603621</t>
  </si>
  <si>
    <t>CM65240</t>
  </si>
  <si>
    <t>R11604621</t>
  </si>
  <si>
    <t>01883</t>
  </si>
  <si>
    <t>CM65298</t>
  </si>
  <si>
    <t>R11604721</t>
  </si>
  <si>
    <t>11104</t>
  </si>
  <si>
    <t>CM65268</t>
  </si>
  <si>
    <t>R11604821</t>
  </si>
  <si>
    <t>03933</t>
  </si>
  <si>
    <t>CM65294</t>
  </si>
  <si>
    <t>R11605021</t>
  </si>
  <si>
    <t>04472</t>
  </si>
  <si>
    <t>CM65295</t>
  </si>
  <si>
    <t>R11605121</t>
  </si>
  <si>
    <t>04846</t>
  </si>
  <si>
    <t>CM65287</t>
  </si>
  <si>
    <t>R11605321</t>
  </si>
  <si>
    <t>1138</t>
  </si>
  <si>
    <t>CM65242</t>
  </si>
  <si>
    <t>R11605421</t>
  </si>
  <si>
    <t>0924</t>
  </si>
  <si>
    <t>CM65244</t>
  </si>
  <si>
    <t>R11605521</t>
  </si>
  <si>
    <t>1846</t>
  </si>
  <si>
    <t>CM65243</t>
  </si>
  <si>
    <t>R11605621</t>
  </si>
  <si>
    <t>1144</t>
  </si>
  <si>
    <t>CM65246</t>
  </si>
  <si>
    <t>R11605721</t>
  </si>
  <si>
    <t>1924</t>
  </si>
  <si>
    <t>CM65263</t>
  </si>
  <si>
    <t>R11605921</t>
  </si>
  <si>
    <t>1231</t>
  </si>
  <si>
    <t>CM65245</t>
  </si>
  <si>
    <t>R11606221</t>
  </si>
  <si>
    <t>0564S</t>
  </si>
  <si>
    <t>CM65390</t>
  </si>
  <si>
    <t>R11606321</t>
  </si>
  <si>
    <t>0611</t>
  </si>
  <si>
    <t>CM65305</t>
  </si>
  <si>
    <t>R11606521</t>
  </si>
  <si>
    <t>2842</t>
  </si>
  <si>
    <t>CM65308</t>
  </si>
  <si>
    <t>R11606621</t>
  </si>
  <si>
    <t>3501</t>
  </si>
  <si>
    <t>CM65309</t>
  </si>
  <si>
    <t>R11606821</t>
  </si>
  <si>
    <t>3523</t>
  </si>
  <si>
    <t>CM65307</t>
  </si>
  <si>
    <t>R11606921</t>
  </si>
  <si>
    <t>3536</t>
  </si>
  <si>
    <t>CM65306</t>
  </si>
  <si>
    <t>R11607121</t>
  </si>
  <si>
    <t>0488</t>
  </si>
  <si>
    <t>CM65300</t>
  </si>
  <si>
    <t>R11607321</t>
  </si>
  <si>
    <t>0741</t>
  </si>
  <si>
    <t>CM65302</t>
  </si>
  <si>
    <t>R11607421</t>
  </si>
  <si>
    <t>2194A</t>
  </si>
  <si>
    <t>CM65359</t>
  </si>
  <si>
    <t>R11607521</t>
  </si>
  <si>
    <t>1255</t>
  </si>
  <si>
    <t>CM65304</t>
  </si>
  <si>
    <t>R11607721</t>
  </si>
  <si>
    <t>CM65303</t>
  </si>
  <si>
    <t>R11607821</t>
  </si>
  <si>
    <t>CM65301</t>
  </si>
  <si>
    <t>R11608721</t>
  </si>
  <si>
    <t>CM65361</t>
  </si>
  <si>
    <t>R11608821</t>
  </si>
  <si>
    <t>CM65344</t>
  </si>
  <si>
    <t>R11609321</t>
  </si>
  <si>
    <t>CM65356</t>
  </si>
  <si>
    <t>R11609421</t>
  </si>
  <si>
    <t>9903</t>
  </si>
  <si>
    <t>CM65345</t>
  </si>
  <si>
    <t>R11609721</t>
  </si>
  <si>
    <t>1660</t>
  </si>
  <si>
    <t>CM65346</t>
  </si>
  <si>
    <t>R11614621</t>
  </si>
  <si>
    <t>CM65373</t>
  </si>
  <si>
    <t>R11615421</t>
  </si>
  <si>
    <t>CM65374</t>
  </si>
  <si>
    <t>R11615621</t>
  </si>
  <si>
    <t>CM65375</t>
  </si>
  <si>
    <t>R11616221</t>
  </si>
  <si>
    <t>CM65377</t>
  </si>
  <si>
    <t>R11618321</t>
  </si>
  <si>
    <t>CM65389</t>
  </si>
  <si>
    <t>R11623521</t>
  </si>
  <si>
    <t>P11101434</t>
  </si>
  <si>
    <t>CM65420</t>
  </si>
  <si>
    <t>R11625521</t>
  </si>
  <si>
    <t>M14050</t>
  </si>
  <si>
    <t>CM65429</t>
  </si>
  <si>
    <t>R11625721</t>
  </si>
  <si>
    <t>M14059</t>
  </si>
  <si>
    <t>CM65431</t>
  </si>
  <si>
    <t>R11625921</t>
  </si>
  <si>
    <t>CM65426</t>
  </si>
  <si>
    <t>R11626021</t>
  </si>
  <si>
    <t>CM65425</t>
  </si>
  <si>
    <t>R11626121</t>
  </si>
  <si>
    <t>CM65424</t>
  </si>
  <si>
    <t>R11630621</t>
  </si>
  <si>
    <t>CM65445</t>
  </si>
  <si>
    <t>R11630721</t>
  </si>
  <si>
    <t>C8080</t>
  </si>
  <si>
    <t>CM65525</t>
  </si>
  <si>
    <t>R11631721</t>
  </si>
  <si>
    <t>CM65448</t>
  </si>
  <si>
    <t>R11633621</t>
  </si>
  <si>
    <t>CM65519</t>
  </si>
  <si>
    <t>R11633821</t>
  </si>
  <si>
    <t>CM65517</t>
  </si>
  <si>
    <t>R11634321</t>
  </si>
  <si>
    <t>A21544</t>
  </si>
  <si>
    <t>CM65524</t>
  </si>
  <si>
    <t>R11634421</t>
  </si>
  <si>
    <t>CM65520</t>
  </si>
  <si>
    <t>R11634721</t>
  </si>
  <si>
    <t>CM65516</t>
  </si>
  <si>
    <t>R11635021</t>
  </si>
  <si>
    <t>CM65526</t>
  </si>
  <si>
    <t>R11635821</t>
  </si>
  <si>
    <t>M13966</t>
  </si>
  <si>
    <t>CM65528</t>
  </si>
  <si>
    <t>R11642321</t>
  </si>
  <si>
    <t>N11021026010117</t>
  </si>
  <si>
    <t>CM65512</t>
  </si>
  <si>
    <t>R11645021</t>
  </si>
  <si>
    <t>B29330</t>
  </si>
  <si>
    <t>CM65633</t>
  </si>
  <si>
    <t>R11646521</t>
  </si>
  <si>
    <t>ST77740</t>
  </si>
  <si>
    <t>CM65984</t>
  </si>
  <si>
    <t>R11649121</t>
  </si>
  <si>
    <t>CM65560</t>
  </si>
  <si>
    <t>R11651521</t>
  </si>
  <si>
    <t>B053247</t>
  </si>
  <si>
    <t>CM65634</t>
  </si>
  <si>
    <t>R11653721</t>
  </si>
  <si>
    <t>CM65667</t>
  </si>
  <si>
    <t>R11655821</t>
  </si>
  <si>
    <t>CM65640</t>
  </si>
  <si>
    <t>R11655921</t>
  </si>
  <si>
    <t>CM65641</t>
  </si>
  <si>
    <t>R11656121</t>
  </si>
  <si>
    <t>CM65666</t>
  </si>
  <si>
    <t>R11658221</t>
  </si>
  <si>
    <t>R11659221</t>
  </si>
  <si>
    <t>P19102943</t>
  </si>
  <si>
    <t>CM65662</t>
  </si>
  <si>
    <t>R11662721</t>
  </si>
  <si>
    <t>CM65679</t>
  </si>
  <si>
    <t>R11671021</t>
  </si>
  <si>
    <t>CM65806</t>
  </si>
  <si>
    <t>R11671821</t>
  </si>
  <si>
    <t>CM65807</t>
  </si>
  <si>
    <t>R11672321</t>
  </si>
  <si>
    <t>060249</t>
  </si>
  <si>
    <t>CM65929</t>
  </si>
  <si>
    <t>R11672921</t>
  </si>
  <si>
    <t>CM65808</t>
  </si>
  <si>
    <t>R11673721</t>
  </si>
  <si>
    <t>CM65813</t>
  </si>
  <si>
    <t>R11674321</t>
  </si>
  <si>
    <t>CM65812</t>
  </si>
  <si>
    <t>R11676521</t>
  </si>
  <si>
    <t>CM65898</t>
  </si>
  <si>
    <t>R11676621</t>
  </si>
  <si>
    <t>CM65899</t>
  </si>
  <si>
    <t>R11676721</t>
  </si>
  <si>
    <t>CM65901</t>
  </si>
  <si>
    <t>R11676821</t>
  </si>
  <si>
    <t>CM65902</t>
  </si>
  <si>
    <t>R11676921</t>
  </si>
  <si>
    <t>CM65903</t>
  </si>
  <si>
    <t>R11677121</t>
  </si>
  <si>
    <t>CM65904</t>
  </si>
  <si>
    <t>R11677321</t>
  </si>
  <si>
    <t>CM65906</t>
  </si>
  <si>
    <t>R11677421</t>
  </si>
  <si>
    <t>CM65905</t>
  </si>
  <si>
    <t>R11677521</t>
  </si>
  <si>
    <t>CM65907</t>
  </si>
  <si>
    <t>R11677621</t>
  </si>
  <si>
    <t>CM65908</t>
  </si>
  <si>
    <t>R11679321</t>
  </si>
  <si>
    <t>ALT750-24466</t>
  </si>
  <si>
    <t>R11679521</t>
  </si>
  <si>
    <t>ALT750-24484</t>
  </si>
  <si>
    <t>R11679621</t>
  </si>
  <si>
    <t>ALT750-24351</t>
  </si>
  <si>
    <t>R11684621</t>
  </si>
  <si>
    <t>CM65909</t>
  </si>
  <si>
    <t>R11685121</t>
  </si>
  <si>
    <t>CM65911</t>
  </si>
  <si>
    <t>R11688521</t>
  </si>
  <si>
    <t>CM65927</t>
  </si>
  <si>
    <t>R11689821</t>
  </si>
  <si>
    <t>CM65928</t>
  </si>
  <si>
    <t>R11695621</t>
  </si>
  <si>
    <t>P17101881</t>
  </si>
  <si>
    <t>CM65941</t>
  </si>
  <si>
    <t>R11696821</t>
  </si>
  <si>
    <t>CM65942</t>
  </si>
  <si>
    <t>R11698421</t>
  </si>
  <si>
    <t>CM65964</t>
  </si>
  <si>
    <t>R11698621</t>
  </si>
  <si>
    <t>CM65946</t>
  </si>
  <si>
    <t>R11698821</t>
  </si>
  <si>
    <t>201907243</t>
  </si>
  <si>
    <t>CM65947</t>
  </si>
  <si>
    <t>R11699421</t>
  </si>
  <si>
    <t>CM65988</t>
  </si>
  <si>
    <t>R11700021</t>
  </si>
  <si>
    <t>0365</t>
  </si>
  <si>
    <t>CM65959</t>
  </si>
  <si>
    <t>R11700121</t>
  </si>
  <si>
    <t>0764</t>
  </si>
  <si>
    <t>CM65957</t>
  </si>
  <si>
    <t>R11700421</t>
  </si>
  <si>
    <t>CM65962</t>
  </si>
  <si>
    <t>R11700821</t>
  </si>
  <si>
    <t>CM65963</t>
  </si>
  <si>
    <t>R11703721</t>
  </si>
  <si>
    <t>CM65981</t>
  </si>
  <si>
    <t>R11704521</t>
  </si>
  <si>
    <t>CM65977</t>
  </si>
  <si>
    <t>R11704821</t>
  </si>
  <si>
    <t>CM65982</t>
  </si>
  <si>
    <t>R11710721</t>
  </si>
  <si>
    <t>201904999</t>
  </si>
  <si>
    <t>CM66006</t>
  </si>
  <si>
    <t>R11710821</t>
  </si>
  <si>
    <t>15636/015</t>
  </si>
  <si>
    <t>CM66034</t>
  </si>
  <si>
    <t>R11711221</t>
  </si>
  <si>
    <t>CM66028</t>
  </si>
  <si>
    <t>R11711521</t>
  </si>
  <si>
    <t>CM66031</t>
  </si>
  <si>
    <t>R11712321</t>
  </si>
  <si>
    <t>CM66027</t>
  </si>
  <si>
    <t>R11719121</t>
  </si>
  <si>
    <t>JSL0013446-136</t>
  </si>
  <si>
    <t>CM66035</t>
  </si>
  <si>
    <t>R11723821</t>
  </si>
  <si>
    <t>CM66054</t>
  </si>
  <si>
    <t>R11724221</t>
  </si>
  <si>
    <t>R11724321</t>
  </si>
  <si>
    <t>R11729621</t>
  </si>
  <si>
    <t>CM66068</t>
  </si>
  <si>
    <t>R11730821</t>
  </si>
  <si>
    <t>CM66071</t>
  </si>
  <si>
    <t>R11730921</t>
  </si>
  <si>
    <t>CM66070</t>
  </si>
  <si>
    <t>SBT3200</t>
  </si>
  <si>
    <t>Voroshilova</t>
  </si>
  <si>
    <t>Natalia Olegovna</t>
  </si>
  <si>
    <t>3301-31 (Workscope: 154289 / Project: CM65929) / ELPU Battery</t>
  </si>
  <si>
    <t>COM_S7_OE17120</t>
  </si>
  <si>
    <t>ТО КОМПОНЕНТОВ E170 OVB СИБИРЬ</t>
  </si>
  <si>
    <t>0,45416666666666666</t>
  </si>
  <si>
    <t>3400-22 - series (Workscope: 154281 / Project: CM65240) / Emergency Light Power Unit (ELPU)</t>
  </si>
  <si>
    <t>0,45277777777777778</t>
  </si>
  <si>
    <t>D717 - series SV (Workscope: 154230 / Project: CM64919) /</t>
  </si>
  <si>
    <t>0,45208333333333334</t>
  </si>
  <si>
    <t>D717 - series SV (Workscope: 154226 / Project: CM64693) /</t>
  </si>
  <si>
    <t>D717 - series SV (Workscope: 154223 / Project: CM64692) /</t>
  </si>
  <si>
    <t>0,44791666666666669</t>
  </si>
  <si>
    <t>64300-series (Workscope: 153679 / Project: CM65526) /</t>
  </si>
  <si>
    <t>0,033333333333333333</t>
  </si>
  <si>
    <t>5145-64-series (Workscope: 152310 / Project: CM64612) /</t>
  </si>
  <si>
    <t>0,29444444444444445</t>
  </si>
  <si>
    <t>11225-1 (Workscope: 151865 / Project: CM64290) /</t>
  </si>
  <si>
    <t>85-16-series (Workscope: 148262 / Project: CM63660) /</t>
  </si>
  <si>
    <t>64300-series (Workscope: 151840 / Project: CM64840) /</t>
  </si>
  <si>
    <t>repaired (Workscope: 151855 / Project: CM64840) / cord is damaged / clip is absent</t>
  </si>
  <si>
    <t>0,48055555555555557</t>
  </si>
  <si>
    <t>64300-series (Workscope: 151842 / Project: CM64824) /</t>
  </si>
  <si>
    <t>0,4777777777777778</t>
  </si>
  <si>
    <t>repaired (Workscope: 151851 / Project: CM64824) / glider s damaged / cushions is absent / clip is absent / windscreen is absent</t>
  </si>
  <si>
    <t>0,45763888888888887</t>
  </si>
  <si>
    <t>64300-series (Workscope: 151841 / Project: CM64823) /</t>
  </si>
  <si>
    <t>0,45694444444444443</t>
  </si>
  <si>
    <t>repair (Workscope: 151850 / Project: CM64823) / receiver right is damaged / headband is damaged / microphone is damaged / clip is absent / windscreen is absent / cushions is absent / cord is damaged</t>
  </si>
  <si>
    <t>repaired (Workscope: 152296 / Project: CM64503) / lampholder is damaged</t>
  </si>
  <si>
    <t>4197-Series (Workscope: 152121 / Project: CM64503) / Perform linked CMJC</t>
  </si>
  <si>
    <t>0,074999999999999997</t>
  </si>
  <si>
    <t>64300-series (Workscope: 151838 / Project: CM64652) /</t>
  </si>
  <si>
    <t>0,067361111111111108</t>
  </si>
  <si>
    <t>64300-series (Workscope: 151833 / Project: CM64662) /</t>
  </si>
  <si>
    <t>repaired (Workscope: 151854 / Project: CM64662) / receiver and housing right are damaaged</t>
  </si>
  <si>
    <t>repaired (Workscope: 151852 / Project: CM64652) / receiver left is damaged</t>
  </si>
  <si>
    <t>0,17222222222222222</t>
  </si>
  <si>
    <t>0,0625</t>
  </si>
  <si>
    <t>0,16875000000000001</t>
  </si>
  <si>
    <t>0,16111111111111112</t>
  </si>
  <si>
    <t>0,15763888888888888</t>
  </si>
  <si>
    <t>0,53402777777777777</t>
  </si>
  <si>
    <t>11050–11, 11225-3, 11225-31 SV (Workscope: 151005 / Project: CM64636) / Perform linked CMJC</t>
  </si>
  <si>
    <t>CM_S7_OB73120</t>
  </si>
  <si>
    <t>ТО КОФЕМЕЙКЕРА OVB СИБИРЬ</t>
  </si>
  <si>
    <t>0,5229166666666667</t>
  </si>
  <si>
    <t>0,21249999999999999</t>
  </si>
  <si>
    <t>11050–11, 11225-3, 11225-31 SV (Workscope: 150664 / Project: CM64735) / Perform linked CMJC</t>
  </si>
  <si>
    <t>0,4597222222222222</t>
  </si>
  <si>
    <t>3214-31 SV (Workscope: 148668 / Project: CM64274) /</t>
  </si>
  <si>
    <t>BT_S7_OA32120</t>
  </si>
  <si>
    <t>ТО БАТАРЕИ OVB СИБИРЬ</t>
  </si>
  <si>
    <t>3214-31 SV (Workscope: 148663 / Project: CM64272) /</t>
  </si>
  <si>
    <t>3214-31 SV (Workscope: 148592 / Project: CM63843) /</t>
  </si>
  <si>
    <t>3214-31 SV (Workscope: 148591 / Project: CM63835) /</t>
  </si>
  <si>
    <t>0,45624999999999999</t>
  </si>
  <si>
    <t>3214-31 SV (Workscope: 148584 / Project: CM63733) /</t>
  </si>
  <si>
    <t>3214-31 SV (Workscope: 148589 / Project: CM63734) /</t>
  </si>
  <si>
    <t>0,36875000000000002</t>
  </si>
  <si>
    <t>repaired (Workscope: 147358 / Project: CM63599) / battery is damaged</t>
  </si>
  <si>
    <t>repair (Workscope: 147356 / Project: CM63597) / battery is damaged</t>
  </si>
  <si>
    <t>0,10416666666666667</t>
  </si>
  <si>
    <t>3400-22 - series (Workscope: 147284 / Project: CM63599) / Emergency Light Power Unit (ELPU)</t>
  </si>
  <si>
    <t>0,34583333333333333</t>
  </si>
  <si>
    <t>3400-22 - series (Workscope: 147244 / Project: CM63597) / Emergency Light Power Unit (ELPU)</t>
  </si>
  <si>
    <t>0,19583333333333333</t>
  </si>
  <si>
    <t>285W0024-series OV(CMM 23-42-01) (Workscope: 149760 / Project: CM64383) /</t>
  </si>
  <si>
    <t>0,05347222222222222</t>
  </si>
  <si>
    <t>repair (Workscope: 149702 / Project: CM64470) /</t>
  </si>
  <si>
    <t>CM_S7_OA32120</t>
  </si>
  <si>
    <t>0,17083333333333334</t>
  </si>
  <si>
    <t>4510-XX (Workscope: 149589 / Project: CM64470) /</t>
  </si>
  <si>
    <t>0,51527777777777772</t>
  </si>
  <si>
    <t>0,40694444444444444</t>
  </si>
  <si>
    <t>repair (Workscope: 149509 / Project: CM64462) / RETAINER RING IS ABSENT</t>
  </si>
  <si>
    <t>WH_S7_OA32120</t>
  </si>
  <si>
    <t>ТО БОЙЛЕРА OVB СИБИРЬ</t>
  </si>
  <si>
    <t>Repair (Workscope: 148725 / Project: CM62175) / - Ground strap is damaged
- Assy,water inlet is damaged
- Wire clamp is damaged</t>
  </si>
  <si>
    <t>0,42569444444444443</t>
  </si>
  <si>
    <t>0,087499999999999994</t>
  </si>
  <si>
    <t>11050–11, 11225-3, 11225-31 SV (Workscope: 143991 / Project: CM62175) / Perform linked CMJC</t>
  </si>
  <si>
    <t>DR4180 series (Workscope: 149490 / Project: CM64462) /</t>
  </si>
  <si>
    <t>0,51458333333333328</t>
  </si>
  <si>
    <t>Замена блока батарей (Workscope: 121540 / Project: CM52580) / Замена блока батарей p/n 2017</t>
  </si>
  <si>
    <t>2013-1 2013-1A (Workscope: 121537 / Project: CM52580) /</t>
  </si>
  <si>
    <t>0,50277777777777777</t>
  </si>
  <si>
    <t>repair (Workscope: 140313 / Project: CM52532) / The UUT did not turn off (no output voltage) in tests 1 and 2 in Table 102. 
Replace PCB assembly A1</t>
  </si>
  <si>
    <t>BPS7-2 ,-3; 2012-1SV (Workscope: 121877 / Project: CM52532) /</t>
  </si>
  <si>
    <t>0,48402777777777778</t>
  </si>
  <si>
    <t>0,04583333333333333</t>
  </si>
  <si>
    <t>4510-XX (Workscope: 148451 / Project: CM63882) /</t>
  </si>
  <si>
    <t>repair (Workscope: 148484 / Project: CM63882) / sensor is damaged
platen is damaged</t>
  </si>
  <si>
    <t>0,36041666666666666</t>
  </si>
  <si>
    <t>3400-22 - series (Workscope: 147243 / Project: CM63588) / Emergency Light Power Unit (ELPU)</t>
  </si>
  <si>
    <t>0,30208333333333331</t>
  </si>
  <si>
    <t>repair (Workscope: 133835 / Project: CM57967) /</t>
  </si>
  <si>
    <t>0,34097222222222223</t>
  </si>
  <si>
    <t>3400-22 - series (Workscope: 147281 / Project: CM63586) / Emergency Light Power Unit (ELPU)</t>
  </si>
  <si>
    <t>0,1875</t>
  </si>
  <si>
    <t>D717 - series SV (Workscope: 145959 / Project: CM62816) /</t>
  </si>
  <si>
    <t>0,33124999999999999</t>
  </si>
  <si>
    <t>0,14583333333333334</t>
  </si>
  <si>
    <t>3301-31 (Workscope: 147285 / Project: CM63586) / ELPU Battery</t>
  </si>
  <si>
    <t>0,32361111111111113</t>
  </si>
  <si>
    <t>3301-31 (Workscope: 147261 / Project: CM63588) / ELPU Battery</t>
  </si>
  <si>
    <t>0,30277777777777776</t>
  </si>
  <si>
    <t>4197-Series (Workscope: 133833 / Project: CM57967) / Perform linked CMJC</t>
  </si>
  <si>
    <t>0,39930555555555558</t>
  </si>
  <si>
    <t>D717 - series SV (Workscope: 145958 / Project: CM62814) /</t>
  </si>
  <si>
    <t>0,40069444444444446</t>
  </si>
  <si>
    <t>repair (Workscope: 148367 / Project: CM64132) / o-ring for drain is damaged</t>
  </si>
  <si>
    <t>0,49861111111111112</t>
  </si>
  <si>
    <t>0,18472222222222223</t>
  </si>
  <si>
    <t>85-16-series (Workscope: 143312 / Project: CM62135) /</t>
  </si>
  <si>
    <t>DR4180 series (Workscope: 148323 / Project: CM64132) /</t>
  </si>
  <si>
    <t>repaired (Workscope: 143366 / Project: CM62135) / cord is damaged</t>
  </si>
  <si>
    <t>0,50486111111111109</t>
  </si>
  <si>
    <t>0,50069444444444444</t>
  </si>
  <si>
    <t>0,49375000000000002</t>
  </si>
  <si>
    <t>3301-31 (Workscope: 147280 / Project: CM63597) / ELPU Battery</t>
  </si>
  <si>
    <t>3301-31 (Workscope: 147286 / Project: CM63599) / ELPU Battery</t>
  </si>
  <si>
    <t>0,49791666666666667</t>
  </si>
  <si>
    <t>repaired (Workscope: 147146 / Project: CM63606) / plungers 3ea are damaged
washer 2ea are damaged
guide assy for "Tea" is damaged</t>
  </si>
  <si>
    <t>repaired (Workscope: 147114 / Project: CM63606) / o-ring for tube tea is damaged</t>
  </si>
  <si>
    <t>0,47847222222222224</t>
  </si>
  <si>
    <t>repaired (Workscope: 146646 / Project: CM63212) / 1.Coil is damaged.
2.Aerator is damaged.</t>
  </si>
  <si>
    <t>4510-XX (Workscope: 146623 / Project: CM63212) /</t>
  </si>
  <si>
    <t>4510-XX (Workscope: 147057 / Project: CM63606) /</t>
  </si>
  <si>
    <t>0,11458333333333333</t>
  </si>
  <si>
    <t>11050–11, 11225-3, 11225-31 SV (Workscope: 146934 / Project: CM63462) / Perform linked CMJC</t>
  </si>
  <si>
    <t>0,13055555555555556</t>
  </si>
  <si>
    <t>11050–11, 11225-3, 11225-31 SV (Workscope: 146918 / Project: CM63102) / Perform linked CMJC</t>
  </si>
  <si>
    <t>11050–11, 11225-3, 11225-31 SV (Workscope: 146710 / Project: CM63196) / Perform linked CMJC</t>
  </si>
  <si>
    <t>0,28194444444444444</t>
  </si>
  <si>
    <t>repair (Workscope: 135120 / Project: CM56338) /</t>
  </si>
  <si>
    <t>D717 - series SV (Workscope: 128849 / Project: CM56338) /</t>
  </si>
  <si>
    <t>0,39861111111111114</t>
  </si>
  <si>
    <t>0,41666666666666669</t>
  </si>
  <si>
    <t>D717 - series SV (Workscope: 143749 / Project: CM61948) /</t>
  </si>
  <si>
    <t>0,33055555555555555</t>
  </si>
  <si>
    <t>D717 - series SV (Workscope: 143752 / Project: CM62192) /</t>
  </si>
  <si>
    <t>0,20277777777777778</t>
  </si>
  <si>
    <t>D717 - series SV (Workscope: 143750 / Project: CM61949) /</t>
  </si>
  <si>
    <t>0,33958333333333335</t>
  </si>
  <si>
    <t>repair (Workscope: 145804 / Project: CM62969) / o-ring for drain is absent</t>
  </si>
  <si>
    <t>DR4180 series (Workscope: 145867 / Project: CM62904) /</t>
  </si>
  <si>
    <t>0,1701388888888889</t>
  </si>
  <si>
    <t>repair (Workscope: 141218 / Project: CM61161) / CUP ASSY, BREW (UPPER) - damage
O-ring (plunger) 3 e.a. - damage
missing 2 e.a. WASHER, FLOW</t>
  </si>
  <si>
    <t>DR4180 series (Workscope: 145792 / Project: CM62969) /</t>
  </si>
  <si>
    <t>4510-XX (Workscope: 141190 / Project: CM61161) /</t>
  </si>
  <si>
    <t>0,47013888888888888</t>
  </si>
  <si>
    <t>repair (Workscope: 142173 / Project: CM61771) / Lamp is damaged</t>
  </si>
  <si>
    <t>0,46944444444444444</t>
  </si>
  <si>
    <t>4315542, 4191695 SV (Workscope: 142162 / Project: CM61771) /</t>
  </si>
  <si>
    <t>D717 - series SV (Workscope: 143751 / Project: CM61950) /</t>
  </si>
  <si>
    <t>0,15</t>
  </si>
  <si>
    <t>repaier (Workscope: 143356 / Project: CM62105) / Cushions, windsceen and clip is absent
Screw, headband, glider is damaged</t>
  </si>
  <si>
    <t>0,15069444444444444</t>
  </si>
  <si>
    <t>64300-series (Workscope: 143311 / Project: CM62105) /</t>
  </si>
  <si>
    <t>D717-01-100</t>
  </si>
  <si>
    <t>466774</t>
  </si>
  <si>
    <t>EMERGENCY BATTERY PACK</t>
  </si>
  <si>
    <t>455566</t>
  </si>
  <si>
    <t>ELPU Battery</t>
  </si>
  <si>
    <t>ELPU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</si>
</sst>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;@"/>
    <numFmt numFmtId="165" formatCode="0.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2"/>
      <color rgb="FFFFFF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sz val="6"/>
      <name val="Arial"/>
      <family val="2"/>
      <charset val="204"/>
    </font>
    <font>
      <sz val="5"/>
      <name val="Arial"/>
      <family val="2"/>
      <charset val="204"/>
    </font>
    <font>
      <sz val="9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9D9D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2" fillId="0" borderId="0"/>
  </cellStyleXfs>
  <cellXfs count="34">
    <xf numFmtId="0" fontId="0" fillId="0" borderId="0" xfId="0"/>
    <xf numFmtId="14" fontId="0" fillId="0" borderId="0" xfId="0" applyNumberFormat="1"/>
    <xf numFmtId="0" fontId="0" fillId="0" borderId="0" xfId="0" applyNumberFormat="1"/>
    <xf numFmtId="0" fontId="4" fillId="2" borderId="1" xfId="1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3" fillId="0" borderId="1" xfId="1" applyBorder="1"/>
    <xf numFmtId="0" fontId="3" fillId="0" borderId="0" xfId="1"/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49" fontId="3" fillId="0" borderId="1" xfId="1" applyNumberFormat="1" applyBorder="1" applyAlignment="1">
      <alignment horizontal="center" vertical="center"/>
    </xf>
    <xf numFmtId="0" fontId="7" fillId="0" borderId="1" xfId="2" applyNumberFormat="1" applyFont="1" applyFill="1" applyBorder="1" applyAlignment="1" applyProtection="1">
      <alignment vertical="top"/>
    </xf>
    <xf numFmtId="49" fontId="6" fillId="0" borderId="1" xfId="1" applyNumberFormat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6" fillId="4" borderId="1" xfId="1" applyFont="1" applyFill="1" applyBorder="1" applyAlignment="1">
      <alignment horizontal="center" vertical="center" wrapText="1"/>
    </xf>
    <xf numFmtId="0" fontId="8" fillId="4" borderId="2" xfId="1" applyFont="1" applyFill="1" applyBorder="1" applyAlignment="1">
      <alignment horizontal="center" vertical="center" wrapText="1"/>
    </xf>
    <xf numFmtId="0" fontId="3" fillId="0" borderId="2" xfId="1" applyBorder="1" applyAlignment="1">
      <alignment horizontal="center" vertical="center"/>
    </xf>
    <xf numFmtId="0" fontId="3" fillId="5" borderId="1" xfId="1" applyFill="1" applyBorder="1"/>
    <xf numFmtId="0" fontId="6" fillId="0" borderId="1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6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164" fontId="9" fillId="0" borderId="3" xfId="1" applyNumberFormat="1" applyFont="1" applyFill="1" applyBorder="1" applyAlignment="1" applyProtection="1">
      <alignment horizontal="center" vertical="center"/>
    </xf>
    <xf numFmtId="0" fontId="9" fillId="0" borderId="1" xfId="1" applyNumberFormat="1" applyFont="1" applyFill="1" applyBorder="1" applyAlignment="1" applyProtection="1">
      <alignment horizontal="center" vertical="center"/>
    </xf>
    <xf numFmtId="0" fontId="3" fillId="0" borderId="1" xfId="1" applyNumberFormat="1" applyBorder="1" applyAlignment="1">
      <alignment horizontal="center" vertical="center" shrinkToFit="1"/>
    </xf>
    <xf numFmtId="0" fontId="10" fillId="0" borderId="1" xfId="1" applyNumberFormat="1" applyFont="1" applyFill="1" applyBorder="1" applyAlignment="1" applyProtection="1">
      <alignment horizontal="center" vertical="center" wrapText="1"/>
    </xf>
    <xf numFmtId="0" fontId="9" fillId="0" borderId="1" xfId="1" applyNumberFormat="1" applyFont="1" applyFill="1" applyBorder="1" applyAlignment="1" applyProtection="1">
      <alignment horizontal="center" vertical="center" wrapText="1"/>
    </xf>
    <xf numFmtId="0" fontId="7" fillId="0" borderId="1" xfId="1" applyNumberFormat="1" applyFont="1" applyFill="1" applyBorder="1" applyAlignment="1" applyProtection="1">
      <alignment horizontal="center" vertical="center"/>
    </xf>
    <xf numFmtId="0" fontId="11" fillId="0" borderId="1" xfId="1" applyNumberFormat="1" applyFont="1" applyFill="1" applyBorder="1" applyAlignment="1" applyProtection="1">
      <alignment horizontal="center" vertical="center"/>
    </xf>
    <xf numFmtId="165" fontId="9" fillId="0" borderId="2" xfId="1" applyNumberFormat="1" applyFont="1" applyFill="1" applyBorder="1" applyAlignment="1" applyProtection="1">
      <alignment horizontal="center" vertical="center"/>
    </xf>
    <xf numFmtId="165" fontId="9" fillId="0" borderId="4" xfId="1" applyNumberFormat="1" applyFont="1" applyFill="1" applyBorder="1" applyAlignment="1" applyProtection="1">
      <alignment horizontal="center" vertical="center"/>
    </xf>
    <xf numFmtId="165" fontId="3" fillId="0" borderId="0" xfId="1" applyNumberFormat="1"/>
    <xf numFmtId="165" fontId="9" fillId="0" borderId="1" xfId="1" applyNumberFormat="1" applyFont="1" applyFill="1" applyBorder="1" applyAlignment="1" applyProtection="1">
      <alignment horizontal="center" vertical="center"/>
    </xf>
    <xf numFmtId="0" fontId="0" fillId="7" borderId="1" xfId="0" applyFill="1" applyBorder="1" applyAlignment="1">
      <alignment horizontal="center" vertical="center"/>
    </xf>
  </cellXfs>
  <cellStyles count="3">
    <cellStyle name="Обычный" xfId="0" builtinId="0"/>
    <cellStyle name="Обычный 10 2" xfId="1"/>
    <cellStyle name="Обычный 6" xfId="2"/>
  </cellStyles>
  <dxfs count="96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11</xdr:row>
          <xdr:rowOff>133350</xdr:rowOff>
        </xdr:from>
        <xdr:to>
          <xdr:col>30</xdr:col>
          <xdr:colOff>200025</xdr:colOff>
          <xdr:row>15</xdr:row>
          <xdr:rowOff>104775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ДУБЛИКАТЫ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vionics/&#1045;&#1078;&#1077;&#1076;&#1085;&#1077;&#1074;&#1085;&#1099;&#1081;%20&#1086;&#1090;&#1095;&#1105;&#1090;/&#1040;&#1088;&#1093;&#1080;&#1074;/&#1045;&#1078;&#1077;&#1076;&#1085;&#1077;&#1074;&#1085;&#1099;&#1081;%20&#1086;&#1090;&#1095;&#1077;&#1090;%202018-201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vionics/&#1045;&#1078;&#1077;&#1076;&#1085;&#1077;&#1074;&#1085;&#1099;&#1081;%20&#1086;&#1090;&#1095;&#1105;&#1090;/&#1045;&#1078;&#1077;&#1076;&#1085;&#1077;&#1074;&#1085;&#1099;&#1081;%20&#1086;&#1090;&#1095;&#1077;&#109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сновной отчёт 2019"/>
      <sheetName val="Основной отчёт 2018"/>
      <sheetName val="STICKER"/>
      <sheetName val="Servtag"/>
      <sheetName val="Unservtag"/>
      <sheetName val="Pitag"/>
      <sheetName val="Scraptag"/>
      <sheetName val="###"/>
      <sheetName val="Loc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AB UnAr</v>
          </cell>
        </row>
        <row r="3">
          <cell r="A3" t="str">
            <v>BM UnAr</v>
          </cell>
        </row>
        <row r="4">
          <cell r="A4" t="str">
            <v>CL area</v>
          </cell>
        </row>
        <row r="5">
          <cell r="A5" t="str">
            <v>ELL UnAr</v>
          </cell>
        </row>
        <row r="6">
          <cell r="A6" t="str">
            <v>EmEq UnAr</v>
          </cell>
        </row>
        <row r="7">
          <cell r="A7" t="str">
            <v>Oven UnAr</v>
          </cell>
        </row>
        <row r="8">
          <cell r="A8" t="str">
            <v>Ox UnAr</v>
          </cell>
        </row>
        <row r="9">
          <cell r="A9" t="str">
            <v>Room 1 UnAr</v>
          </cell>
        </row>
        <row r="10">
          <cell r="A10" t="str">
            <v>Room 3 UnAr</v>
          </cell>
        </row>
        <row r="11">
          <cell r="A11" t="str">
            <v>Room 4 UnAr</v>
          </cell>
        </row>
        <row r="12">
          <cell r="A12" t="str">
            <v>Room 5</v>
          </cell>
        </row>
        <row r="13">
          <cell r="A13" t="str">
            <v>MeasRoom</v>
          </cell>
        </row>
        <row r="14">
          <cell r="A14" t="str">
            <v>Store</v>
          </cell>
        </row>
        <row r="15">
          <cell r="A15" t="str">
            <v>UnAr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сновной отчёт 2021"/>
      <sheetName val="Unservtag"/>
      <sheetName val="Лист2"/>
      <sheetName val="###"/>
      <sheetName val="Location"/>
      <sheetName val="TRPIT"/>
      <sheetName val="PASS. SEAT"/>
      <sheetName val="Names"/>
      <sheetName val="STICKER"/>
      <sheetName val="Servtag"/>
      <sheetName val="Pitag"/>
      <sheetName val="Scraptag"/>
      <sheetName val="PN"/>
      <sheetName val="SWO2019"/>
      <sheetName val="LB"/>
      <sheetName val="LPN"/>
      <sheetName val="AMOS"/>
      <sheetName val="Лист1"/>
    </sheetNames>
    <sheetDataSet>
      <sheetData sheetId="0"/>
      <sheetData sheetId="1"/>
      <sheetData sheetId="2"/>
      <sheetData sheetId="3"/>
      <sheetData sheetId="4">
        <row r="2">
          <cell r="A2" t="str">
            <v>AB UnAr</v>
          </cell>
        </row>
        <row r="3">
          <cell r="A3" t="str">
            <v>BM UnAr</v>
          </cell>
        </row>
        <row r="4">
          <cell r="A4" t="str">
            <v>CL area</v>
          </cell>
        </row>
        <row r="5">
          <cell r="A5" t="str">
            <v>ELL UnAr</v>
          </cell>
        </row>
        <row r="6">
          <cell r="A6" t="str">
            <v>EmEq UnAr</v>
          </cell>
        </row>
        <row r="7">
          <cell r="A7" t="str">
            <v>Oven UnAr</v>
          </cell>
        </row>
        <row r="8">
          <cell r="A8" t="str">
            <v>Ox UnAr</v>
          </cell>
        </row>
        <row r="9">
          <cell r="A9" t="str">
            <v>Room 1 UnAr</v>
          </cell>
        </row>
        <row r="10">
          <cell r="A10" t="str">
            <v>Room 3 UnAr</v>
          </cell>
        </row>
        <row r="11">
          <cell r="A11" t="str">
            <v>Room 4 UnAr</v>
          </cell>
        </row>
        <row r="12">
          <cell r="A12" t="str">
            <v>Room 5</v>
          </cell>
        </row>
        <row r="13">
          <cell r="A13" t="str">
            <v>MeasRoom</v>
          </cell>
        </row>
        <row r="14">
          <cell r="A14" t="str">
            <v>Store</v>
          </cell>
        </row>
        <row r="15">
          <cell r="A15" t="str">
            <v>UnAr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24">
    <queryTableFields count="12">
      <queryTableField id="1" name="Order No." tableColumnId="1"/>
      <queryTableField id="2" name="Order State" tableColumnId="2"/>
      <queryTableField id="3" name="Date" tableColumnId="3"/>
      <queryTableField id="4" name="Address" tableColumnId="4"/>
      <queryTableField id="5" name="Name" tableColumnId="5"/>
      <queryTableField id="6" name="Part No." tableColumnId="6"/>
      <queryTableField id="7" name="Serial No. / Batch No." tableColumnId="7"/>
      <queryTableField id="8" name="CM Project No." tableColumnId="8"/>
      <queryTableField id="9" name="Label No." tableColumnId="9"/>
      <queryTableField id="10" name="Description" tableColumnId="10"/>
      <queryTableField id="11" name="Confirmed Date" tableColumnId="11"/>
      <queryTableField id="12" name="ATA Chapter" tableColumnId="12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30">
    <queryTableFields count="2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</queryTableFields>
  </queryTableRefresh>
</queryTable>
</file>

<file path=xl/queryTables/queryTable3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2">
    <queryTableFields count="2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1328.Part No." tableColumnId="16"/>
      <queryTableField id="17" name="1328.Serial No. / Batch No." tableColumnId="17"/>
      <queryTableField id="18" name="1328.CM Project No." tableColumnId="18"/>
      <queryTableField id="19" name="1328.Description" tableColumnId="19"/>
      <queryTableField id="20" name="1328.Label No." tableColumnId="20"/>
      <queryTableField id="21" name="1328.ATA Chapter" tableColumnId="21"/>
    </queryTableFields>
  </queryTableRefresh>
</queryTable>
</file>

<file path=xl/queryTables/queryTable4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38">
    <queryTableFields count="37">
      <queryTableField id="1" name="Status" tableColumnId="1"/>
      <queryTableField id="2" name="Rec. No." tableColumnId="2"/>
      <queryTableField id="3" name="Rec. Item No." tableColumnId="3"/>
      <queryTableField id="4" name="Queries" tableColumnId="4"/>
      <queryTableField id="5" name="Order No." tableColumnId="5"/>
      <queryTableField id="6" name="Pos. No." tableColumnId="6"/>
      <queryTableField id="7" name="Part No." tableColumnId="7"/>
      <queryTableField id="8" name="Serial/Batch No." tableColumnId="8"/>
      <queryTableField id="9" name="Condition" tableColumnId="9"/>
      <queryTableField id="10" name="Label No." tableColumnId="10"/>
      <queryTableField id="11" name="AWB No." tableColumnId="11"/>
      <queryTableField id="12" name="Project No." tableColumnId="12"/>
      <queryTableField id="13" name="Description" tableColumnId="13"/>
      <queryTableField id="14" name="Qty" tableColumnId="14"/>
      <queryTableField id="15" name="Mat. Class" tableColumnId="15"/>
      <queryTableField id="16" name="Repairable" tableColumnId="16"/>
      <queryTableField id="17" name="Tool" tableColumnId="17"/>
      <queryTableField id="18" name="Vendor" tableColumnId="18"/>
      <queryTableField id="19" name="Mark" tableColumnId="19"/>
      <queryTableField id="20" name="Owner" tableColumnId="20"/>
      <queryTableField id="21" name="Operator" tableColumnId="21"/>
      <queryTableField id="22" name="Customs No./Type" tableColumnId="22"/>
      <queryTableField id="23" name="Rec. Date" tableColumnId="23"/>
      <queryTableField id="24" name="Station" tableColumnId="24"/>
      <queryTableField id="25" name="Store" tableColumnId="25"/>
      <queryTableField id="26" name="Location" tableColumnId="26"/>
      <queryTableField id="27" name="ABC" tableColumnId="27"/>
      <queryTableField id="28" name="Bill to" tableColumnId="28"/>
      <queryTableField id="29" name="Priority" tableColumnId="29"/>
      <queryTableField id="30" name="Insp. state" tableColumnId="30"/>
      <queryTableField id="31" name="Insp. by" tableColumnId="31"/>
      <queryTableField id="32" name="Insp. Date" tableColumnId="32"/>
      <queryTableField id="33" name="Created Date" tableColumnId="33"/>
      <queryTableField id="34" name="Received by" tableColumnId="34"/>
      <queryTableField id="35" name="Mutation Date" tableColumnId="35"/>
      <queryTableField id="36" name="Mutation Time" tableColumnId="36"/>
      <queryTableField id="37" name="Links" tableColumnId="37"/>
    </queryTableFields>
  </queryTableRefresh>
</queryTable>
</file>

<file path=xl/queryTables/queryTable5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25" unboundColumnsRight="1">
    <queryTableFields count="2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1328.Part No." tableColumnId="16"/>
      <queryTableField id="17" name="1328.Serial No. / Batch No." tableColumnId="17"/>
      <queryTableField id="18" name="1328.CM Project No." tableColumnId="18"/>
      <queryTableField id="19" name="1328.Description" tableColumnId="19"/>
      <queryTableField id="20" name="1328.Label No." tableColumnId="20"/>
      <queryTableField id="21" name="1328.ATA Chapter" tableColumnId="21"/>
      <queryTableField id="22" name="1498.Insp. by" tableColumnId="22"/>
      <queryTableField id="23" name="1498.Insp. Date" tableColumnId="23"/>
      <queryTableField id="24" dataBound="0" tableColumnId="24"/>
    </queryTableFields>
  </queryTableRefresh>
</queryTable>
</file>

<file path=xl/queryTables/queryTable6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30">
    <queryTableFields count="29">
      <queryTableField id="1" name="Column1" tableColumnId="59"/>
      <queryTableField id="2" name="Column2" tableColumnId="60"/>
      <queryTableField id="3" name="Column3" tableColumnId="61"/>
      <queryTableField id="4" name="Column4" tableColumnId="62"/>
      <queryTableField id="5" name="Column5" tableColumnId="63"/>
      <queryTableField id="6" name="Column6" tableColumnId="64"/>
      <queryTableField id="7" name="Column7" tableColumnId="65"/>
      <queryTableField id="8" name="Column8" tableColumnId="66"/>
      <queryTableField id="9" name="Column9" tableColumnId="67"/>
      <queryTableField id="10" name="Column10" tableColumnId="68"/>
      <queryTableField id="11" name="Column11" tableColumnId="69"/>
      <queryTableField id="12" name="Column12" tableColumnId="70"/>
      <queryTableField id="13" name="Column13" tableColumnId="71"/>
      <queryTableField id="14" name="Column14" tableColumnId="72"/>
      <queryTableField id="15" name="Column15" tableColumnId="73"/>
      <queryTableField id="16" name="Column16" tableColumnId="74"/>
      <queryTableField id="17" name="Column17" tableColumnId="75"/>
      <queryTableField id="18" name="Column18" tableColumnId="76"/>
      <queryTableField id="19" name="Column19" tableColumnId="77"/>
      <queryTableField id="20" name="Column20" tableColumnId="78"/>
      <queryTableField id="21" name="Column21" tableColumnId="79"/>
      <queryTableField id="22" name="Column22" tableColumnId="80"/>
      <queryTableField id="23" name="Column23" tableColumnId="81"/>
      <queryTableField id="24" name="Column24" tableColumnId="82"/>
      <queryTableField id="25" name="Column25" tableColumnId="83"/>
      <queryTableField id="26" name="Column26" tableColumnId="84"/>
      <queryTableField id="27" name="Column27" tableColumnId="85"/>
      <queryTableField id="28" name="Column28" tableColumnId="86"/>
      <queryTableField id="29" name="Column29" tableColumnId="8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_1328" displayName="_1328" ref="A1:L7708" tableType="queryTable" totalsRowShown="0">
  <autoFilter ref="A1:L7708"/>
  <tableColumns count="12">
    <tableColumn id="1" uniqueName="1" name="Order No." queryTableFieldId="1"/>
    <tableColumn id="2" uniqueName="2" name="Order State" queryTableFieldId="2"/>
    <tableColumn id="3" uniqueName="3" name="Date" queryTableFieldId="3" dataDxfId="65"/>
    <tableColumn id="4" uniqueName="4" name="Address" queryTableFieldId="4"/>
    <tableColumn id="5" uniqueName="5" name="Name" queryTableFieldId="5"/>
    <tableColumn id="6" uniqueName="6" name="Part No." queryTableFieldId="6"/>
    <tableColumn id="7" uniqueName="7" name="Serial No. / Batch No." queryTableFieldId="7"/>
    <tableColumn id="8" uniqueName="8" name="CM Project No." queryTableFieldId="8"/>
    <tableColumn id="9" uniqueName="9" name="Label No." queryTableFieldId="9"/>
    <tableColumn id="10" uniqueName="10" name="Description" queryTableFieldId="10"/>
    <tableColumn id="11" uniqueName="11" name="Confirmed Date" queryTableFieldId="11"/>
    <tableColumn id="12" uniqueName="12" name="ATA Chapter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_1225" displayName="_1225" ref="A1:AC185" tableType="queryTable" totalsRowShown="0">
  <autoFilter ref="A1:AC185"/>
  <tableColumns count="29">
    <tableColumn id="1" uniqueName="1" name="Column1" queryTableFieldId="1"/>
    <tableColumn id="2" uniqueName="2" name="Column2" queryTableFieldId="2"/>
    <tableColumn id="3" uniqueName="3" name="Column3" queryTableFieldId="3"/>
    <tableColumn id="4" uniqueName="4" name="Column4" queryTableFieldId="4"/>
    <tableColumn id="5" uniqueName="5" name="Column5" queryTableFieldId="5"/>
    <tableColumn id="6" uniqueName="6" name="Column6" queryTableFieldId="6" dataDxfId="64"/>
    <tableColumn id="7" uniqueName="7" name="Column7" queryTableFieldId="7" dataDxfId="63"/>
    <tableColumn id="8" uniqueName="8" name="Column8" queryTableFieldId="8" dataDxfId="62"/>
    <tableColumn id="9" uniqueName="9" name="Column9" queryTableFieldId="9"/>
    <tableColumn id="10" uniqueName="10" name="Column10" queryTableFieldId="10"/>
    <tableColumn id="11" uniqueName="11" name="Column11" queryTableFieldId="11"/>
    <tableColumn id="12" uniqueName="12" name="Column12" queryTableFieldId="12"/>
    <tableColumn id="13" uniqueName="13" name="Column13" queryTableFieldId="13"/>
    <tableColumn id="14" uniqueName="14" name="Column14" queryTableFieldId="14"/>
    <tableColumn id="15" uniqueName="15" name="Column15" queryTableFieldId="15"/>
    <tableColumn id="16" uniqueName="16" name="Column16" queryTableFieldId="16"/>
    <tableColumn id="17" uniqueName="17" name="Column17" queryTableFieldId="17"/>
    <tableColumn id="18" uniqueName="18" name="Column18" queryTableFieldId="18"/>
    <tableColumn id="19" uniqueName="19" name="Column19" queryTableFieldId="19"/>
    <tableColumn id="20" uniqueName="20" name="Column20" queryTableFieldId="20"/>
    <tableColumn id="21" uniqueName="21" name="Column21" queryTableFieldId="21"/>
    <tableColumn id="22" uniqueName="22" name="Column22" queryTableFieldId="22"/>
    <tableColumn id="23" uniqueName="23" name="Column23" queryTableFieldId="23"/>
    <tableColumn id="24" uniqueName="24" name="Column24" queryTableFieldId="24"/>
    <tableColumn id="25" uniqueName="25" name="Column25" queryTableFieldId="25"/>
    <tableColumn id="26" uniqueName="26" name="Column26" queryTableFieldId="26"/>
    <tableColumn id="27" uniqueName="27" name="Column27" queryTableFieldId="27"/>
    <tableColumn id="28" uniqueName="28" name="Column28" queryTableFieldId="28"/>
    <tableColumn id="29" uniqueName="29" name="Column29" queryTableFieldId="2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6" name="Merge1" displayName="Merge1" ref="A1:U92" tableType="queryTable" totalsRowShown="0">
  <autoFilter ref="A1:U92"/>
  <sortState ref="A2:T70">
    <sortCondition ref="G1:G70"/>
  </sortState>
  <tableColumns count="21">
    <tableColumn id="1" uniqueName="1" name="Column1" queryTableFieldId="1" dataDxfId="61"/>
    <tableColumn id="2" uniqueName="2" name="Column2" queryTableFieldId="2" dataDxfId="60"/>
    <tableColumn id="3" uniqueName="3" name="Column3" queryTableFieldId="3" dataDxfId="59"/>
    <tableColumn id="4" uniqueName="4" name="Column4" queryTableFieldId="4" dataDxfId="58"/>
    <tableColumn id="5" uniqueName="5" name="Column5" queryTableFieldId="5" dataDxfId="57"/>
    <tableColumn id="6" uniqueName="6" name="Column6" queryTableFieldId="6" dataDxfId="56"/>
    <tableColumn id="7" uniqueName="7" name="Column7" queryTableFieldId="7" dataDxfId="55"/>
    <tableColumn id="8" uniqueName="8" name="Column8" queryTableFieldId="8" dataDxfId="54"/>
    <tableColumn id="9" uniqueName="9" name="Column9" queryTableFieldId="9" dataDxfId="53"/>
    <tableColumn id="10" uniqueName="10" name="Column10" queryTableFieldId="10" dataDxfId="52"/>
    <tableColumn id="11" uniqueName="11" name="Column11" queryTableFieldId="11" dataDxfId="51"/>
    <tableColumn id="12" uniqueName="12" name="Column12" queryTableFieldId="12" dataDxfId="50"/>
    <tableColumn id="13" uniqueName="13" name="Column13" queryTableFieldId="13" dataDxfId="49"/>
    <tableColumn id="14" uniqueName="14" name="Column14" queryTableFieldId="14" dataDxfId="48"/>
    <tableColumn id="15" uniqueName="15" name="Column15" queryTableFieldId="15" dataDxfId="47"/>
    <tableColumn id="16" uniqueName="16" name="1328.Part No." queryTableFieldId="16" dataDxfId="46"/>
    <tableColumn id="17" uniqueName="17" name="1328.Serial No. / Batch No." queryTableFieldId="17" dataDxfId="45"/>
    <tableColumn id="18" uniqueName="18" name="1328.CM Project No." queryTableFieldId="18" dataDxfId="44"/>
    <tableColumn id="19" uniqueName="19" name="1328.Description" queryTableFieldId="19" dataDxfId="43"/>
    <tableColumn id="20" uniqueName="20" name="1328.Label No." queryTableFieldId="20" dataDxfId="42"/>
    <tableColumn id="21" uniqueName="21" name="1328.ATA Chapter" queryTableFieldId="21" dataDxfId="4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7" name="_1498" displayName="_1498" ref="A1:AK98" tableType="queryTable" totalsRowShown="0">
  <autoFilter ref="A1:AK98"/>
  <tableColumns count="37">
    <tableColumn id="1" uniqueName="1" name="Status" queryTableFieldId="1" dataDxfId="40"/>
    <tableColumn id="2" uniqueName="2" name="Rec. No." queryTableFieldId="2" dataDxfId="39"/>
    <tableColumn id="3" uniqueName="3" name="Rec. Item No." queryTableFieldId="3" dataDxfId="38"/>
    <tableColumn id="4" uniqueName="4" name="Queries" queryTableFieldId="4" dataDxfId="37"/>
    <tableColumn id="5" uniqueName="5" name="Order No." queryTableFieldId="5" dataDxfId="36"/>
    <tableColumn id="6" uniqueName="6" name="Pos. No." queryTableFieldId="6" dataDxfId="35"/>
    <tableColumn id="7" uniqueName="7" name="Part No." queryTableFieldId="7" dataDxfId="34"/>
    <tableColumn id="8" uniqueName="8" name="Serial/Batch No." queryTableFieldId="8" dataDxfId="33"/>
    <tableColumn id="9" uniqueName="9" name="Condition" queryTableFieldId="9" dataDxfId="32"/>
    <tableColumn id="10" uniqueName="10" name="Label No." queryTableFieldId="10" dataDxfId="31"/>
    <tableColumn id="11" uniqueName="11" name="AWB No." queryTableFieldId="11" dataDxfId="30"/>
    <tableColumn id="12" uniqueName="12" name="Project No." queryTableFieldId="12" dataDxfId="29"/>
    <tableColumn id="13" uniqueName="13" name="Description" queryTableFieldId="13" dataDxfId="28"/>
    <tableColumn id="14" uniqueName="14" name="Qty" queryTableFieldId="14" dataDxfId="27"/>
    <tableColumn id="15" uniqueName="15" name="Mat. Class" queryTableFieldId="15" dataDxfId="26"/>
    <tableColumn id="16" uniqueName="16" name="Repairable" queryTableFieldId="16" dataDxfId="25"/>
    <tableColumn id="17" uniqueName="17" name="Tool" queryTableFieldId="17" dataDxfId="24"/>
    <tableColumn id="18" uniqueName="18" name="Vendor" queryTableFieldId="18" dataDxfId="23"/>
    <tableColumn id="19" uniqueName="19" name="Mark" queryTableFieldId="19" dataDxfId="22"/>
    <tableColumn id="20" uniqueName="20" name="Owner" queryTableFieldId="20" dataDxfId="21"/>
    <tableColumn id="21" uniqueName="21" name="Operator" queryTableFieldId="21" dataDxfId="20"/>
    <tableColumn id="22" uniqueName="22" name="Customs No./Type" queryTableFieldId="22" dataDxfId="19"/>
    <tableColumn id="23" uniqueName="23" name="Rec. Date" queryTableFieldId="23" dataDxfId="18"/>
    <tableColumn id="24" uniqueName="24" name="Station" queryTableFieldId="24" dataDxfId="17"/>
    <tableColumn id="25" uniqueName="25" name="Store" queryTableFieldId="25" dataDxfId="16"/>
    <tableColumn id="26" uniqueName="26" name="Location" queryTableFieldId="26" dataDxfId="15"/>
    <tableColumn id="27" uniqueName="27" name="ABC" queryTableFieldId="27" dataDxfId="14"/>
    <tableColumn id="28" uniqueName="28" name="Bill to" queryTableFieldId="28" dataDxfId="13"/>
    <tableColumn id="29" uniqueName="29" name="Priority" queryTableFieldId="29" dataDxfId="12"/>
    <tableColumn id="30" uniqueName="30" name="Insp. state" queryTableFieldId="30" dataDxfId="11"/>
    <tableColumn id="31" uniqueName="31" name="Insp. by" queryTableFieldId="31" dataDxfId="10"/>
    <tableColumn id="32" uniqueName="32" name="Insp. Date" queryTableFieldId="32" dataDxfId="9"/>
    <tableColumn id="33" uniqueName="33" name="Created Date" queryTableFieldId="33" dataDxfId="8"/>
    <tableColumn id="34" uniqueName="34" name="Received by" queryTableFieldId="34" dataDxfId="7"/>
    <tableColumn id="35" uniqueName="35" name="Mutation Date" queryTableFieldId="35" dataDxfId="6"/>
    <tableColumn id="36" uniqueName="36" name="Mutation Time" queryTableFieldId="36" dataDxfId="5"/>
    <tableColumn id="37" uniqueName="37" name="Links" queryTableFieldId="37" dataDxf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8" name="Merge2" displayName="Merge2" ref="A1:W117" totalsRowShown="0">
  <autoFilter ref="A1:W117"/>
  <tableColumns count="23">
    <tableColumn id="47" name="Column1"/>
    <tableColumn id="48" name="Column2"/>
    <tableColumn id="49" name="Column3"/>
    <tableColumn id="50" name="Column4"/>
    <tableColumn id="51" name="Column5"/>
    <tableColumn id="52" name="Column6"/>
    <tableColumn id="53" name="Column7"/>
    <tableColumn id="54" name="Column8"/>
    <tableColumn id="55" name="Column9"/>
    <tableColumn id="56" name="Column10"/>
    <tableColumn id="57" name="Column11"/>
    <tableColumn id="58" name="Column12"/>
    <tableColumn id="59" name="Column13"/>
    <tableColumn id="60" name="Column14"/>
    <tableColumn id="61" name="Column15"/>
    <tableColumn id="62" name="1328.Part No."/>
    <tableColumn id="63" name="1328.Serial No. / Batch No."/>
    <tableColumn id="64" name="1328.CM Project No."/>
    <tableColumn id="65" name="1328.Label No."/>
    <tableColumn id="66" name="1328.ATA Chapter"/>
    <tableColumn id="67" name="1498.Label No."/>
    <tableColumn id="68" name="1498.Insp. by"/>
    <tableColumn id="69" name="1498.Insp. Date" dataDxfId="9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3" name="Merge2_2" displayName="Merge2_2" ref="A1:X60" tableType="queryTable" totalsRowShown="0">
  <autoFilter ref="A1:X60"/>
  <sortState ref="A2:X60">
    <sortCondition ref="H1:H52"/>
  </sortState>
  <tableColumns count="24">
    <tableColumn id="1" uniqueName="1" name="Column1" queryTableFieldId="1"/>
    <tableColumn id="2" uniqueName="2" name="Column2" queryTableFieldId="2"/>
    <tableColumn id="3" uniqueName="3" name="Column3" queryTableFieldId="3"/>
    <tableColumn id="4" uniqueName="4" name="Column4" queryTableFieldId="4"/>
    <tableColumn id="5" uniqueName="5" name="Column5" queryTableFieldId="5"/>
    <tableColumn id="6" uniqueName="6" name="Column6" queryTableFieldId="6" dataDxfId="3"/>
    <tableColumn id="7" uniqueName="7" name="Column7" queryTableFieldId="7" dataDxfId="2"/>
    <tableColumn id="8" uniqueName="8" name="Column8" queryTableFieldId="8" dataDxfId="1"/>
    <tableColumn id="9" uniqueName="9" name="Column9" queryTableFieldId="9"/>
    <tableColumn id="10" uniqueName="10" name="Column10" queryTableFieldId="10"/>
    <tableColumn id="11" uniqueName="11" name="Column11" queryTableFieldId="11"/>
    <tableColumn id="12" uniqueName="12" name="Column12" queryTableFieldId="12"/>
    <tableColumn id="13" uniqueName="13" name="Column13" queryTableFieldId="13"/>
    <tableColumn id="14" uniqueName="14" name="Column14" queryTableFieldId="14"/>
    <tableColumn id="15" uniqueName="15" name="Column15" queryTableFieldId="15"/>
    <tableColumn id="16" uniqueName="16" name="1328.Part No." queryTableFieldId="16"/>
    <tableColumn id="17" uniqueName="17" name="1328.Serial No. / Batch No." queryTableFieldId="17"/>
    <tableColumn id="18" uniqueName="18" name="1328.CM Project No." queryTableFieldId="18"/>
    <tableColumn id="19" uniqueName="19" name="1328.Description" queryTableFieldId="19"/>
    <tableColumn id="20" uniqueName="20" name="1328.Label No." queryTableFieldId="20"/>
    <tableColumn id="21" uniqueName="21" name="1328.ATA Chapter" queryTableFieldId="21"/>
    <tableColumn id="22" uniqueName="22" name="1498.Insp. by" queryTableFieldId="22"/>
    <tableColumn id="23" uniqueName="23" name="1498.Insp. Date" queryTableFieldId="23" dataDxfId="0"/>
    <tableColumn id="24" uniqueName="24" name="Столбец1" queryTableFieldId="2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4" name="Merge3" displayName="Merge3" ref="A1:AC85" tableType="queryTable" totalsRowShown="0">
  <autoFilter ref="A1:AC85"/>
  <tableColumns count="29">
    <tableColumn id="59" uniqueName="59" name="Column1" queryTableFieldId="1" dataDxfId="94"/>
    <tableColumn id="60" uniqueName="60" name="Column2" queryTableFieldId="2" dataDxfId="93"/>
    <tableColumn id="61" uniqueName="61" name="Column3" queryTableFieldId="3" dataDxfId="92"/>
    <tableColumn id="62" uniqueName="62" name="Column4" queryTableFieldId="4" dataDxfId="91"/>
    <tableColumn id="63" uniqueName="63" name="Column5" queryTableFieldId="5" dataDxfId="90"/>
    <tableColumn id="64" uniqueName="64" name="Column6" queryTableFieldId="6" dataDxfId="89"/>
    <tableColumn id="65" uniqueName="65" name="Column7" queryTableFieldId="7" dataDxfId="88"/>
    <tableColumn id="66" uniqueName="66" name="Column8" queryTableFieldId="8" dataDxfId="87"/>
    <tableColumn id="67" uniqueName="67" name="Column9" queryTableFieldId="9" dataDxfId="86"/>
    <tableColumn id="68" uniqueName="68" name="Column10" queryTableFieldId="10" dataDxfId="85"/>
    <tableColumn id="69" uniqueName="69" name="Column11" queryTableFieldId="11" dataDxfId="84"/>
    <tableColumn id="70" uniqueName="70" name="Column12" queryTableFieldId="12" dataDxfId="83"/>
    <tableColumn id="71" uniqueName="71" name="Column13" queryTableFieldId="13" dataDxfId="82"/>
    <tableColumn id="72" uniqueName="72" name="Column14" queryTableFieldId="14" dataDxfId="81"/>
    <tableColumn id="73" uniqueName="73" name="Column15" queryTableFieldId="15" dataDxfId="80"/>
    <tableColumn id="74" uniqueName="74" name="Column16" queryTableFieldId="16" dataDxfId="79"/>
    <tableColumn id="75" uniqueName="75" name="Column17" queryTableFieldId="17" dataDxfId="78"/>
    <tableColumn id="76" uniqueName="76" name="Column18" queryTableFieldId="18" dataDxfId="77"/>
    <tableColumn id="77" uniqueName="77" name="Column19" queryTableFieldId="19" dataDxfId="76"/>
    <tableColumn id="78" uniqueName="78" name="Column20" queryTableFieldId="20" dataDxfId="75"/>
    <tableColumn id="79" uniqueName="79" name="Column21" queryTableFieldId="21" dataDxfId="74"/>
    <tableColumn id="80" uniqueName="80" name="Column22" queryTableFieldId="22" dataDxfId="73"/>
    <tableColumn id="81" uniqueName="81" name="Column23" queryTableFieldId="23" dataDxfId="72"/>
    <tableColumn id="82" uniqueName="82" name="Column24" queryTableFieldId="24" dataDxfId="71"/>
    <tableColumn id="83" uniqueName="83" name="Column25" queryTableFieldId="25" dataDxfId="70"/>
    <tableColumn id="84" uniqueName="84" name="Column26" queryTableFieldId="26" dataDxfId="69"/>
    <tableColumn id="85" uniqueName="85" name="Column27" queryTableFieldId="27" dataDxfId="68"/>
    <tableColumn id="86" uniqueName="86" name="Column28" queryTableFieldId="28" dataDxfId="67"/>
    <tableColumn id="87" uniqueName="87" name="Column29" queryTableFieldId="29" dataDxfId="6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4:D7"/>
  <sheetViews>
    <sheetView workbookViewId="0">
      <selection activeCell="I16" sqref="I16"/>
    </sheetView>
  </sheetViews>
  <sheetFormatPr defaultRowHeight="15" x14ac:dyDescent="0.25"/>
  <sheetData>
    <row r="4" spans="2:4" x14ac:dyDescent="0.25">
      <c r="B4" t="s">
        <v>2569</v>
      </c>
    </row>
    <row r="7" spans="2:4" x14ac:dyDescent="0.25">
      <c r="D7" t="s">
        <v>2570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W7717"/>
  <sheetViews>
    <sheetView workbookViewId="0">
      <selection sqref="A1:L7708"/>
    </sheetView>
  </sheetViews>
  <sheetFormatPr defaultRowHeight="15" x14ac:dyDescent="0.25"/>
  <cols>
    <col min="1" max="1" width="12" customWidth="1"/>
    <col min="2" max="2" width="13.42578125" customWidth="1"/>
    <col min="3" max="3" width="10.140625" bestFit="1" customWidth="1"/>
    <col min="4" max="4" width="10.42578125" bestFit="1" customWidth="1"/>
    <col min="5" max="5" width="10.140625" bestFit="1" customWidth="1"/>
    <col min="6" max="6" width="17.7109375" customWidth="1"/>
    <col min="7" max="7" width="22.28515625" bestFit="1" customWidth="1"/>
    <col min="8" max="8" width="16.7109375" bestFit="1" customWidth="1"/>
    <col min="9" max="9" width="11.5703125" bestFit="1" customWidth="1"/>
    <col min="10" max="10" width="38.28515625" customWidth="1"/>
    <col min="11" max="11" width="17.42578125" bestFit="1" customWidth="1"/>
    <col min="12" max="12" width="14.28515625" bestFit="1" customWidth="1"/>
    <col min="13" max="21" width="12" customWidth="1"/>
    <col min="22" max="23" width="13" customWidth="1"/>
  </cols>
  <sheetData>
    <row r="1" spans="1:23" x14ac:dyDescent="0.25">
      <c r="A1" s="2" t="s">
        <v>117</v>
      </c>
      <c r="B1" s="2" t="s">
        <v>118</v>
      </c>
      <c r="C1" s="2" t="s">
        <v>119</v>
      </c>
      <c r="D1" s="2" t="s">
        <v>120</v>
      </c>
      <c r="E1" s="2" t="s">
        <v>121</v>
      </c>
      <c r="F1" s="2" t="s">
        <v>122</v>
      </c>
      <c r="G1" s="2" t="s">
        <v>123</v>
      </c>
      <c r="H1" s="2" t="s">
        <v>124</v>
      </c>
      <c r="I1" s="2" t="s">
        <v>125</v>
      </c>
      <c r="J1" s="2" t="s">
        <v>126</v>
      </c>
      <c r="K1" s="2" t="s">
        <v>127</v>
      </c>
      <c r="L1" s="2" t="s">
        <v>128</v>
      </c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3" x14ac:dyDescent="0.25">
      <c r="A2" s="2" t="s">
        <v>3247</v>
      </c>
      <c r="B2" s="2" t="s">
        <v>129</v>
      </c>
      <c r="C2" s="1">
        <v>44280</v>
      </c>
      <c r="D2" s="2" t="s">
        <v>130</v>
      </c>
      <c r="E2" s="2" t="s">
        <v>130</v>
      </c>
      <c r="F2" s="2" t="s">
        <v>3248</v>
      </c>
      <c r="G2" s="2" t="s">
        <v>3249</v>
      </c>
      <c r="H2" s="2" t="s">
        <v>3250</v>
      </c>
      <c r="I2" s="2">
        <v>279341</v>
      </c>
      <c r="J2" s="2" t="s">
        <v>3251</v>
      </c>
      <c r="K2" s="2"/>
      <c r="L2" s="2" t="s">
        <v>138</v>
      </c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2" t="s">
        <v>3252</v>
      </c>
      <c r="B3" s="2" t="s">
        <v>134</v>
      </c>
      <c r="C3" s="1">
        <v>44283</v>
      </c>
      <c r="D3" s="2" t="s">
        <v>130</v>
      </c>
      <c r="E3" s="2" t="s">
        <v>130</v>
      </c>
      <c r="F3" s="2" t="s">
        <v>1134</v>
      </c>
      <c r="G3" s="2" t="s">
        <v>136</v>
      </c>
      <c r="H3" s="2" t="s">
        <v>3253</v>
      </c>
      <c r="I3" s="2">
        <v>1268257</v>
      </c>
      <c r="J3" s="2" t="s">
        <v>137</v>
      </c>
      <c r="K3" s="2"/>
      <c r="L3" s="2" t="s">
        <v>2718</v>
      </c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25">
      <c r="A4" s="2" t="s">
        <v>3254</v>
      </c>
      <c r="B4" s="2" t="s">
        <v>129</v>
      </c>
      <c r="C4" s="1">
        <v>44278</v>
      </c>
      <c r="D4" s="2" t="s">
        <v>130</v>
      </c>
      <c r="E4" s="2" t="s">
        <v>130</v>
      </c>
      <c r="F4" s="2" t="s">
        <v>3255</v>
      </c>
      <c r="G4" s="2" t="s">
        <v>3256</v>
      </c>
      <c r="H4" s="2" t="s">
        <v>3257</v>
      </c>
      <c r="I4" s="2">
        <v>295639</v>
      </c>
      <c r="J4" s="2" t="s">
        <v>3258</v>
      </c>
      <c r="K4" s="2"/>
      <c r="L4" s="2" t="s">
        <v>138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25">
      <c r="A5" s="2" t="s">
        <v>3259</v>
      </c>
      <c r="B5" s="2" t="s">
        <v>129</v>
      </c>
      <c r="C5" s="1">
        <v>44278</v>
      </c>
      <c r="D5" s="2" t="s">
        <v>130</v>
      </c>
      <c r="E5" s="2" t="s">
        <v>130</v>
      </c>
      <c r="F5" s="2" t="s">
        <v>3255</v>
      </c>
      <c r="G5" s="2" t="s">
        <v>3260</v>
      </c>
      <c r="H5" s="2" t="s">
        <v>3261</v>
      </c>
      <c r="I5" s="2">
        <v>295638</v>
      </c>
      <c r="J5" s="2" t="s">
        <v>3258</v>
      </c>
      <c r="K5" s="2"/>
      <c r="L5" s="2" t="s">
        <v>138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5">
      <c r="A6" s="2" t="s">
        <v>2765</v>
      </c>
      <c r="B6" s="2" t="s">
        <v>129</v>
      </c>
      <c r="C6" s="1">
        <v>44261</v>
      </c>
      <c r="D6" s="2" t="s">
        <v>130</v>
      </c>
      <c r="E6" s="2" t="s">
        <v>130</v>
      </c>
      <c r="F6" s="2" t="s">
        <v>220</v>
      </c>
      <c r="G6" s="2" t="s">
        <v>569</v>
      </c>
      <c r="H6" s="2" t="s">
        <v>2766</v>
      </c>
      <c r="I6" s="2">
        <v>286399</v>
      </c>
      <c r="J6" s="2" t="s">
        <v>161</v>
      </c>
      <c r="K6" s="2"/>
      <c r="L6" s="2" t="s">
        <v>221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5">
      <c r="A7" s="2" t="s">
        <v>2767</v>
      </c>
      <c r="B7" s="2" t="s">
        <v>129</v>
      </c>
      <c r="C7" s="1">
        <v>44261</v>
      </c>
      <c r="D7" s="2" t="s">
        <v>130</v>
      </c>
      <c r="E7" s="2" t="s">
        <v>130</v>
      </c>
      <c r="F7" s="2" t="s">
        <v>204</v>
      </c>
      <c r="G7" s="2" t="s">
        <v>2768</v>
      </c>
      <c r="H7" s="2" t="s">
        <v>2769</v>
      </c>
      <c r="I7" s="2">
        <v>294046</v>
      </c>
      <c r="J7" s="2" t="s">
        <v>148</v>
      </c>
      <c r="K7" s="2"/>
      <c r="L7" s="2" t="s">
        <v>205</v>
      </c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5">
      <c r="A8" s="2" t="s">
        <v>2770</v>
      </c>
      <c r="B8" s="2" t="s">
        <v>129</v>
      </c>
      <c r="C8" s="1">
        <v>44261</v>
      </c>
      <c r="D8" s="2" t="s">
        <v>130</v>
      </c>
      <c r="E8" s="2" t="s">
        <v>130</v>
      </c>
      <c r="F8" s="2" t="s">
        <v>206</v>
      </c>
      <c r="G8" s="2" t="s">
        <v>347</v>
      </c>
      <c r="H8" s="2" t="s">
        <v>2771</v>
      </c>
      <c r="I8" s="2">
        <v>294421</v>
      </c>
      <c r="J8" s="2" t="s">
        <v>207</v>
      </c>
      <c r="K8" s="2"/>
      <c r="L8" s="2" t="s">
        <v>152</v>
      </c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2" t="s">
        <v>2772</v>
      </c>
      <c r="B9" s="2" t="s">
        <v>129</v>
      </c>
      <c r="C9" s="1">
        <v>44261</v>
      </c>
      <c r="D9" s="2" t="s">
        <v>130</v>
      </c>
      <c r="E9" s="2" t="s">
        <v>130</v>
      </c>
      <c r="F9" s="2" t="s">
        <v>206</v>
      </c>
      <c r="G9" s="2" t="s">
        <v>2773</v>
      </c>
      <c r="H9" s="2" t="s">
        <v>2774</v>
      </c>
      <c r="I9" s="2">
        <v>294842</v>
      </c>
      <c r="J9" s="2" t="s">
        <v>207</v>
      </c>
      <c r="K9" s="2"/>
      <c r="L9" s="2" t="s">
        <v>152</v>
      </c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5">
      <c r="A10" s="2" t="s">
        <v>2775</v>
      </c>
      <c r="B10" s="2" t="s">
        <v>129</v>
      </c>
      <c r="C10" s="1">
        <v>44261</v>
      </c>
      <c r="D10" s="2" t="s">
        <v>130</v>
      </c>
      <c r="E10" s="2" t="s">
        <v>130</v>
      </c>
      <c r="F10" s="2" t="s">
        <v>150</v>
      </c>
      <c r="G10" s="2" t="s">
        <v>2776</v>
      </c>
      <c r="H10" s="2" t="s">
        <v>2777</v>
      </c>
      <c r="I10" s="2">
        <v>293071</v>
      </c>
      <c r="J10" s="2" t="s">
        <v>151</v>
      </c>
      <c r="K10" s="2"/>
      <c r="L10" s="2" t="s">
        <v>152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2" t="s">
        <v>2778</v>
      </c>
      <c r="B11" s="2" t="s">
        <v>129</v>
      </c>
      <c r="C11" s="1">
        <v>44261</v>
      </c>
      <c r="D11" s="2" t="s">
        <v>130</v>
      </c>
      <c r="E11" s="2" t="s">
        <v>130</v>
      </c>
      <c r="F11" s="2" t="s">
        <v>333</v>
      </c>
      <c r="G11" s="2" t="s">
        <v>2779</v>
      </c>
      <c r="H11" s="2" t="s">
        <v>2780</v>
      </c>
      <c r="I11" s="2">
        <v>1268606</v>
      </c>
      <c r="J11" s="2" t="s">
        <v>303</v>
      </c>
      <c r="K11" s="2"/>
      <c r="L11" s="2" t="s">
        <v>152</v>
      </c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5">
      <c r="A12" s="2" t="s">
        <v>2781</v>
      </c>
      <c r="B12" s="2" t="s">
        <v>129</v>
      </c>
      <c r="C12" s="1">
        <v>44261</v>
      </c>
      <c r="D12" s="2" t="s">
        <v>130</v>
      </c>
      <c r="E12" s="2" t="s">
        <v>130</v>
      </c>
      <c r="F12" s="2" t="s">
        <v>344</v>
      </c>
      <c r="G12" s="2" t="s">
        <v>2782</v>
      </c>
      <c r="H12" s="2" t="s">
        <v>2783</v>
      </c>
      <c r="I12" s="2">
        <v>1268607</v>
      </c>
      <c r="J12" s="2" t="s">
        <v>345</v>
      </c>
      <c r="K12" s="2"/>
      <c r="L12" s="2" t="s">
        <v>152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2" t="s">
        <v>2784</v>
      </c>
      <c r="B13" s="2" t="s">
        <v>129</v>
      </c>
      <c r="C13" s="1">
        <v>44261</v>
      </c>
      <c r="D13" s="2" t="s">
        <v>130</v>
      </c>
      <c r="E13" s="2" t="s">
        <v>130</v>
      </c>
      <c r="F13" s="2" t="s">
        <v>344</v>
      </c>
      <c r="G13" s="2" t="s">
        <v>2785</v>
      </c>
      <c r="H13" s="2" t="s">
        <v>2786</v>
      </c>
      <c r="I13" s="2">
        <v>1268608</v>
      </c>
      <c r="J13" s="2" t="s">
        <v>345</v>
      </c>
      <c r="K13" s="2"/>
      <c r="L13" s="2" t="s">
        <v>152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x14ac:dyDescent="0.25">
      <c r="A14" s="2" t="s">
        <v>2787</v>
      </c>
      <c r="B14" s="2" t="s">
        <v>129</v>
      </c>
      <c r="C14" s="1">
        <v>44261</v>
      </c>
      <c r="D14" s="2" t="s">
        <v>130</v>
      </c>
      <c r="E14" s="2" t="s">
        <v>130</v>
      </c>
      <c r="F14" s="2" t="s">
        <v>344</v>
      </c>
      <c r="G14" s="2" t="s">
        <v>2788</v>
      </c>
      <c r="H14" s="2" t="s">
        <v>2789</v>
      </c>
      <c r="I14" s="2">
        <v>1268609</v>
      </c>
      <c r="J14" s="2" t="s">
        <v>345</v>
      </c>
      <c r="K14" s="2"/>
      <c r="L14" s="2" t="s">
        <v>152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x14ac:dyDescent="0.25">
      <c r="A15" s="2" t="s">
        <v>2790</v>
      </c>
      <c r="B15" s="2" t="s">
        <v>129</v>
      </c>
      <c r="C15" s="1">
        <v>44261</v>
      </c>
      <c r="D15" s="2" t="s">
        <v>130</v>
      </c>
      <c r="E15" s="2" t="s">
        <v>130</v>
      </c>
      <c r="F15" s="2" t="s">
        <v>193</v>
      </c>
      <c r="G15" s="2" t="s">
        <v>136</v>
      </c>
      <c r="H15" s="2" t="s">
        <v>2791</v>
      </c>
      <c r="I15" s="2">
        <v>297287</v>
      </c>
      <c r="J15" s="2" t="s">
        <v>194</v>
      </c>
      <c r="K15" s="2"/>
      <c r="L15" s="2" t="s">
        <v>146</v>
      </c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2" t="s">
        <v>2792</v>
      </c>
      <c r="B16" s="2" t="s">
        <v>129</v>
      </c>
      <c r="C16" s="1">
        <v>44261</v>
      </c>
      <c r="D16" s="2" t="s">
        <v>130</v>
      </c>
      <c r="E16" s="2" t="s">
        <v>130</v>
      </c>
      <c r="F16" s="2" t="s">
        <v>206</v>
      </c>
      <c r="G16" s="2" t="s">
        <v>2793</v>
      </c>
      <c r="H16" s="2" t="s">
        <v>2794</v>
      </c>
      <c r="I16" s="2">
        <v>1268618</v>
      </c>
      <c r="J16" s="2" t="s">
        <v>207</v>
      </c>
      <c r="K16" s="2"/>
      <c r="L16" s="2" t="s">
        <v>152</v>
      </c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2" t="s">
        <v>2795</v>
      </c>
      <c r="B17" s="2" t="s">
        <v>129</v>
      </c>
      <c r="C17" s="1">
        <v>44261</v>
      </c>
      <c r="D17" s="2" t="s">
        <v>130</v>
      </c>
      <c r="E17" s="2" t="s">
        <v>130</v>
      </c>
      <c r="F17" s="2" t="s">
        <v>206</v>
      </c>
      <c r="G17" s="2" t="s">
        <v>2726</v>
      </c>
      <c r="H17" s="2" t="s">
        <v>2796</v>
      </c>
      <c r="I17" s="2">
        <v>1268619</v>
      </c>
      <c r="J17" s="2" t="s">
        <v>207</v>
      </c>
      <c r="K17" s="2"/>
      <c r="L17" s="2" t="s">
        <v>152</v>
      </c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25">
      <c r="A18" s="2" t="s">
        <v>2797</v>
      </c>
      <c r="B18" s="2" t="s">
        <v>129</v>
      </c>
      <c r="C18" s="1">
        <v>44261</v>
      </c>
      <c r="D18" s="2" t="s">
        <v>130</v>
      </c>
      <c r="E18" s="2" t="s">
        <v>130</v>
      </c>
      <c r="F18" s="2" t="s">
        <v>150</v>
      </c>
      <c r="G18" s="2" t="s">
        <v>2728</v>
      </c>
      <c r="H18" s="2" t="s">
        <v>2798</v>
      </c>
      <c r="I18" s="2">
        <v>1268633</v>
      </c>
      <c r="J18" s="2" t="s">
        <v>151</v>
      </c>
      <c r="K18" s="2"/>
      <c r="L18" s="2" t="s">
        <v>152</v>
      </c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25">
      <c r="A19" s="2" t="s">
        <v>2799</v>
      </c>
      <c r="B19" s="2" t="s">
        <v>129</v>
      </c>
      <c r="C19" s="1">
        <v>44261</v>
      </c>
      <c r="D19" s="2" t="s">
        <v>130</v>
      </c>
      <c r="E19" s="2" t="s">
        <v>130</v>
      </c>
      <c r="F19" s="2" t="s">
        <v>150</v>
      </c>
      <c r="G19" s="2" t="s">
        <v>2724</v>
      </c>
      <c r="H19" s="2" t="s">
        <v>2800</v>
      </c>
      <c r="I19" s="2">
        <v>1268634</v>
      </c>
      <c r="J19" s="2" t="s">
        <v>151</v>
      </c>
      <c r="K19" s="2"/>
      <c r="L19" s="2" t="s">
        <v>152</v>
      </c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2" t="s">
        <v>2801</v>
      </c>
      <c r="B20" s="2" t="s">
        <v>134</v>
      </c>
      <c r="C20" s="1">
        <v>44261</v>
      </c>
      <c r="D20" s="2" t="s">
        <v>130</v>
      </c>
      <c r="E20" s="2" t="s">
        <v>130</v>
      </c>
      <c r="F20" s="2" t="s">
        <v>241</v>
      </c>
      <c r="G20" s="2" t="s">
        <v>2802</v>
      </c>
      <c r="H20" s="2" t="s">
        <v>2803</v>
      </c>
      <c r="I20" s="2">
        <v>297498</v>
      </c>
      <c r="J20" s="2" t="s">
        <v>242</v>
      </c>
      <c r="K20" s="2"/>
      <c r="L20" s="2" t="s">
        <v>243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2" t="s">
        <v>2804</v>
      </c>
      <c r="B21" s="2" t="s">
        <v>129</v>
      </c>
      <c r="C21" s="1">
        <v>44261</v>
      </c>
      <c r="D21" s="2" t="s">
        <v>130</v>
      </c>
      <c r="E21" s="2" t="s">
        <v>130</v>
      </c>
      <c r="F21" s="2" t="s">
        <v>344</v>
      </c>
      <c r="G21" s="2" t="s">
        <v>2805</v>
      </c>
      <c r="H21" s="2" t="s">
        <v>2806</v>
      </c>
      <c r="I21" s="2">
        <v>1268635</v>
      </c>
      <c r="J21" s="2" t="s">
        <v>345</v>
      </c>
      <c r="K21" s="2"/>
      <c r="L21" s="2" t="s">
        <v>152</v>
      </c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25">
      <c r="A22" s="2" t="s">
        <v>2807</v>
      </c>
      <c r="B22" s="2" t="s">
        <v>129</v>
      </c>
      <c r="C22" s="1">
        <v>44261</v>
      </c>
      <c r="D22" s="2" t="s">
        <v>130</v>
      </c>
      <c r="E22" s="2" t="s">
        <v>130</v>
      </c>
      <c r="F22" s="2" t="s">
        <v>363</v>
      </c>
      <c r="G22" s="2" t="s">
        <v>2808</v>
      </c>
      <c r="H22" s="2" t="s">
        <v>2809</v>
      </c>
      <c r="I22" s="2">
        <v>1268636</v>
      </c>
      <c r="J22" s="2" t="s">
        <v>282</v>
      </c>
      <c r="K22" s="2"/>
      <c r="L22" s="2" t="s">
        <v>192</v>
      </c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25">
      <c r="A23" s="2" t="s">
        <v>2810</v>
      </c>
      <c r="B23" s="2" t="s">
        <v>129</v>
      </c>
      <c r="C23" s="1">
        <v>44261</v>
      </c>
      <c r="D23" s="2" t="s">
        <v>130</v>
      </c>
      <c r="E23" s="2" t="s">
        <v>130</v>
      </c>
      <c r="F23" s="2" t="s">
        <v>344</v>
      </c>
      <c r="G23" s="2" t="s">
        <v>2811</v>
      </c>
      <c r="H23" s="2" t="s">
        <v>2812</v>
      </c>
      <c r="I23" s="2">
        <v>1268637</v>
      </c>
      <c r="J23" s="2" t="s">
        <v>345</v>
      </c>
      <c r="K23" s="2"/>
      <c r="L23" s="2" t="s">
        <v>152</v>
      </c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25">
      <c r="A24" s="2" t="s">
        <v>2813</v>
      </c>
      <c r="B24" s="2" t="s">
        <v>129</v>
      </c>
      <c r="C24" s="1">
        <v>44261</v>
      </c>
      <c r="D24" s="2" t="s">
        <v>130</v>
      </c>
      <c r="E24" s="2" t="s">
        <v>130</v>
      </c>
      <c r="F24" s="2" t="s">
        <v>344</v>
      </c>
      <c r="G24" s="2" t="s">
        <v>2814</v>
      </c>
      <c r="H24" s="2" t="s">
        <v>2815</v>
      </c>
      <c r="I24" s="2">
        <v>1268638</v>
      </c>
      <c r="J24" s="2" t="s">
        <v>345</v>
      </c>
      <c r="K24" s="2"/>
      <c r="L24" s="2" t="s">
        <v>152</v>
      </c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25">
      <c r="A25" s="2" t="s">
        <v>2816</v>
      </c>
      <c r="B25" s="2" t="s">
        <v>129</v>
      </c>
      <c r="C25" s="1">
        <v>44261</v>
      </c>
      <c r="D25" s="2" t="s">
        <v>130</v>
      </c>
      <c r="E25" s="2" t="s">
        <v>130</v>
      </c>
      <c r="F25" s="2" t="s">
        <v>150</v>
      </c>
      <c r="G25" s="2" t="s">
        <v>2817</v>
      </c>
      <c r="H25" s="2" t="s">
        <v>2818</v>
      </c>
      <c r="I25" s="2">
        <v>1268655</v>
      </c>
      <c r="J25" s="2" t="s">
        <v>151</v>
      </c>
      <c r="K25" s="2"/>
      <c r="L25" s="2" t="s">
        <v>152</v>
      </c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5">
      <c r="A26" s="2" t="s">
        <v>2819</v>
      </c>
      <c r="B26" s="2" t="s">
        <v>129</v>
      </c>
      <c r="C26" s="1">
        <v>44261</v>
      </c>
      <c r="D26" s="2" t="s">
        <v>130</v>
      </c>
      <c r="E26" s="2" t="s">
        <v>130</v>
      </c>
      <c r="F26" s="2" t="s">
        <v>150</v>
      </c>
      <c r="G26" s="2" t="s">
        <v>2820</v>
      </c>
      <c r="H26" s="2" t="s">
        <v>2821</v>
      </c>
      <c r="I26" s="2">
        <v>1268678</v>
      </c>
      <c r="J26" s="2" t="s">
        <v>151</v>
      </c>
      <c r="K26" s="2"/>
      <c r="L26" s="2" t="s">
        <v>152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5">
      <c r="A27" s="2" t="s">
        <v>2822</v>
      </c>
      <c r="B27" s="2" t="s">
        <v>129</v>
      </c>
      <c r="C27" s="1">
        <v>44262</v>
      </c>
      <c r="D27" s="2" t="s">
        <v>130</v>
      </c>
      <c r="E27" s="2" t="s">
        <v>130</v>
      </c>
      <c r="F27" s="2" t="s">
        <v>147</v>
      </c>
      <c r="G27" s="2" t="s">
        <v>2823</v>
      </c>
      <c r="H27" s="2" t="s">
        <v>2824</v>
      </c>
      <c r="I27" s="2">
        <v>277845</v>
      </c>
      <c r="J27" s="2" t="s">
        <v>148</v>
      </c>
      <c r="K27" s="2"/>
      <c r="L27" s="2" t="s">
        <v>149</v>
      </c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5">
      <c r="A28" s="2" t="s">
        <v>2825</v>
      </c>
      <c r="B28" s="2" t="s">
        <v>129</v>
      </c>
      <c r="C28" s="1">
        <v>44262</v>
      </c>
      <c r="D28" s="2" t="s">
        <v>130</v>
      </c>
      <c r="E28" s="2" t="s">
        <v>130</v>
      </c>
      <c r="F28" s="2" t="s">
        <v>150</v>
      </c>
      <c r="G28" s="2" t="s">
        <v>255</v>
      </c>
      <c r="H28" s="2" t="s">
        <v>2826</v>
      </c>
      <c r="I28" s="2">
        <v>1268710</v>
      </c>
      <c r="J28" s="2" t="s">
        <v>151</v>
      </c>
      <c r="K28" s="2"/>
      <c r="L28" s="2" t="s">
        <v>152</v>
      </c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25">
      <c r="A29" s="2" t="s">
        <v>2827</v>
      </c>
      <c r="B29" s="2" t="s">
        <v>129</v>
      </c>
      <c r="C29" s="1">
        <v>44262</v>
      </c>
      <c r="D29" s="2" t="s">
        <v>130</v>
      </c>
      <c r="E29" s="2" t="s">
        <v>130</v>
      </c>
      <c r="F29" s="2" t="s">
        <v>310</v>
      </c>
      <c r="G29" s="2" t="s">
        <v>2828</v>
      </c>
      <c r="H29" s="2" t="s">
        <v>2829</v>
      </c>
      <c r="I29" s="2">
        <v>264948</v>
      </c>
      <c r="J29" s="2" t="s">
        <v>311</v>
      </c>
      <c r="K29" s="2"/>
      <c r="L29" s="2" t="s">
        <v>152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x14ac:dyDescent="0.25">
      <c r="A30" s="2" t="s">
        <v>2830</v>
      </c>
      <c r="B30" s="2" t="s">
        <v>212</v>
      </c>
      <c r="C30" s="1">
        <v>44262</v>
      </c>
      <c r="D30" s="2" t="s">
        <v>130</v>
      </c>
      <c r="E30" s="2" t="s">
        <v>130</v>
      </c>
      <c r="F30" s="2" t="s">
        <v>147</v>
      </c>
      <c r="G30" s="2" t="s">
        <v>265</v>
      </c>
      <c r="H30" s="2" t="s">
        <v>2831</v>
      </c>
      <c r="I30" s="2">
        <v>267824</v>
      </c>
      <c r="J30" s="2" t="s">
        <v>148</v>
      </c>
      <c r="K30" s="2"/>
      <c r="L30" s="2" t="s">
        <v>149</v>
      </c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x14ac:dyDescent="0.25">
      <c r="A31" s="2" t="s">
        <v>2832</v>
      </c>
      <c r="B31" s="2" t="s">
        <v>129</v>
      </c>
      <c r="C31" s="1">
        <v>44262</v>
      </c>
      <c r="D31" s="2" t="s">
        <v>130</v>
      </c>
      <c r="E31" s="2" t="s">
        <v>130</v>
      </c>
      <c r="F31" s="2" t="s">
        <v>2833</v>
      </c>
      <c r="G31" s="2" t="s">
        <v>2834</v>
      </c>
      <c r="H31" s="2" t="s">
        <v>2835</v>
      </c>
      <c r="I31" s="2">
        <v>1268727</v>
      </c>
      <c r="J31" s="2" t="s">
        <v>2836</v>
      </c>
      <c r="K31" s="2"/>
      <c r="L31" s="2" t="s">
        <v>357</v>
      </c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x14ac:dyDescent="0.25">
      <c r="A32" s="2" t="s">
        <v>2837</v>
      </c>
      <c r="B32" s="2" t="s">
        <v>129</v>
      </c>
      <c r="C32" s="1">
        <v>44262</v>
      </c>
      <c r="D32" s="2" t="s">
        <v>130</v>
      </c>
      <c r="E32" s="2" t="s">
        <v>130</v>
      </c>
      <c r="F32" s="2" t="s">
        <v>553</v>
      </c>
      <c r="G32" s="2" t="s">
        <v>2834</v>
      </c>
      <c r="H32" s="2" t="s">
        <v>2838</v>
      </c>
      <c r="I32" s="2">
        <v>1268728</v>
      </c>
      <c r="J32" s="2" t="s">
        <v>380</v>
      </c>
      <c r="K32" s="2"/>
      <c r="L32" s="2" t="s">
        <v>357</v>
      </c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x14ac:dyDescent="0.25">
      <c r="A33" s="2" t="s">
        <v>2839</v>
      </c>
      <c r="B33" s="2" t="s">
        <v>129</v>
      </c>
      <c r="C33" s="1">
        <v>44262</v>
      </c>
      <c r="D33" s="2" t="s">
        <v>130</v>
      </c>
      <c r="E33" s="2" t="s">
        <v>130</v>
      </c>
      <c r="F33" s="2" t="s">
        <v>144</v>
      </c>
      <c r="G33" s="2" t="s">
        <v>2840</v>
      </c>
      <c r="H33" s="2" t="s">
        <v>2841</v>
      </c>
      <c r="I33" s="2">
        <v>296002</v>
      </c>
      <c r="J33" s="2" t="s">
        <v>145</v>
      </c>
      <c r="K33" s="2"/>
      <c r="L33" s="2" t="s">
        <v>146</v>
      </c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x14ac:dyDescent="0.25">
      <c r="A34" s="2" t="s">
        <v>2842</v>
      </c>
      <c r="B34" s="2" t="s">
        <v>129</v>
      </c>
      <c r="C34" s="1">
        <v>44262</v>
      </c>
      <c r="D34" s="2" t="s">
        <v>130</v>
      </c>
      <c r="E34" s="2" t="s">
        <v>130</v>
      </c>
      <c r="F34" s="2" t="s">
        <v>351</v>
      </c>
      <c r="G34" s="2" t="s">
        <v>2843</v>
      </c>
      <c r="H34" s="2" t="s">
        <v>2844</v>
      </c>
      <c r="I34" s="2">
        <v>1268762</v>
      </c>
      <c r="J34" s="2" t="s">
        <v>184</v>
      </c>
      <c r="K34" s="2"/>
      <c r="L34" s="2" t="s">
        <v>185</v>
      </c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x14ac:dyDescent="0.25">
      <c r="A35" s="2" t="s">
        <v>2845</v>
      </c>
      <c r="B35" s="2" t="s">
        <v>129</v>
      </c>
      <c r="C35" s="1">
        <v>44262</v>
      </c>
      <c r="D35" s="2" t="s">
        <v>130</v>
      </c>
      <c r="E35" s="2" t="s">
        <v>130</v>
      </c>
      <c r="F35" s="2" t="s">
        <v>144</v>
      </c>
      <c r="G35" s="2" t="s">
        <v>527</v>
      </c>
      <c r="H35" s="2" t="s">
        <v>2846</v>
      </c>
      <c r="I35" s="2">
        <v>295916</v>
      </c>
      <c r="J35" s="2" t="s">
        <v>145</v>
      </c>
      <c r="K35" s="2"/>
      <c r="L35" s="2" t="s">
        <v>146</v>
      </c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x14ac:dyDescent="0.25">
      <c r="A36" s="2" t="s">
        <v>2847</v>
      </c>
      <c r="B36" s="2" t="s">
        <v>129</v>
      </c>
      <c r="C36" s="1">
        <v>44262</v>
      </c>
      <c r="D36" s="2" t="s">
        <v>130</v>
      </c>
      <c r="E36" s="2" t="s">
        <v>130</v>
      </c>
      <c r="F36" s="2" t="s">
        <v>144</v>
      </c>
      <c r="G36" s="2" t="s">
        <v>2848</v>
      </c>
      <c r="H36" s="2" t="s">
        <v>2849</v>
      </c>
      <c r="I36" s="2">
        <v>295537</v>
      </c>
      <c r="J36" s="2" t="s">
        <v>145</v>
      </c>
      <c r="K36" s="2"/>
      <c r="L36" s="2" t="s">
        <v>146</v>
      </c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x14ac:dyDescent="0.25">
      <c r="A37" s="2" t="s">
        <v>2850</v>
      </c>
      <c r="B37" s="2" t="s">
        <v>129</v>
      </c>
      <c r="C37" s="1">
        <v>44262</v>
      </c>
      <c r="D37" s="2" t="s">
        <v>130</v>
      </c>
      <c r="E37" s="2" t="s">
        <v>130</v>
      </c>
      <c r="F37" s="2" t="s">
        <v>284</v>
      </c>
      <c r="G37" s="2" t="s">
        <v>2851</v>
      </c>
      <c r="H37" s="2" t="s">
        <v>2852</v>
      </c>
      <c r="I37" s="2">
        <v>293668</v>
      </c>
      <c r="J37" s="2" t="s">
        <v>196</v>
      </c>
      <c r="K37" s="2"/>
      <c r="L37" s="2" t="s">
        <v>285</v>
      </c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25">
      <c r="A38" s="2" t="s">
        <v>2853</v>
      </c>
      <c r="B38" s="2" t="s">
        <v>129</v>
      </c>
      <c r="C38" s="1">
        <v>44262</v>
      </c>
      <c r="D38" s="2" t="s">
        <v>130</v>
      </c>
      <c r="E38" s="2" t="s">
        <v>130</v>
      </c>
      <c r="F38" s="2" t="s">
        <v>284</v>
      </c>
      <c r="G38" s="2" t="s">
        <v>2854</v>
      </c>
      <c r="H38" s="2" t="s">
        <v>2855</v>
      </c>
      <c r="I38" s="2">
        <v>294102</v>
      </c>
      <c r="J38" s="2" t="s">
        <v>196</v>
      </c>
      <c r="K38" s="2"/>
      <c r="L38" s="2" t="s">
        <v>285</v>
      </c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2" t="s">
        <v>2856</v>
      </c>
      <c r="B39" s="2" t="s">
        <v>129</v>
      </c>
      <c r="C39" s="1">
        <v>44262</v>
      </c>
      <c r="D39" s="2" t="s">
        <v>130</v>
      </c>
      <c r="E39" s="2" t="s">
        <v>130</v>
      </c>
      <c r="F39" s="2" t="s">
        <v>284</v>
      </c>
      <c r="G39" s="2" t="s">
        <v>2857</v>
      </c>
      <c r="H39" s="2" t="s">
        <v>2858</v>
      </c>
      <c r="I39" s="2">
        <v>286197</v>
      </c>
      <c r="J39" s="2" t="s">
        <v>196</v>
      </c>
      <c r="K39" s="2"/>
      <c r="L39" s="2" t="s">
        <v>285</v>
      </c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x14ac:dyDescent="0.25">
      <c r="A40" s="2" t="s">
        <v>2859</v>
      </c>
      <c r="B40" s="2" t="s">
        <v>129</v>
      </c>
      <c r="C40" s="1">
        <v>44262</v>
      </c>
      <c r="D40" s="2" t="s">
        <v>130</v>
      </c>
      <c r="E40" s="2" t="s">
        <v>130</v>
      </c>
      <c r="F40" s="2" t="s">
        <v>286</v>
      </c>
      <c r="G40" s="2" t="s">
        <v>319</v>
      </c>
      <c r="H40" s="2" t="s">
        <v>2860</v>
      </c>
      <c r="I40" s="2">
        <v>1268793</v>
      </c>
      <c r="J40" s="2" t="s">
        <v>282</v>
      </c>
      <c r="K40" s="2"/>
      <c r="L40" s="2" t="s">
        <v>192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x14ac:dyDescent="0.25">
      <c r="A41" s="2" t="s">
        <v>2861</v>
      </c>
      <c r="B41" s="2" t="s">
        <v>129</v>
      </c>
      <c r="C41" s="1">
        <v>44262</v>
      </c>
      <c r="D41" s="2" t="s">
        <v>130</v>
      </c>
      <c r="E41" s="2" t="s">
        <v>130</v>
      </c>
      <c r="F41" s="2" t="s">
        <v>284</v>
      </c>
      <c r="G41" s="2" t="s">
        <v>2862</v>
      </c>
      <c r="H41" s="2" t="s">
        <v>2863</v>
      </c>
      <c r="I41" s="2">
        <v>293644</v>
      </c>
      <c r="J41" s="2" t="s">
        <v>196</v>
      </c>
      <c r="K41" s="2"/>
      <c r="L41" s="2" t="s">
        <v>285</v>
      </c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x14ac:dyDescent="0.25">
      <c r="A42" s="2" t="s">
        <v>2864</v>
      </c>
      <c r="B42" s="2" t="s">
        <v>129</v>
      </c>
      <c r="C42" s="1">
        <v>44262</v>
      </c>
      <c r="D42" s="2" t="s">
        <v>130</v>
      </c>
      <c r="E42" s="2" t="s">
        <v>130</v>
      </c>
      <c r="F42" s="2" t="s">
        <v>363</v>
      </c>
      <c r="G42" s="2" t="s">
        <v>2865</v>
      </c>
      <c r="H42" s="2" t="s">
        <v>2866</v>
      </c>
      <c r="I42" s="2">
        <v>1268801</v>
      </c>
      <c r="J42" s="2" t="s">
        <v>282</v>
      </c>
      <c r="K42" s="2"/>
      <c r="L42" s="2" t="s">
        <v>192</v>
      </c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x14ac:dyDescent="0.25">
      <c r="A43" s="2" t="s">
        <v>2867</v>
      </c>
      <c r="B43" s="2" t="s">
        <v>129</v>
      </c>
      <c r="C43" s="1">
        <v>44263</v>
      </c>
      <c r="D43" s="2" t="s">
        <v>130</v>
      </c>
      <c r="E43" s="2" t="s">
        <v>130</v>
      </c>
      <c r="F43" s="2" t="s">
        <v>186</v>
      </c>
      <c r="G43" s="2" t="s">
        <v>2868</v>
      </c>
      <c r="H43" s="2" t="s">
        <v>2869</v>
      </c>
      <c r="I43" s="2">
        <v>1268808</v>
      </c>
      <c r="J43" s="2" t="s">
        <v>187</v>
      </c>
      <c r="K43" s="2"/>
      <c r="L43" s="2" t="s">
        <v>188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x14ac:dyDescent="0.25">
      <c r="A44" s="2" t="s">
        <v>2870</v>
      </c>
      <c r="B44" s="2" t="s">
        <v>129</v>
      </c>
      <c r="C44" s="1">
        <v>44263</v>
      </c>
      <c r="D44" s="2" t="s">
        <v>130</v>
      </c>
      <c r="E44" s="2" t="s">
        <v>130</v>
      </c>
      <c r="F44" s="2" t="s">
        <v>144</v>
      </c>
      <c r="G44" s="2" t="s">
        <v>2871</v>
      </c>
      <c r="H44" s="2" t="s">
        <v>2872</v>
      </c>
      <c r="I44" s="2">
        <v>297861</v>
      </c>
      <c r="J44" s="2" t="s">
        <v>145</v>
      </c>
      <c r="K44" s="2"/>
      <c r="L44" s="2" t="s">
        <v>146</v>
      </c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x14ac:dyDescent="0.25">
      <c r="A45" s="2" t="s">
        <v>2873</v>
      </c>
      <c r="B45" s="2" t="s">
        <v>129</v>
      </c>
      <c r="C45" s="1">
        <v>44263</v>
      </c>
      <c r="D45" s="2" t="s">
        <v>130</v>
      </c>
      <c r="E45" s="2" t="s">
        <v>130</v>
      </c>
      <c r="F45" s="2" t="s">
        <v>280</v>
      </c>
      <c r="G45" s="2" t="s">
        <v>2874</v>
      </c>
      <c r="H45" s="2" t="s">
        <v>2875</v>
      </c>
      <c r="I45" s="2">
        <v>291992</v>
      </c>
      <c r="J45" s="2" t="s">
        <v>282</v>
      </c>
      <c r="K45" s="2"/>
      <c r="L45" s="2" t="s">
        <v>192</v>
      </c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x14ac:dyDescent="0.25">
      <c r="A46" s="2" t="s">
        <v>2876</v>
      </c>
      <c r="B46" s="2" t="s">
        <v>129</v>
      </c>
      <c r="C46" s="1">
        <v>44263</v>
      </c>
      <c r="D46" s="2" t="s">
        <v>130</v>
      </c>
      <c r="E46" s="2" t="s">
        <v>130</v>
      </c>
      <c r="F46" s="2" t="s">
        <v>144</v>
      </c>
      <c r="G46" s="2" t="s">
        <v>2877</v>
      </c>
      <c r="H46" s="2" t="s">
        <v>2878</v>
      </c>
      <c r="I46" s="2">
        <v>296706</v>
      </c>
      <c r="J46" s="2" t="s">
        <v>145</v>
      </c>
      <c r="K46" s="2"/>
      <c r="L46" s="2" t="s">
        <v>146</v>
      </c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x14ac:dyDescent="0.25">
      <c r="A47" s="2" t="s">
        <v>2879</v>
      </c>
      <c r="B47" s="2" t="s">
        <v>129</v>
      </c>
      <c r="C47" s="1">
        <v>44263</v>
      </c>
      <c r="D47" s="2" t="s">
        <v>130</v>
      </c>
      <c r="E47" s="2" t="s">
        <v>130</v>
      </c>
      <c r="F47" s="2" t="s">
        <v>287</v>
      </c>
      <c r="G47" s="2" t="s">
        <v>2880</v>
      </c>
      <c r="H47" s="2" t="s">
        <v>2809</v>
      </c>
      <c r="I47" s="2">
        <v>298133</v>
      </c>
      <c r="J47" s="2" t="s">
        <v>288</v>
      </c>
      <c r="K47" s="2"/>
      <c r="L47" s="2" t="s">
        <v>289</v>
      </c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x14ac:dyDescent="0.25">
      <c r="A48" s="2" t="s">
        <v>2881</v>
      </c>
      <c r="B48" s="2" t="s">
        <v>134</v>
      </c>
      <c r="C48" s="1">
        <v>44263</v>
      </c>
      <c r="D48" s="2" t="s">
        <v>130</v>
      </c>
      <c r="E48" s="2" t="s">
        <v>130</v>
      </c>
      <c r="F48" s="2" t="s">
        <v>330</v>
      </c>
      <c r="G48" s="2" t="s">
        <v>2882</v>
      </c>
      <c r="H48" s="2" t="s">
        <v>2883</v>
      </c>
      <c r="I48" s="2">
        <v>282006</v>
      </c>
      <c r="J48" s="2" t="s">
        <v>332</v>
      </c>
      <c r="K48" s="2"/>
      <c r="L48" s="2" t="s">
        <v>309</v>
      </c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x14ac:dyDescent="0.25">
      <c r="A49" s="2" t="s">
        <v>2884</v>
      </c>
      <c r="B49" s="2" t="s">
        <v>129</v>
      </c>
      <c r="C49" s="1">
        <v>44263</v>
      </c>
      <c r="D49" s="2" t="s">
        <v>130</v>
      </c>
      <c r="E49" s="2" t="s">
        <v>130</v>
      </c>
      <c r="F49" s="2" t="s">
        <v>144</v>
      </c>
      <c r="G49" s="2" t="s">
        <v>2885</v>
      </c>
      <c r="H49" s="2" t="s">
        <v>2886</v>
      </c>
      <c r="I49" s="2">
        <v>1268871</v>
      </c>
      <c r="J49" s="2" t="s">
        <v>145</v>
      </c>
      <c r="K49" s="2"/>
      <c r="L49" s="2" t="s">
        <v>146</v>
      </c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x14ac:dyDescent="0.25">
      <c r="A50" s="2" t="s">
        <v>2887</v>
      </c>
      <c r="B50" s="2" t="s">
        <v>129</v>
      </c>
      <c r="C50" s="1">
        <v>44264</v>
      </c>
      <c r="D50" s="2" t="s">
        <v>130</v>
      </c>
      <c r="E50" s="2" t="s">
        <v>130</v>
      </c>
      <c r="F50" s="2" t="s">
        <v>326</v>
      </c>
      <c r="G50" s="2" t="s">
        <v>2888</v>
      </c>
      <c r="H50" s="2" t="s">
        <v>2889</v>
      </c>
      <c r="I50" s="2">
        <v>1268901</v>
      </c>
      <c r="J50" s="2" t="s">
        <v>132</v>
      </c>
      <c r="K50" s="2"/>
      <c r="L50" s="2" t="s">
        <v>328</v>
      </c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x14ac:dyDescent="0.25">
      <c r="A51" s="2" t="s">
        <v>2890</v>
      </c>
      <c r="B51" s="2" t="s">
        <v>129</v>
      </c>
      <c r="C51" s="1">
        <v>44264</v>
      </c>
      <c r="D51" s="2" t="s">
        <v>130</v>
      </c>
      <c r="E51" s="2" t="s">
        <v>130</v>
      </c>
      <c r="F51" s="2" t="s">
        <v>424</v>
      </c>
      <c r="G51" s="2" t="s">
        <v>2891</v>
      </c>
      <c r="H51" s="2" t="s">
        <v>2892</v>
      </c>
      <c r="I51" s="2">
        <v>258965</v>
      </c>
      <c r="J51" s="2" t="s">
        <v>425</v>
      </c>
      <c r="K51" s="2"/>
      <c r="L51" s="2" t="s">
        <v>162</v>
      </c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x14ac:dyDescent="0.25">
      <c r="A52" s="2" t="s">
        <v>2893</v>
      </c>
      <c r="B52" s="2" t="s">
        <v>129</v>
      </c>
      <c r="C52" s="1">
        <v>44264</v>
      </c>
      <c r="D52" s="2" t="s">
        <v>130</v>
      </c>
      <c r="E52" s="2" t="s">
        <v>130</v>
      </c>
      <c r="F52" s="2" t="s">
        <v>144</v>
      </c>
      <c r="G52" s="2" t="s">
        <v>2894</v>
      </c>
      <c r="H52" s="2" t="s">
        <v>2895</v>
      </c>
      <c r="I52" s="2">
        <v>1268902</v>
      </c>
      <c r="J52" s="2" t="s">
        <v>145</v>
      </c>
      <c r="K52" s="2"/>
      <c r="L52" s="2" t="s">
        <v>146</v>
      </c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x14ac:dyDescent="0.25">
      <c r="A53" s="2" t="s">
        <v>2896</v>
      </c>
      <c r="B53" s="2" t="s">
        <v>129</v>
      </c>
      <c r="C53" s="1">
        <v>44264</v>
      </c>
      <c r="D53" s="2" t="s">
        <v>130</v>
      </c>
      <c r="E53" s="2" t="s">
        <v>130</v>
      </c>
      <c r="F53" s="2" t="s">
        <v>150</v>
      </c>
      <c r="G53" s="2" t="s">
        <v>551</v>
      </c>
      <c r="H53" s="2" t="s">
        <v>2897</v>
      </c>
      <c r="I53" s="2">
        <v>1268922</v>
      </c>
      <c r="J53" s="2" t="s">
        <v>151</v>
      </c>
      <c r="K53" s="2"/>
      <c r="L53" s="2" t="s">
        <v>152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x14ac:dyDescent="0.25">
      <c r="A54" s="2" t="s">
        <v>2898</v>
      </c>
      <c r="B54" s="2" t="s">
        <v>129</v>
      </c>
      <c r="C54" s="1">
        <v>44264</v>
      </c>
      <c r="D54" s="2" t="s">
        <v>130</v>
      </c>
      <c r="E54" s="2" t="s">
        <v>130</v>
      </c>
      <c r="F54" s="2" t="s">
        <v>157</v>
      </c>
      <c r="G54" s="2" t="s">
        <v>429</v>
      </c>
      <c r="H54" s="2" t="s">
        <v>2899</v>
      </c>
      <c r="I54" s="2">
        <v>297289</v>
      </c>
      <c r="J54" s="2" t="s">
        <v>151</v>
      </c>
      <c r="K54" s="2"/>
      <c r="L54" s="2" t="s">
        <v>152</v>
      </c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x14ac:dyDescent="0.25">
      <c r="A55" s="2" t="s">
        <v>2900</v>
      </c>
      <c r="B55" s="2" t="s">
        <v>134</v>
      </c>
      <c r="C55" s="1">
        <v>44264</v>
      </c>
      <c r="D55" s="2" t="s">
        <v>130</v>
      </c>
      <c r="E55" s="2" t="s">
        <v>130</v>
      </c>
      <c r="F55" s="2" t="s">
        <v>1324</v>
      </c>
      <c r="G55" s="2" t="s">
        <v>2901</v>
      </c>
      <c r="H55" s="2" t="s">
        <v>2902</v>
      </c>
      <c r="I55" s="2">
        <v>1268924</v>
      </c>
      <c r="J55" s="2" t="s">
        <v>199</v>
      </c>
      <c r="K55" s="2"/>
      <c r="L55" s="2" t="s">
        <v>192</v>
      </c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x14ac:dyDescent="0.25">
      <c r="A56" s="2" t="s">
        <v>2903</v>
      </c>
      <c r="B56" s="2" t="s">
        <v>129</v>
      </c>
      <c r="C56" s="1">
        <v>44264</v>
      </c>
      <c r="D56" s="2" t="s">
        <v>130</v>
      </c>
      <c r="E56" s="2" t="s">
        <v>130</v>
      </c>
      <c r="F56" s="2" t="s">
        <v>344</v>
      </c>
      <c r="G56" s="2" t="s">
        <v>2904</v>
      </c>
      <c r="H56" s="2" t="s">
        <v>2905</v>
      </c>
      <c r="I56" s="2">
        <v>297970</v>
      </c>
      <c r="J56" s="2" t="s">
        <v>345</v>
      </c>
      <c r="K56" s="2"/>
      <c r="L56" s="2" t="s">
        <v>152</v>
      </c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x14ac:dyDescent="0.25">
      <c r="A57" s="2" t="s">
        <v>2906</v>
      </c>
      <c r="B57" s="2" t="s">
        <v>129</v>
      </c>
      <c r="C57" s="1">
        <v>44264</v>
      </c>
      <c r="D57" s="2" t="s">
        <v>130</v>
      </c>
      <c r="E57" s="2" t="s">
        <v>130</v>
      </c>
      <c r="F57" s="2" t="s">
        <v>193</v>
      </c>
      <c r="G57" s="2" t="s">
        <v>136</v>
      </c>
      <c r="H57" s="2" t="s">
        <v>2907</v>
      </c>
      <c r="I57" s="2">
        <v>298826</v>
      </c>
      <c r="J57" s="2" t="s">
        <v>194</v>
      </c>
      <c r="K57" s="2"/>
      <c r="L57" s="2" t="s">
        <v>146</v>
      </c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x14ac:dyDescent="0.25">
      <c r="A58" s="2" t="s">
        <v>2908</v>
      </c>
      <c r="B58" s="2" t="s">
        <v>129</v>
      </c>
      <c r="C58" s="1">
        <v>44264</v>
      </c>
      <c r="D58" s="2" t="s">
        <v>130</v>
      </c>
      <c r="E58" s="2" t="s">
        <v>130</v>
      </c>
      <c r="F58" s="2" t="s">
        <v>150</v>
      </c>
      <c r="G58" s="2" t="s">
        <v>2909</v>
      </c>
      <c r="H58" s="2" t="s">
        <v>2910</v>
      </c>
      <c r="I58" s="2">
        <v>293979</v>
      </c>
      <c r="J58" s="2" t="s">
        <v>151</v>
      </c>
      <c r="K58" s="2"/>
      <c r="L58" s="2" t="s">
        <v>152</v>
      </c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x14ac:dyDescent="0.25">
      <c r="A59" s="2" t="s">
        <v>2911</v>
      </c>
      <c r="B59" s="2" t="s">
        <v>129</v>
      </c>
      <c r="C59" s="1">
        <v>44264</v>
      </c>
      <c r="D59" s="2" t="s">
        <v>130</v>
      </c>
      <c r="E59" s="2" t="s">
        <v>130</v>
      </c>
      <c r="F59" s="2" t="s">
        <v>326</v>
      </c>
      <c r="G59" s="2" t="s">
        <v>398</v>
      </c>
      <c r="H59" s="2" t="s">
        <v>2912</v>
      </c>
      <c r="I59" s="2">
        <v>1268971</v>
      </c>
      <c r="J59" s="2" t="s">
        <v>132</v>
      </c>
      <c r="K59" s="2"/>
      <c r="L59" s="2" t="s">
        <v>328</v>
      </c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x14ac:dyDescent="0.25">
      <c r="A60" s="2" t="s">
        <v>2913</v>
      </c>
      <c r="B60" s="2" t="s">
        <v>129</v>
      </c>
      <c r="C60" s="1">
        <v>44265</v>
      </c>
      <c r="D60" s="2" t="s">
        <v>130</v>
      </c>
      <c r="E60" s="2" t="s">
        <v>130</v>
      </c>
      <c r="F60" s="2" t="s">
        <v>150</v>
      </c>
      <c r="G60" s="2" t="s">
        <v>215</v>
      </c>
      <c r="H60" s="2" t="s">
        <v>2914</v>
      </c>
      <c r="I60" s="2">
        <v>298580</v>
      </c>
      <c r="J60" s="2" t="s">
        <v>151</v>
      </c>
      <c r="K60" s="2"/>
      <c r="L60" s="2" t="s">
        <v>152</v>
      </c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x14ac:dyDescent="0.25">
      <c r="A61" s="2" t="s">
        <v>2915</v>
      </c>
      <c r="B61" s="2" t="s">
        <v>129</v>
      </c>
      <c r="C61" s="1">
        <v>44265</v>
      </c>
      <c r="D61" s="2" t="s">
        <v>130</v>
      </c>
      <c r="E61" s="2" t="s">
        <v>130</v>
      </c>
      <c r="F61" s="2" t="s">
        <v>206</v>
      </c>
      <c r="G61" s="2" t="s">
        <v>2916</v>
      </c>
      <c r="H61" s="2" t="s">
        <v>2917</v>
      </c>
      <c r="I61" s="2">
        <v>1269000</v>
      </c>
      <c r="J61" s="2" t="s">
        <v>207</v>
      </c>
      <c r="K61" s="2"/>
      <c r="L61" s="2" t="s">
        <v>152</v>
      </c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x14ac:dyDescent="0.25">
      <c r="A62" s="2" t="s">
        <v>2918</v>
      </c>
      <c r="B62" s="2" t="s">
        <v>129</v>
      </c>
      <c r="C62" s="1">
        <v>44265</v>
      </c>
      <c r="D62" s="2" t="s">
        <v>130</v>
      </c>
      <c r="E62" s="2" t="s">
        <v>130</v>
      </c>
      <c r="F62" s="2" t="s">
        <v>150</v>
      </c>
      <c r="G62" s="2" t="s">
        <v>2733</v>
      </c>
      <c r="H62" s="2" t="s">
        <v>2919</v>
      </c>
      <c r="I62" s="2">
        <v>298493</v>
      </c>
      <c r="J62" s="2" t="s">
        <v>151</v>
      </c>
      <c r="K62" s="2"/>
      <c r="L62" s="2" t="s">
        <v>152</v>
      </c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x14ac:dyDescent="0.25">
      <c r="A63" s="2" t="s">
        <v>2920</v>
      </c>
      <c r="B63" s="2" t="s">
        <v>129</v>
      </c>
      <c r="C63" s="1">
        <v>44265</v>
      </c>
      <c r="D63" s="2" t="s">
        <v>130</v>
      </c>
      <c r="E63" s="2" t="s">
        <v>130</v>
      </c>
      <c r="F63" s="2" t="s">
        <v>135</v>
      </c>
      <c r="G63" s="2" t="s">
        <v>136</v>
      </c>
      <c r="H63" s="2" t="s">
        <v>2921</v>
      </c>
      <c r="I63" s="2">
        <v>299057</v>
      </c>
      <c r="J63" s="2" t="s">
        <v>137</v>
      </c>
      <c r="K63" s="2"/>
      <c r="L63" s="2" t="s">
        <v>138</v>
      </c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x14ac:dyDescent="0.25">
      <c r="A64" s="2" t="s">
        <v>2922</v>
      </c>
      <c r="B64" s="2" t="s">
        <v>129</v>
      </c>
      <c r="C64" s="1">
        <v>44265</v>
      </c>
      <c r="D64" s="2" t="s">
        <v>130</v>
      </c>
      <c r="E64" s="2" t="s">
        <v>130</v>
      </c>
      <c r="F64" s="2" t="s">
        <v>262</v>
      </c>
      <c r="G64" s="2" t="s">
        <v>136</v>
      </c>
      <c r="H64" s="2" t="s">
        <v>2923</v>
      </c>
      <c r="I64" s="2">
        <v>299062</v>
      </c>
      <c r="J64" s="2" t="s">
        <v>263</v>
      </c>
      <c r="K64" s="2"/>
      <c r="L64" s="2" t="s">
        <v>264</v>
      </c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x14ac:dyDescent="0.25">
      <c r="A65" s="2" t="s">
        <v>2924</v>
      </c>
      <c r="B65" s="2" t="s">
        <v>129</v>
      </c>
      <c r="C65" s="1">
        <v>44265</v>
      </c>
      <c r="D65" s="2" t="s">
        <v>130</v>
      </c>
      <c r="E65" s="2" t="s">
        <v>130</v>
      </c>
      <c r="F65" s="2" t="s">
        <v>262</v>
      </c>
      <c r="G65" s="2" t="s">
        <v>136</v>
      </c>
      <c r="H65" s="2" t="s">
        <v>2925</v>
      </c>
      <c r="I65" s="2">
        <v>299064</v>
      </c>
      <c r="J65" s="2" t="s">
        <v>263</v>
      </c>
      <c r="K65" s="2"/>
      <c r="L65" s="2" t="s">
        <v>264</v>
      </c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x14ac:dyDescent="0.25">
      <c r="A66" s="2" t="s">
        <v>2926</v>
      </c>
      <c r="B66" s="2" t="s">
        <v>129</v>
      </c>
      <c r="C66" s="1">
        <v>44265</v>
      </c>
      <c r="D66" s="2" t="s">
        <v>130</v>
      </c>
      <c r="E66" s="2" t="s">
        <v>130</v>
      </c>
      <c r="F66" s="2" t="s">
        <v>183</v>
      </c>
      <c r="G66" s="2" t="s">
        <v>2927</v>
      </c>
      <c r="H66" s="2" t="s">
        <v>2928</v>
      </c>
      <c r="I66" s="2">
        <v>1269022</v>
      </c>
      <c r="J66" s="2" t="s">
        <v>184</v>
      </c>
      <c r="K66" s="2"/>
      <c r="L66" s="2" t="s">
        <v>185</v>
      </c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x14ac:dyDescent="0.25">
      <c r="A67" s="2" t="s">
        <v>2929</v>
      </c>
      <c r="B67" s="2" t="s">
        <v>129</v>
      </c>
      <c r="C67" s="1">
        <v>44265</v>
      </c>
      <c r="D67" s="2" t="s">
        <v>130</v>
      </c>
      <c r="E67" s="2" t="s">
        <v>130</v>
      </c>
      <c r="F67" s="2" t="s">
        <v>351</v>
      </c>
      <c r="G67" s="2" t="s">
        <v>2930</v>
      </c>
      <c r="H67" s="2" t="s">
        <v>2931</v>
      </c>
      <c r="I67" s="2">
        <v>1269023</v>
      </c>
      <c r="J67" s="2" t="s">
        <v>184</v>
      </c>
      <c r="K67" s="2"/>
      <c r="L67" s="2" t="s">
        <v>185</v>
      </c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x14ac:dyDescent="0.25">
      <c r="A68" s="2" t="s">
        <v>2932</v>
      </c>
      <c r="B68" s="2" t="s">
        <v>129</v>
      </c>
      <c r="C68" s="1">
        <v>44265</v>
      </c>
      <c r="D68" s="2" t="s">
        <v>130</v>
      </c>
      <c r="E68" s="2" t="s">
        <v>130</v>
      </c>
      <c r="F68" s="2" t="s">
        <v>131</v>
      </c>
      <c r="G68" s="2" t="s">
        <v>2933</v>
      </c>
      <c r="H68" s="2" t="s">
        <v>2934</v>
      </c>
      <c r="I68" s="2">
        <v>221552</v>
      </c>
      <c r="J68" s="2" t="s">
        <v>132</v>
      </c>
      <c r="K68" s="2"/>
      <c r="L68" s="2" t="s">
        <v>133</v>
      </c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x14ac:dyDescent="0.25">
      <c r="A69" s="2" t="s">
        <v>2935</v>
      </c>
      <c r="B69" s="2" t="s">
        <v>129</v>
      </c>
      <c r="C69" s="1">
        <v>44265</v>
      </c>
      <c r="D69" s="2" t="s">
        <v>130</v>
      </c>
      <c r="E69" s="2" t="s">
        <v>130</v>
      </c>
      <c r="F69" s="2" t="s">
        <v>204</v>
      </c>
      <c r="G69" s="2" t="s">
        <v>2936</v>
      </c>
      <c r="H69" s="2" t="s">
        <v>2937</v>
      </c>
      <c r="I69" s="2">
        <v>284173</v>
      </c>
      <c r="J69" s="2" t="s">
        <v>148</v>
      </c>
      <c r="K69" s="2"/>
      <c r="L69" s="2" t="s">
        <v>205</v>
      </c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x14ac:dyDescent="0.25">
      <c r="A70" s="2" t="s">
        <v>2938</v>
      </c>
      <c r="B70" s="2" t="s">
        <v>129</v>
      </c>
      <c r="C70" s="1">
        <v>44268</v>
      </c>
      <c r="D70" s="2" t="s">
        <v>130</v>
      </c>
      <c r="E70" s="2" t="s">
        <v>130</v>
      </c>
      <c r="F70" s="2" t="s">
        <v>227</v>
      </c>
      <c r="G70" s="2" t="s">
        <v>2939</v>
      </c>
      <c r="H70" s="2" t="s">
        <v>2940</v>
      </c>
      <c r="I70" s="2">
        <v>1269084</v>
      </c>
      <c r="J70" s="2" t="s">
        <v>3262</v>
      </c>
      <c r="K70" s="2"/>
      <c r="L70" s="2" t="s">
        <v>138</v>
      </c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x14ac:dyDescent="0.25">
      <c r="A71" s="2" t="s">
        <v>2941</v>
      </c>
      <c r="B71" s="2" t="s">
        <v>129</v>
      </c>
      <c r="C71" s="1">
        <v>44268</v>
      </c>
      <c r="D71" s="2" t="s">
        <v>130</v>
      </c>
      <c r="E71" s="2" t="s">
        <v>130</v>
      </c>
      <c r="F71" s="2" t="s">
        <v>227</v>
      </c>
      <c r="G71" s="2" t="s">
        <v>2942</v>
      </c>
      <c r="H71" s="2" t="s">
        <v>2943</v>
      </c>
      <c r="I71" s="2">
        <v>1269086</v>
      </c>
      <c r="J71" s="2" t="s">
        <v>3262</v>
      </c>
      <c r="K71" s="2"/>
      <c r="L71" s="2" t="s">
        <v>138</v>
      </c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x14ac:dyDescent="0.25">
      <c r="A72" s="2" t="s">
        <v>2944</v>
      </c>
      <c r="B72" s="2" t="s">
        <v>134</v>
      </c>
      <c r="C72" s="1">
        <v>44265</v>
      </c>
      <c r="D72" s="2" t="s">
        <v>130</v>
      </c>
      <c r="E72" s="2" t="s">
        <v>130</v>
      </c>
      <c r="F72" s="2" t="s">
        <v>2945</v>
      </c>
      <c r="G72" s="2" t="s">
        <v>136</v>
      </c>
      <c r="H72" s="2" t="s">
        <v>1</v>
      </c>
      <c r="I72" s="2">
        <v>0</v>
      </c>
      <c r="J72" s="2" t="s">
        <v>2946</v>
      </c>
      <c r="K72" s="2"/>
      <c r="L72" s="2" t="s">
        <v>185</v>
      </c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x14ac:dyDescent="0.25">
      <c r="A73" s="2" t="s">
        <v>2947</v>
      </c>
      <c r="B73" s="2" t="s">
        <v>129</v>
      </c>
      <c r="C73" s="1">
        <v>44266</v>
      </c>
      <c r="D73" s="2" t="s">
        <v>130</v>
      </c>
      <c r="E73" s="2" t="s">
        <v>130</v>
      </c>
      <c r="F73" s="2" t="s">
        <v>150</v>
      </c>
      <c r="G73" s="2" t="s">
        <v>2948</v>
      </c>
      <c r="H73" s="2" t="s">
        <v>2949</v>
      </c>
      <c r="I73" s="2">
        <v>1269133</v>
      </c>
      <c r="J73" s="2" t="s">
        <v>151</v>
      </c>
      <c r="K73" s="2"/>
      <c r="L73" s="2" t="s">
        <v>152</v>
      </c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x14ac:dyDescent="0.25">
      <c r="A74" s="2" t="s">
        <v>2950</v>
      </c>
      <c r="B74" s="2" t="s">
        <v>129</v>
      </c>
      <c r="C74" s="1">
        <v>44266</v>
      </c>
      <c r="D74" s="2" t="s">
        <v>130</v>
      </c>
      <c r="E74" s="2" t="s">
        <v>130</v>
      </c>
      <c r="F74" s="2" t="s">
        <v>147</v>
      </c>
      <c r="G74" s="2" t="s">
        <v>2951</v>
      </c>
      <c r="H74" s="2" t="s">
        <v>2952</v>
      </c>
      <c r="I74" s="2">
        <v>293674</v>
      </c>
      <c r="J74" s="2" t="s">
        <v>148</v>
      </c>
      <c r="K74" s="2"/>
      <c r="L74" s="2" t="s">
        <v>149</v>
      </c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x14ac:dyDescent="0.25">
      <c r="A75" s="2" t="s">
        <v>2953</v>
      </c>
      <c r="B75" s="2" t="s">
        <v>129</v>
      </c>
      <c r="C75" s="1">
        <v>44266</v>
      </c>
      <c r="D75" s="2" t="s">
        <v>130</v>
      </c>
      <c r="E75" s="2" t="s">
        <v>130</v>
      </c>
      <c r="F75" s="2" t="s">
        <v>310</v>
      </c>
      <c r="G75" s="2" t="s">
        <v>2954</v>
      </c>
      <c r="H75" s="2" t="s">
        <v>2955</v>
      </c>
      <c r="I75" s="2">
        <v>270247</v>
      </c>
      <c r="J75" s="2" t="s">
        <v>311</v>
      </c>
      <c r="K75" s="2"/>
      <c r="L75" s="2" t="s">
        <v>152</v>
      </c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x14ac:dyDescent="0.25">
      <c r="A76" s="2" t="s">
        <v>2956</v>
      </c>
      <c r="B76" s="2" t="s">
        <v>129</v>
      </c>
      <c r="C76" s="1">
        <v>44266</v>
      </c>
      <c r="D76" s="2" t="s">
        <v>130</v>
      </c>
      <c r="E76" s="2" t="s">
        <v>130</v>
      </c>
      <c r="F76" s="2" t="s">
        <v>326</v>
      </c>
      <c r="G76" s="2" t="s">
        <v>2957</v>
      </c>
      <c r="H76" s="2" t="s">
        <v>2958</v>
      </c>
      <c r="I76" s="2">
        <v>292033</v>
      </c>
      <c r="J76" s="2" t="s">
        <v>132</v>
      </c>
      <c r="K76" s="2"/>
      <c r="L76" s="2" t="s">
        <v>328</v>
      </c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x14ac:dyDescent="0.25">
      <c r="A77" s="2" t="s">
        <v>2959</v>
      </c>
      <c r="B77" s="2" t="s">
        <v>512</v>
      </c>
      <c r="C77" s="1">
        <v>44262</v>
      </c>
      <c r="D77" s="2" t="s">
        <v>130</v>
      </c>
      <c r="E77" s="2" t="s">
        <v>130</v>
      </c>
      <c r="F77" s="2" t="s">
        <v>147</v>
      </c>
      <c r="G77" s="2" t="s">
        <v>265</v>
      </c>
      <c r="H77" s="2" t="s">
        <v>1</v>
      </c>
      <c r="I77" s="2">
        <v>267824</v>
      </c>
      <c r="J77" s="2" t="s">
        <v>148</v>
      </c>
      <c r="K77" s="2"/>
      <c r="L77" s="2" t="s">
        <v>149</v>
      </c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x14ac:dyDescent="0.25">
      <c r="A78" s="2" t="s">
        <v>2960</v>
      </c>
      <c r="B78" s="2" t="s">
        <v>129</v>
      </c>
      <c r="C78" s="1">
        <v>44266</v>
      </c>
      <c r="D78" s="2" t="s">
        <v>130</v>
      </c>
      <c r="E78" s="2" t="s">
        <v>130</v>
      </c>
      <c r="F78" s="2" t="s">
        <v>302</v>
      </c>
      <c r="G78" s="2" t="s">
        <v>2961</v>
      </c>
      <c r="H78" s="2" t="s">
        <v>2962</v>
      </c>
      <c r="I78" s="2">
        <v>1052601</v>
      </c>
      <c r="J78" s="2" t="s">
        <v>303</v>
      </c>
      <c r="K78" s="2"/>
      <c r="L78" s="2" t="s">
        <v>2963</v>
      </c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x14ac:dyDescent="0.25">
      <c r="A79" s="2" t="s">
        <v>2964</v>
      </c>
      <c r="B79" s="2" t="s">
        <v>129</v>
      </c>
      <c r="C79" s="1">
        <v>44266</v>
      </c>
      <c r="D79" s="2" t="s">
        <v>130</v>
      </c>
      <c r="E79" s="2" t="s">
        <v>130</v>
      </c>
      <c r="F79" s="2" t="s">
        <v>302</v>
      </c>
      <c r="G79" s="2" t="s">
        <v>2965</v>
      </c>
      <c r="H79" s="2" t="s">
        <v>2966</v>
      </c>
      <c r="I79" s="2">
        <v>1052606</v>
      </c>
      <c r="J79" s="2" t="s">
        <v>303</v>
      </c>
      <c r="K79" s="2"/>
      <c r="L79" s="2" t="s">
        <v>2963</v>
      </c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x14ac:dyDescent="0.25">
      <c r="A80" s="2" t="s">
        <v>2967</v>
      </c>
      <c r="B80" s="2" t="s">
        <v>134</v>
      </c>
      <c r="C80" s="1">
        <v>44266</v>
      </c>
      <c r="D80" s="2" t="s">
        <v>130</v>
      </c>
      <c r="E80" s="2" t="s">
        <v>130</v>
      </c>
      <c r="F80" s="2" t="s">
        <v>302</v>
      </c>
      <c r="G80" s="2" t="s">
        <v>2968</v>
      </c>
      <c r="H80" s="2" t="s">
        <v>2969</v>
      </c>
      <c r="I80" s="2">
        <v>1052607</v>
      </c>
      <c r="J80" s="2" t="s">
        <v>303</v>
      </c>
      <c r="K80" s="2"/>
      <c r="L80" s="2" t="s">
        <v>2963</v>
      </c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25">
      <c r="A81" s="2" t="s">
        <v>2970</v>
      </c>
      <c r="B81" s="2" t="s">
        <v>129</v>
      </c>
      <c r="C81" s="1">
        <v>44266</v>
      </c>
      <c r="D81" s="2" t="s">
        <v>130</v>
      </c>
      <c r="E81" s="2" t="s">
        <v>130</v>
      </c>
      <c r="F81" s="2" t="s">
        <v>157</v>
      </c>
      <c r="G81" s="2" t="s">
        <v>2712</v>
      </c>
      <c r="H81" s="2" t="s">
        <v>2971</v>
      </c>
      <c r="I81" s="2">
        <v>297329</v>
      </c>
      <c r="J81" s="2" t="s">
        <v>151</v>
      </c>
      <c r="K81" s="2"/>
      <c r="L81" s="2" t="s">
        <v>152</v>
      </c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25">
      <c r="A82" s="2" t="s">
        <v>2972</v>
      </c>
      <c r="B82" s="2" t="s">
        <v>134</v>
      </c>
      <c r="C82" s="1">
        <v>44266</v>
      </c>
      <c r="D82" s="2" t="s">
        <v>130</v>
      </c>
      <c r="E82" s="2" t="s">
        <v>130</v>
      </c>
      <c r="F82" s="2" t="s">
        <v>153</v>
      </c>
      <c r="G82" s="2" t="s">
        <v>2973</v>
      </c>
      <c r="H82" s="2" t="s">
        <v>2974</v>
      </c>
      <c r="I82" s="2">
        <v>277812</v>
      </c>
      <c r="J82" s="2" t="s">
        <v>154</v>
      </c>
      <c r="K82" s="2"/>
      <c r="L82" s="2" t="s">
        <v>155</v>
      </c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25">
      <c r="A83" s="2" t="s">
        <v>2975</v>
      </c>
      <c r="B83" s="2" t="s">
        <v>129</v>
      </c>
      <c r="C83" s="1">
        <v>44266</v>
      </c>
      <c r="D83" s="2" t="s">
        <v>130</v>
      </c>
      <c r="E83" s="2" t="s">
        <v>130</v>
      </c>
      <c r="F83" s="2" t="s">
        <v>144</v>
      </c>
      <c r="G83" s="2" t="s">
        <v>381</v>
      </c>
      <c r="H83" s="2" t="s">
        <v>2976</v>
      </c>
      <c r="I83" s="2">
        <v>210061</v>
      </c>
      <c r="J83" s="2" t="s">
        <v>145</v>
      </c>
      <c r="K83" s="2"/>
      <c r="L83" s="2" t="s">
        <v>146</v>
      </c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x14ac:dyDescent="0.25">
      <c r="A84" s="2" t="s">
        <v>2977</v>
      </c>
      <c r="B84" s="2" t="s">
        <v>129</v>
      </c>
      <c r="C84" s="1">
        <v>44266</v>
      </c>
      <c r="D84" s="2" t="s">
        <v>130</v>
      </c>
      <c r="E84" s="2" t="s">
        <v>130</v>
      </c>
      <c r="F84" s="2" t="s">
        <v>193</v>
      </c>
      <c r="G84" s="2" t="s">
        <v>136</v>
      </c>
      <c r="H84" s="2" t="s">
        <v>2978</v>
      </c>
      <c r="I84" s="2">
        <v>1269313</v>
      </c>
      <c r="J84" s="2" t="s">
        <v>194</v>
      </c>
      <c r="K84" s="2"/>
      <c r="L84" s="2" t="s">
        <v>146</v>
      </c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x14ac:dyDescent="0.25">
      <c r="A85" s="2" t="s">
        <v>2979</v>
      </c>
      <c r="B85" s="2" t="s">
        <v>129</v>
      </c>
      <c r="C85" s="1">
        <v>44266</v>
      </c>
      <c r="D85" s="2" t="s">
        <v>130</v>
      </c>
      <c r="E85" s="2" t="s">
        <v>130</v>
      </c>
      <c r="F85" s="2" t="s">
        <v>271</v>
      </c>
      <c r="G85" s="2" t="s">
        <v>2980</v>
      </c>
      <c r="H85" s="2" t="s">
        <v>2981</v>
      </c>
      <c r="I85" s="2">
        <v>42122</v>
      </c>
      <c r="J85" s="2" t="s">
        <v>272</v>
      </c>
      <c r="K85" s="2"/>
      <c r="L85" s="2" t="s">
        <v>273</v>
      </c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x14ac:dyDescent="0.25">
      <c r="A86" s="2" t="s">
        <v>2982</v>
      </c>
      <c r="B86" s="2" t="s">
        <v>129</v>
      </c>
      <c r="C86" s="1">
        <v>44266</v>
      </c>
      <c r="D86" s="2" t="s">
        <v>130</v>
      </c>
      <c r="E86" s="2" t="s">
        <v>130</v>
      </c>
      <c r="F86" s="2" t="s">
        <v>271</v>
      </c>
      <c r="G86" s="2" t="s">
        <v>2983</v>
      </c>
      <c r="H86" s="2" t="s">
        <v>2984</v>
      </c>
      <c r="I86" s="2">
        <v>42103</v>
      </c>
      <c r="J86" s="2" t="s">
        <v>272</v>
      </c>
      <c r="K86" s="2"/>
      <c r="L86" s="2" t="s">
        <v>273</v>
      </c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x14ac:dyDescent="0.25">
      <c r="A87" s="2" t="s">
        <v>2985</v>
      </c>
      <c r="B87" s="2" t="s">
        <v>129</v>
      </c>
      <c r="C87" s="1">
        <v>44267</v>
      </c>
      <c r="D87" s="2" t="s">
        <v>130</v>
      </c>
      <c r="E87" s="2" t="s">
        <v>130</v>
      </c>
      <c r="F87" s="2" t="s">
        <v>157</v>
      </c>
      <c r="G87" s="2" t="s">
        <v>2986</v>
      </c>
      <c r="H87" s="2" t="s">
        <v>2987</v>
      </c>
      <c r="I87" s="2">
        <v>296325</v>
      </c>
      <c r="J87" s="2" t="s">
        <v>151</v>
      </c>
      <c r="K87" s="2"/>
      <c r="L87" s="2" t="s">
        <v>152</v>
      </c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x14ac:dyDescent="0.25">
      <c r="A88" s="2" t="s">
        <v>2988</v>
      </c>
      <c r="B88" s="2" t="s">
        <v>129</v>
      </c>
      <c r="C88" s="1">
        <v>44267</v>
      </c>
      <c r="D88" s="2" t="s">
        <v>130</v>
      </c>
      <c r="E88" s="2" t="s">
        <v>130</v>
      </c>
      <c r="F88" s="2" t="s">
        <v>206</v>
      </c>
      <c r="G88" s="2" t="s">
        <v>2989</v>
      </c>
      <c r="H88" s="2" t="s">
        <v>2990</v>
      </c>
      <c r="I88" s="2">
        <v>1269373</v>
      </c>
      <c r="J88" s="2" t="s">
        <v>207</v>
      </c>
      <c r="K88" s="2"/>
      <c r="L88" s="2" t="s">
        <v>152</v>
      </c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x14ac:dyDescent="0.25">
      <c r="A89" s="2" t="s">
        <v>2991</v>
      </c>
      <c r="B89" s="2" t="s">
        <v>129</v>
      </c>
      <c r="C89" s="1">
        <v>44267</v>
      </c>
      <c r="D89" s="2" t="s">
        <v>130</v>
      </c>
      <c r="E89" s="2" t="s">
        <v>130</v>
      </c>
      <c r="F89" s="2" t="s">
        <v>150</v>
      </c>
      <c r="G89" s="2" t="s">
        <v>2992</v>
      </c>
      <c r="H89" s="2" t="s">
        <v>2993</v>
      </c>
      <c r="I89" s="2">
        <v>297587</v>
      </c>
      <c r="J89" s="2" t="s">
        <v>151</v>
      </c>
      <c r="K89" s="2"/>
      <c r="L89" s="2" t="s">
        <v>152</v>
      </c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x14ac:dyDescent="0.25">
      <c r="A90" s="2" t="s">
        <v>2994</v>
      </c>
      <c r="B90" s="2" t="s">
        <v>134</v>
      </c>
      <c r="C90" s="1">
        <v>44267</v>
      </c>
      <c r="D90" s="2" t="s">
        <v>130</v>
      </c>
      <c r="E90" s="2" t="s">
        <v>130</v>
      </c>
      <c r="F90" s="2" t="s">
        <v>131</v>
      </c>
      <c r="G90" s="2" t="s">
        <v>2995</v>
      </c>
      <c r="H90" s="2" t="s">
        <v>2996</v>
      </c>
      <c r="I90" s="2">
        <v>299360</v>
      </c>
      <c r="J90" s="2" t="s">
        <v>132</v>
      </c>
      <c r="K90" s="2"/>
      <c r="L90" s="2" t="s">
        <v>133</v>
      </c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x14ac:dyDescent="0.25">
      <c r="A91" s="2" t="s">
        <v>2997</v>
      </c>
      <c r="B91" s="2" t="s">
        <v>129</v>
      </c>
      <c r="C91" s="1">
        <v>44267</v>
      </c>
      <c r="D91" s="2" t="s">
        <v>130</v>
      </c>
      <c r="E91" s="2" t="s">
        <v>130</v>
      </c>
      <c r="F91" s="2" t="s">
        <v>400</v>
      </c>
      <c r="G91" s="2" t="s">
        <v>2998</v>
      </c>
      <c r="H91" s="2" t="s">
        <v>2999</v>
      </c>
      <c r="I91" s="2">
        <v>1269381</v>
      </c>
      <c r="J91" s="2" t="s">
        <v>401</v>
      </c>
      <c r="K91" s="2"/>
      <c r="L91" s="2" t="s">
        <v>142</v>
      </c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x14ac:dyDescent="0.25">
      <c r="A92" s="2" t="s">
        <v>3000</v>
      </c>
      <c r="B92" s="2" t="s">
        <v>129</v>
      </c>
      <c r="C92" s="1">
        <v>44267</v>
      </c>
      <c r="D92" s="2" t="s">
        <v>130</v>
      </c>
      <c r="E92" s="2" t="s">
        <v>130</v>
      </c>
      <c r="F92" s="2" t="s">
        <v>400</v>
      </c>
      <c r="G92" s="2" t="s">
        <v>3001</v>
      </c>
      <c r="H92" s="2" t="s">
        <v>3002</v>
      </c>
      <c r="I92" s="2">
        <v>1269382</v>
      </c>
      <c r="J92" s="2" t="s">
        <v>401</v>
      </c>
      <c r="K92" s="2"/>
      <c r="L92" s="2" t="s">
        <v>142</v>
      </c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x14ac:dyDescent="0.25">
      <c r="A93" s="2" t="s">
        <v>3003</v>
      </c>
      <c r="B93" s="2" t="s">
        <v>129</v>
      </c>
      <c r="C93" s="1">
        <v>44267</v>
      </c>
      <c r="D93" s="2" t="s">
        <v>130</v>
      </c>
      <c r="E93" s="2" t="s">
        <v>130</v>
      </c>
      <c r="F93" s="2" t="s">
        <v>400</v>
      </c>
      <c r="G93" s="2" t="s">
        <v>3004</v>
      </c>
      <c r="H93" s="2" t="s">
        <v>3005</v>
      </c>
      <c r="I93" s="2">
        <v>1269383</v>
      </c>
      <c r="J93" s="2" t="s">
        <v>401</v>
      </c>
      <c r="K93" s="2"/>
      <c r="L93" s="2" t="s">
        <v>142</v>
      </c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x14ac:dyDescent="0.25">
      <c r="A94" s="2" t="s">
        <v>3006</v>
      </c>
      <c r="B94" s="2" t="s">
        <v>129</v>
      </c>
      <c r="C94" s="1">
        <v>44267</v>
      </c>
      <c r="D94" s="2" t="s">
        <v>130</v>
      </c>
      <c r="E94" s="2" t="s">
        <v>130</v>
      </c>
      <c r="F94" s="2" t="s">
        <v>400</v>
      </c>
      <c r="G94" s="2" t="s">
        <v>3007</v>
      </c>
      <c r="H94" s="2" t="s">
        <v>3008</v>
      </c>
      <c r="I94" s="2">
        <v>1269384</v>
      </c>
      <c r="J94" s="2" t="s">
        <v>401</v>
      </c>
      <c r="K94" s="2"/>
      <c r="L94" s="2" t="s">
        <v>142</v>
      </c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x14ac:dyDescent="0.25">
      <c r="A95" s="2" t="s">
        <v>3009</v>
      </c>
      <c r="B95" s="2" t="s">
        <v>129</v>
      </c>
      <c r="C95" s="1">
        <v>44267</v>
      </c>
      <c r="D95" s="2" t="s">
        <v>130</v>
      </c>
      <c r="E95" s="2" t="s">
        <v>130</v>
      </c>
      <c r="F95" s="2" t="s">
        <v>290</v>
      </c>
      <c r="G95" s="2" t="s">
        <v>3010</v>
      </c>
      <c r="H95" s="2" t="s">
        <v>2866</v>
      </c>
      <c r="I95" s="2">
        <v>300555</v>
      </c>
      <c r="J95" s="2" t="s">
        <v>288</v>
      </c>
      <c r="K95" s="2"/>
      <c r="L95" s="2" t="s">
        <v>289</v>
      </c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x14ac:dyDescent="0.25">
      <c r="A96" s="2" t="s">
        <v>3011</v>
      </c>
      <c r="B96" s="2" t="s">
        <v>129</v>
      </c>
      <c r="C96" s="1">
        <v>44267</v>
      </c>
      <c r="D96" s="2" t="s">
        <v>130</v>
      </c>
      <c r="E96" s="2" t="s">
        <v>130</v>
      </c>
      <c r="F96" s="2" t="s">
        <v>287</v>
      </c>
      <c r="G96" s="2" t="s">
        <v>338</v>
      </c>
      <c r="H96" s="2" t="s">
        <v>2860</v>
      </c>
      <c r="I96" s="2">
        <v>300556</v>
      </c>
      <c r="J96" s="2" t="s">
        <v>288</v>
      </c>
      <c r="K96" s="2"/>
      <c r="L96" s="2" t="s">
        <v>289</v>
      </c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x14ac:dyDescent="0.25">
      <c r="A97" s="2" t="s">
        <v>3012</v>
      </c>
      <c r="B97" s="2" t="s">
        <v>129</v>
      </c>
      <c r="C97" s="1">
        <v>44267</v>
      </c>
      <c r="D97" s="2" t="s">
        <v>130</v>
      </c>
      <c r="E97" s="2" t="s">
        <v>130</v>
      </c>
      <c r="F97" s="2" t="s">
        <v>290</v>
      </c>
      <c r="G97" s="2" t="s">
        <v>3013</v>
      </c>
      <c r="H97" s="2" t="s">
        <v>2875</v>
      </c>
      <c r="I97" s="2">
        <v>300557</v>
      </c>
      <c r="J97" s="2" t="s">
        <v>288</v>
      </c>
      <c r="K97" s="2"/>
      <c r="L97" s="2" t="s">
        <v>289</v>
      </c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x14ac:dyDescent="0.25">
      <c r="A98" s="2" t="s">
        <v>3014</v>
      </c>
      <c r="B98" s="2" t="s">
        <v>129</v>
      </c>
      <c r="C98" s="1">
        <v>44267</v>
      </c>
      <c r="D98" s="2" t="s">
        <v>130</v>
      </c>
      <c r="E98" s="2" t="s">
        <v>130</v>
      </c>
      <c r="F98" s="2" t="s">
        <v>147</v>
      </c>
      <c r="G98" s="2" t="s">
        <v>3015</v>
      </c>
      <c r="H98" s="2" t="s">
        <v>3016</v>
      </c>
      <c r="I98" s="2">
        <v>269397</v>
      </c>
      <c r="J98" s="2" t="s">
        <v>148</v>
      </c>
      <c r="K98" s="2"/>
      <c r="L98" s="2" t="s">
        <v>149</v>
      </c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x14ac:dyDescent="0.25">
      <c r="A99" s="2" t="s">
        <v>3017</v>
      </c>
      <c r="B99" s="2" t="s">
        <v>134</v>
      </c>
      <c r="C99" s="1">
        <v>44267</v>
      </c>
      <c r="D99" s="2" t="s">
        <v>130</v>
      </c>
      <c r="E99" s="2" t="s">
        <v>130</v>
      </c>
      <c r="F99" s="2" t="s">
        <v>312</v>
      </c>
      <c r="G99" s="2" t="s">
        <v>3018</v>
      </c>
      <c r="H99" s="2" t="s">
        <v>3019</v>
      </c>
      <c r="I99" s="2">
        <v>300658</v>
      </c>
      <c r="J99" s="2" t="s">
        <v>228</v>
      </c>
      <c r="K99" s="2"/>
      <c r="L99" s="2" t="s">
        <v>314</v>
      </c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x14ac:dyDescent="0.25">
      <c r="A100" s="2" t="s">
        <v>3020</v>
      </c>
      <c r="B100" s="2" t="s">
        <v>134</v>
      </c>
      <c r="C100" s="1">
        <v>44267</v>
      </c>
      <c r="D100" s="2" t="s">
        <v>130</v>
      </c>
      <c r="E100" s="2" t="s">
        <v>130</v>
      </c>
      <c r="F100" s="2" t="s">
        <v>330</v>
      </c>
      <c r="G100" s="2" t="s">
        <v>3021</v>
      </c>
      <c r="H100" s="2" t="s">
        <v>3022</v>
      </c>
      <c r="I100" s="2">
        <v>293981</v>
      </c>
      <c r="J100" s="2" t="s">
        <v>332</v>
      </c>
      <c r="K100" s="2"/>
      <c r="L100" s="2" t="s">
        <v>309</v>
      </c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x14ac:dyDescent="0.25">
      <c r="A101" s="2" t="s">
        <v>3023</v>
      </c>
      <c r="B101" s="2" t="s">
        <v>129</v>
      </c>
      <c r="C101" s="1">
        <v>44267</v>
      </c>
      <c r="D101" s="2" t="s">
        <v>130</v>
      </c>
      <c r="E101" s="2" t="s">
        <v>130</v>
      </c>
      <c r="F101" s="2" t="s">
        <v>204</v>
      </c>
      <c r="G101" s="2" t="s">
        <v>3024</v>
      </c>
      <c r="H101" s="2" t="s">
        <v>3025</v>
      </c>
      <c r="I101" s="2">
        <v>298117</v>
      </c>
      <c r="J101" s="2" t="s">
        <v>148</v>
      </c>
      <c r="K101" s="2"/>
      <c r="L101" s="2" t="s">
        <v>205</v>
      </c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x14ac:dyDescent="0.25">
      <c r="A102" s="2" t="s">
        <v>3026</v>
      </c>
      <c r="B102" s="2" t="s">
        <v>134</v>
      </c>
      <c r="C102" s="1">
        <v>44267</v>
      </c>
      <c r="D102" s="2" t="s">
        <v>130</v>
      </c>
      <c r="E102" s="2" t="s">
        <v>130</v>
      </c>
      <c r="F102" s="2" t="s">
        <v>330</v>
      </c>
      <c r="G102" s="2" t="s">
        <v>3027</v>
      </c>
      <c r="H102" s="2" t="s">
        <v>3028</v>
      </c>
      <c r="I102" s="2">
        <v>296338</v>
      </c>
      <c r="J102" s="2" t="s">
        <v>332</v>
      </c>
      <c r="K102" s="2"/>
      <c r="L102" s="2" t="s">
        <v>309</v>
      </c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x14ac:dyDescent="0.25">
      <c r="A103" s="2" t="s">
        <v>3029</v>
      </c>
      <c r="B103" s="2" t="s">
        <v>134</v>
      </c>
      <c r="C103" s="1">
        <v>44267</v>
      </c>
      <c r="D103" s="2" t="s">
        <v>130</v>
      </c>
      <c r="E103" s="2" t="s">
        <v>130</v>
      </c>
      <c r="F103" s="2" t="s">
        <v>738</v>
      </c>
      <c r="G103" s="2" t="s">
        <v>3030</v>
      </c>
      <c r="H103" s="2" t="s">
        <v>3031</v>
      </c>
      <c r="I103" s="2">
        <v>108008</v>
      </c>
      <c r="J103" s="2" t="s">
        <v>2720</v>
      </c>
      <c r="K103" s="2"/>
      <c r="L103" s="2" t="s">
        <v>296</v>
      </c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x14ac:dyDescent="0.25">
      <c r="A104" s="2" t="s">
        <v>3032</v>
      </c>
      <c r="B104" s="2" t="s">
        <v>134</v>
      </c>
      <c r="C104" s="1">
        <v>44268</v>
      </c>
      <c r="D104" s="2" t="s">
        <v>130</v>
      </c>
      <c r="E104" s="2" t="s">
        <v>130</v>
      </c>
      <c r="F104" s="2" t="s">
        <v>409</v>
      </c>
      <c r="G104" s="2" t="s">
        <v>3033</v>
      </c>
      <c r="H104" s="2" t="s">
        <v>3034</v>
      </c>
      <c r="I104" s="2">
        <v>262643</v>
      </c>
      <c r="J104" s="2" t="s">
        <v>2711</v>
      </c>
      <c r="K104" s="2"/>
      <c r="L104" s="2" t="s">
        <v>202</v>
      </c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x14ac:dyDescent="0.25">
      <c r="A105" s="2" t="s">
        <v>3035</v>
      </c>
      <c r="B105" s="2" t="s">
        <v>129</v>
      </c>
      <c r="C105" s="1">
        <v>44268</v>
      </c>
      <c r="D105" s="2" t="s">
        <v>130</v>
      </c>
      <c r="E105" s="2" t="s">
        <v>130</v>
      </c>
      <c r="F105" s="2" t="s">
        <v>150</v>
      </c>
      <c r="G105" s="2" t="s">
        <v>329</v>
      </c>
      <c r="H105" s="2" t="s">
        <v>3036</v>
      </c>
      <c r="I105" s="2">
        <v>300241</v>
      </c>
      <c r="J105" s="2" t="s">
        <v>151</v>
      </c>
      <c r="K105" s="2"/>
      <c r="L105" s="2" t="s">
        <v>152</v>
      </c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x14ac:dyDescent="0.25">
      <c r="A106" s="2" t="s">
        <v>3037</v>
      </c>
      <c r="B106" s="2" t="s">
        <v>129</v>
      </c>
      <c r="C106" s="1">
        <v>44268</v>
      </c>
      <c r="D106" s="2" t="s">
        <v>130</v>
      </c>
      <c r="E106" s="2" t="s">
        <v>130</v>
      </c>
      <c r="F106" s="2" t="s">
        <v>344</v>
      </c>
      <c r="G106" s="2" t="s">
        <v>3038</v>
      </c>
      <c r="H106" s="2" t="s">
        <v>3039</v>
      </c>
      <c r="I106" s="2">
        <v>1269426</v>
      </c>
      <c r="J106" s="2" t="s">
        <v>345</v>
      </c>
      <c r="K106" s="2"/>
      <c r="L106" s="2" t="s">
        <v>152</v>
      </c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x14ac:dyDescent="0.25">
      <c r="A107" s="2" t="s">
        <v>3040</v>
      </c>
      <c r="B107" s="2" t="s">
        <v>129</v>
      </c>
      <c r="C107" s="1">
        <v>44268</v>
      </c>
      <c r="D107" s="2" t="s">
        <v>130</v>
      </c>
      <c r="E107" s="2" t="s">
        <v>130</v>
      </c>
      <c r="F107" s="2" t="s">
        <v>206</v>
      </c>
      <c r="G107" s="2" t="s">
        <v>2722</v>
      </c>
      <c r="H107" s="2" t="s">
        <v>3041</v>
      </c>
      <c r="I107" s="2">
        <v>1269432</v>
      </c>
      <c r="J107" s="2" t="s">
        <v>207</v>
      </c>
      <c r="K107" s="2"/>
      <c r="L107" s="2" t="s">
        <v>152</v>
      </c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x14ac:dyDescent="0.25">
      <c r="A108" s="2" t="s">
        <v>3042</v>
      </c>
      <c r="B108" s="2" t="s">
        <v>129</v>
      </c>
      <c r="C108" s="1">
        <v>44268</v>
      </c>
      <c r="D108" s="2" t="s">
        <v>130</v>
      </c>
      <c r="E108" s="2" t="s">
        <v>130</v>
      </c>
      <c r="F108" s="2" t="s">
        <v>326</v>
      </c>
      <c r="G108" s="2" t="s">
        <v>570</v>
      </c>
      <c r="H108" s="2" t="s">
        <v>3043</v>
      </c>
      <c r="I108" s="2">
        <v>1269434</v>
      </c>
      <c r="J108" s="2" t="s">
        <v>132</v>
      </c>
      <c r="K108" s="2"/>
      <c r="L108" s="2" t="s">
        <v>328</v>
      </c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x14ac:dyDescent="0.25">
      <c r="A109" s="2" t="s">
        <v>3044</v>
      </c>
      <c r="B109" s="2" t="s">
        <v>129</v>
      </c>
      <c r="C109" s="1">
        <v>44268</v>
      </c>
      <c r="D109" s="2" t="s">
        <v>130</v>
      </c>
      <c r="E109" s="2" t="s">
        <v>130</v>
      </c>
      <c r="F109" s="2" t="s">
        <v>513</v>
      </c>
      <c r="G109" s="2" t="s">
        <v>514</v>
      </c>
      <c r="H109" s="2" t="s">
        <v>3045</v>
      </c>
      <c r="I109" s="2">
        <v>289346</v>
      </c>
      <c r="J109" s="2" t="s">
        <v>515</v>
      </c>
      <c r="K109" s="2"/>
      <c r="L109" s="2" t="s">
        <v>138</v>
      </c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x14ac:dyDescent="0.25">
      <c r="A110" s="2" t="s">
        <v>3046</v>
      </c>
      <c r="B110" s="2" t="s">
        <v>129</v>
      </c>
      <c r="C110" s="1">
        <v>44268</v>
      </c>
      <c r="D110" s="2" t="s">
        <v>130</v>
      </c>
      <c r="E110" s="2" t="s">
        <v>130</v>
      </c>
      <c r="F110" s="2" t="s">
        <v>3047</v>
      </c>
      <c r="G110" s="2" t="s">
        <v>3048</v>
      </c>
      <c r="H110" s="2" t="s">
        <v>3049</v>
      </c>
      <c r="I110" s="2">
        <v>1235765</v>
      </c>
      <c r="J110" s="2" t="s">
        <v>3050</v>
      </c>
      <c r="K110" s="2"/>
      <c r="L110" s="2" t="s">
        <v>138</v>
      </c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x14ac:dyDescent="0.25">
      <c r="A111" s="2" t="s">
        <v>3051</v>
      </c>
      <c r="B111" s="2" t="s">
        <v>129</v>
      </c>
      <c r="C111" s="1">
        <v>44268</v>
      </c>
      <c r="D111" s="2" t="s">
        <v>130</v>
      </c>
      <c r="E111" s="2" t="s">
        <v>130</v>
      </c>
      <c r="F111" s="2" t="s">
        <v>3052</v>
      </c>
      <c r="G111" s="2" t="s">
        <v>3053</v>
      </c>
      <c r="H111" s="2" t="s">
        <v>3054</v>
      </c>
      <c r="I111" s="2">
        <v>1112653</v>
      </c>
      <c r="J111" s="2" t="s">
        <v>3055</v>
      </c>
      <c r="K111" s="2"/>
      <c r="L111" s="2" t="s">
        <v>138</v>
      </c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x14ac:dyDescent="0.25">
      <c r="A112" s="2" t="s">
        <v>3056</v>
      </c>
      <c r="B112" s="2" t="s">
        <v>129</v>
      </c>
      <c r="C112" s="1">
        <v>44268</v>
      </c>
      <c r="D112" s="2" t="s">
        <v>130</v>
      </c>
      <c r="E112" s="2" t="s">
        <v>130</v>
      </c>
      <c r="F112" s="2" t="s">
        <v>262</v>
      </c>
      <c r="G112" s="2" t="s">
        <v>136</v>
      </c>
      <c r="H112" s="2" t="s">
        <v>3057</v>
      </c>
      <c r="I112" s="2">
        <v>301268</v>
      </c>
      <c r="J112" s="2" t="s">
        <v>263</v>
      </c>
      <c r="K112" s="2"/>
      <c r="L112" s="2" t="s">
        <v>264</v>
      </c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x14ac:dyDescent="0.25">
      <c r="A113" s="2" t="s">
        <v>3058</v>
      </c>
      <c r="B113" s="2" t="s">
        <v>129</v>
      </c>
      <c r="C113" s="1">
        <v>44268</v>
      </c>
      <c r="D113" s="2" t="s">
        <v>130</v>
      </c>
      <c r="E113" s="2" t="s">
        <v>130</v>
      </c>
      <c r="F113" s="2" t="s">
        <v>3059</v>
      </c>
      <c r="G113" s="2" t="s">
        <v>3060</v>
      </c>
      <c r="H113" s="2" t="s">
        <v>3061</v>
      </c>
      <c r="I113" s="2">
        <v>1119341</v>
      </c>
      <c r="J113" s="2" t="s">
        <v>3062</v>
      </c>
      <c r="K113" s="2"/>
      <c r="L113" s="2" t="s">
        <v>138</v>
      </c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x14ac:dyDescent="0.25">
      <c r="A114" s="2" t="s">
        <v>3063</v>
      </c>
      <c r="B114" s="2" t="s">
        <v>129</v>
      </c>
      <c r="C114" s="1">
        <v>44268</v>
      </c>
      <c r="D114" s="2" t="s">
        <v>130</v>
      </c>
      <c r="E114" s="2" t="s">
        <v>130</v>
      </c>
      <c r="F114" s="2" t="s">
        <v>3064</v>
      </c>
      <c r="G114" s="2" t="s">
        <v>3065</v>
      </c>
      <c r="H114" s="2" t="s">
        <v>3066</v>
      </c>
      <c r="I114" s="2">
        <v>1107767</v>
      </c>
      <c r="J114" s="2" t="s">
        <v>3067</v>
      </c>
      <c r="K114" s="2"/>
      <c r="L114" s="2" t="s">
        <v>138</v>
      </c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x14ac:dyDescent="0.25">
      <c r="A115" s="2" t="s">
        <v>3068</v>
      </c>
      <c r="B115" s="2" t="s">
        <v>129</v>
      </c>
      <c r="C115" s="1">
        <v>44268</v>
      </c>
      <c r="D115" s="2" t="s">
        <v>130</v>
      </c>
      <c r="E115" s="2" t="s">
        <v>130</v>
      </c>
      <c r="F115" s="2" t="s">
        <v>147</v>
      </c>
      <c r="G115" s="2" t="s">
        <v>3069</v>
      </c>
      <c r="H115" s="2" t="s">
        <v>3070</v>
      </c>
      <c r="I115" s="2">
        <v>292245</v>
      </c>
      <c r="J115" s="2" t="s">
        <v>148</v>
      </c>
      <c r="K115" s="2"/>
      <c r="L115" s="2" t="s">
        <v>149</v>
      </c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x14ac:dyDescent="0.25">
      <c r="A116" s="2" t="s">
        <v>3071</v>
      </c>
      <c r="B116" s="2" t="s">
        <v>129</v>
      </c>
      <c r="C116" s="1">
        <v>44268</v>
      </c>
      <c r="D116" s="2" t="s">
        <v>130</v>
      </c>
      <c r="E116" s="2" t="s">
        <v>130</v>
      </c>
      <c r="F116" s="2" t="s">
        <v>3072</v>
      </c>
      <c r="G116" s="2" t="s">
        <v>3073</v>
      </c>
      <c r="H116" s="2" t="s">
        <v>3074</v>
      </c>
      <c r="I116" s="2">
        <v>1114783</v>
      </c>
      <c r="J116" s="2" t="s">
        <v>3075</v>
      </c>
      <c r="K116" s="2"/>
      <c r="L116" s="2" t="s">
        <v>138</v>
      </c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x14ac:dyDescent="0.25">
      <c r="A117" s="2" t="s">
        <v>3076</v>
      </c>
      <c r="B117" s="2" t="s">
        <v>129</v>
      </c>
      <c r="C117" s="1">
        <v>44268</v>
      </c>
      <c r="D117" s="2" t="s">
        <v>130</v>
      </c>
      <c r="E117" s="2" t="s">
        <v>130</v>
      </c>
      <c r="F117" s="2" t="s">
        <v>204</v>
      </c>
      <c r="G117" s="2" t="s">
        <v>3077</v>
      </c>
      <c r="H117" s="2" t="s">
        <v>3078</v>
      </c>
      <c r="I117" s="2">
        <v>285261</v>
      </c>
      <c r="J117" s="2" t="s">
        <v>148</v>
      </c>
      <c r="K117" s="2"/>
      <c r="L117" s="2" t="s">
        <v>205</v>
      </c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x14ac:dyDescent="0.25">
      <c r="A118" s="2" t="s">
        <v>3079</v>
      </c>
      <c r="B118" s="2" t="s">
        <v>512</v>
      </c>
      <c r="C118" s="1">
        <v>44268</v>
      </c>
      <c r="D118" s="2" t="s">
        <v>130</v>
      </c>
      <c r="E118" s="2" t="s">
        <v>130</v>
      </c>
      <c r="F118" s="2" t="s">
        <v>3080</v>
      </c>
      <c r="G118" s="2" t="s">
        <v>3081</v>
      </c>
      <c r="H118" s="2" t="s">
        <v>1</v>
      </c>
      <c r="I118" s="2">
        <v>1114784</v>
      </c>
      <c r="J118" s="2" t="s">
        <v>3082</v>
      </c>
      <c r="K118" s="2"/>
      <c r="L118" s="2" t="s">
        <v>138</v>
      </c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x14ac:dyDescent="0.25">
      <c r="A119" s="2" t="s">
        <v>3083</v>
      </c>
      <c r="B119" s="2" t="s">
        <v>129</v>
      </c>
      <c r="C119" s="1">
        <v>44268</v>
      </c>
      <c r="D119" s="2" t="s">
        <v>130</v>
      </c>
      <c r="E119" s="2" t="s">
        <v>130</v>
      </c>
      <c r="F119" s="2" t="s">
        <v>144</v>
      </c>
      <c r="G119" s="2" t="s">
        <v>2756</v>
      </c>
      <c r="H119" s="2" t="s">
        <v>3084</v>
      </c>
      <c r="I119" s="2">
        <v>300722</v>
      </c>
      <c r="J119" s="2" t="s">
        <v>145</v>
      </c>
      <c r="K119" s="2"/>
      <c r="L119" s="2" t="s">
        <v>146</v>
      </c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x14ac:dyDescent="0.25">
      <c r="A120" s="2" t="s">
        <v>3085</v>
      </c>
      <c r="B120" s="2" t="s">
        <v>129</v>
      </c>
      <c r="C120" s="1">
        <v>44268</v>
      </c>
      <c r="D120" s="2" t="s">
        <v>130</v>
      </c>
      <c r="E120" s="2" t="s">
        <v>130</v>
      </c>
      <c r="F120" s="2" t="s">
        <v>144</v>
      </c>
      <c r="G120" s="2" t="s">
        <v>3086</v>
      </c>
      <c r="H120" s="2" t="s">
        <v>3087</v>
      </c>
      <c r="I120" s="2">
        <v>300818</v>
      </c>
      <c r="J120" s="2" t="s">
        <v>145</v>
      </c>
      <c r="K120" s="2"/>
      <c r="L120" s="2" t="s">
        <v>146</v>
      </c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x14ac:dyDescent="0.25">
      <c r="A121" s="2" t="s">
        <v>3088</v>
      </c>
      <c r="B121" s="2" t="s">
        <v>129</v>
      </c>
      <c r="C121" s="1">
        <v>44268</v>
      </c>
      <c r="D121" s="2" t="s">
        <v>130</v>
      </c>
      <c r="E121" s="2" t="s">
        <v>130</v>
      </c>
      <c r="F121" s="2" t="s">
        <v>150</v>
      </c>
      <c r="G121" s="2" t="s">
        <v>422</v>
      </c>
      <c r="H121" s="2" t="s">
        <v>3089</v>
      </c>
      <c r="I121" s="2">
        <v>1269491</v>
      </c>
      <c r="J121" s="2" t="s">
        <v>151</v>
      </c>
      <c r="K121" s="2"/>
      <c r="L121" s="2" t="s">
        <v>152</v>
      </c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x14ac:dyDescent="0.25">
      <c r="A122" s="2" t="s">
        <v>3090</v>
      </c>
      <c r="B122" s="2" t="s">
        <v>129</v>
      </c>
      <c r="C122" s="1">
        <v>44269</v>
      </c>
      <c r="D122" s="2" t="s">
        <v>130</v>
      </c>
      <c r="E122" s="2" t="s">
        <v>130</v>
      </c>
      <c r="F122" s="2" t="s">
        <v>206</v>
      </c>
      <c r="G122" s="2" t="s">
        <v>222</v>
      </c>
      <c r="H122" s="2" t="s">
        <v>3091</v>
      </c>
      <c r="I122" s="2">
        <v>1269536</v>
      </c>
      <c r="J122" s="2" t="s">
        <v>207</v>
      </c>
      <c r="K122" s="2"/>
      <c r="L122" s="2" t="s">
        <v>152</v>
      </c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x14ac:dyDescent="0.25">
      <c r="A123" s="2" t="s">
        <v>3092</v>
      </c>
      <c r="B123" s="2" t="s">
        <v>129</v>
      </c>
      <c r="C123" s="1">
        <v>44269</v>
      </c>
      <c r="D123" s="2" t="s">
        <v>130</v>
      </c>
      <c r="E123" s="2" t="s">
        <v>130</v>
      </c>
      <c r="F123" s="2" t="s">
        <v>326</v>
      </c>
      <c r="G123" s="2" t="s">
        <v>407</v>
      </c>
      <c r="H123" s="2" t="s">
        <v>3093</v>
      </c>
      <c r="I123" s="2">
        <v>1269542</v>
      </c>
      <c r="J123" s="2" t="s">
        <v>132</v>
      </c>
      <c r="K123" s="2"/>
      <c r="L123" s="2" t="s">
        <v>328</v>
      </c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x14ac:dyDescent="0.25">
      <c r="A124" s="2" t="s">
        <v>3094</v>
      </c>
      <c r="B124" s="2" t="s">
        <v>129</v>
      </c>
      <c r="C124" s="1">
        <v>44269</v>
      </c>
      <c r="D124" s="2" t="s">
        <v>130</v>
      </c>
      <c r="E124" s="2" t="s">
        <v>130</v>
      </c>
      <c r="F124" s="2" t="s">
        <v>139</v>
      </c>
      <c r="G124" s="2" t="s">
        <v>3095</v>
      </c>
      <c r="H124" s="2" t="s">
        <v>3008</v>
      </c>
      <c r="I124" s="2">
        <v>301800</v>
      </c>
      <c r="J124" s="2" t="s">
        <v>141</v>
      </c>
      <c r="K124" s="2"/>
      <c r="L124" s="2" t="s">
        <v>142</v>
      </c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x14ac:dyDescent="0.25">
      <c r="A125" s="2" t="s">
        <v>3096</v>
      </c>
      <c r="B125" s="2" t="s">
        <v>212</v>
      </c>
      <c r="C125" s="1">
        <v>44269</v>
      </c>
      <c r="D125" s="2" t="s">
        <v>130</v>
      </c>
      <c r="E125" s="2" t="s">
        <v>130</v>
      </c>
      <c r="F125" s="2" t="s">
        <v>139</v>
      </c>
      <c r="G125" s="2" t="s">
        <v>3097</v>
      </c>
      <c r="H125" s="2" t="s">
        <v>3002</v>
      </c>
      <c r="I125" s="2">
        <v>301827</v>
      </c>
      <c r="J125" s="2" t="s">
        <v>141</v>
      </c>
      <c r="K125" s="2"/>
      <c r="L125" s="2" t="s">
        <v>142</v>
      </c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x14ac:dyDescent="0.25">
      <c r="A126" s="2" t="s">
        <v>3098</v>
      </c>
      <c r="B126" s="2" t="s">
        <v>129</v>
      </c>
      <c r="C126" s="1">
        <v>44269</v>
      </c>
      <c r="D126" s="2" t="s">
        <v>130</v>
      </c>
      <c r="E126" s="2" t="s">
        <v>130</v>
      </c>
      <c r="F126" s="2" t="s">
        <v>139</v>
      </c>
      <c r="G126" s="2" t="s">
        <v>3099</v>
      </c>
      <c r="H126" s="2" t="s">
        <v>3005</v>
      </c>
      <c r="I126" s="2">
        <v>301828</v>
      </c>
      <c r="J126" s="2" t="s">
        <v>141</v>
      </c>
      <c r="K126" s="2"/>
      <c r="L126" s="2" t="s">
        <v>142</v>
      </c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x14ac:dyDescent="0.25">
      <c r="A127" s="2" t="s">
        <v>3100</v>
      </c>
      <c r="B127" s="2" t="s">
        <v>212</v>
      </c>
      <c r="C127" s="1">
        <v>44269</v>
      </c>
      <c r="D127" s="2" t="s">
        <v>130</v>
      </c>
      <c r="E127" s="2" t="s">
        <v>130</v>
      </c>
      <c r="F127" s="2" t="s">
        <v>139</v>
      </c>
      <c r="G127" s="2" t="s">
        <v>3101</v>
      </c>
      <c r="H127" s="2" t="s">
        <v>2999</v>
      </c>
      <c r="I127" s="2">
        <v>301829</v>
      </c>
      <c r="J127" s="2" t="s">
        <v>141</v>
      </c>
      <c r="K127" s="2"/>
      <c r="L127" s="2" t="s">
        <v>142</v>
      </c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x14ac:dyDescent="0.25">
      <c r="A128" s="2" t="s">
        <v>3102</v>
      </c>
      <c r="B128" s="2" t="s">
        <v>129</v>
      </c>
      <c r="C128" s="1">
        <v>44269</v>
      </c>
      <c r="D128" s="2" t="s">
        <v>130</v>
      </c>
      <c r="E128" s="2" t="s">
        <v>130</v>
      </c>
      <c r="F128" s="2" t="s">
        <v>209</v>
      </c>
      <c r="G128" s="2" t="s">
        <v>278</v>
      </c>
      <c r="H128" s="2" t="s">
        <v>3103</v>
      </c>
      <c r="I128" s="2">
        <v>270601</v>
      </c>
      <c r="J128" s="2" t="s">
        <v>210</v>
      </c>
      <c r="K128" s="2"/>
      <c r="L128" s="2" t="s">
        <v>211</v>
      </c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x14ac:dyDescent="0.25">
      <c r="A129" s="2" t="s">
        <v>3104</v>
      </c>
      <c r="B129" s="2" t="s">
        <v>129</v>
      </c>
      <c r="C129" s="1">
        <v>44269</v>
      </c>
      <c r="D129" s="2" t="s">
        <v>130</v>
      </c>
      <c r="E129" s="2" t="s">
        <v>130</v>
      </c>
      <c r="F129" s="2" t="s">
        <v>209</v>
      </c>
      <c r="G129" s="2" t="s">
        <v>277</v>
      </c>
      <c r="H129" s="2" t="s">
        <v>3105</v>
      </c>
      <c r="I129" s="2">
        <v>270609</v>
      </c>
      <c r="J129" s="2" t="s">
        <v>210</v>
      </c>
      <c r="K129" s="2"/>
      <c r="L129" s="2" t="s">
        <v>211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x14ac:dyDescent="0.25">
      <c r="A130" s="2" t="s">
        <v>3106</v>
      </c>
      <c r="B130" s="2" t="s">
        <v>512</v>
      </c>
      <c r="C130" s="1">
        <v>44269</v>
      </c>
      <c r="D130" s="2" t="s">
        <v>130</v>
      </c>
      <c r="E130" s="2" t="s">
        <v>130</v>
      </c>
      <c r="F130" s="2" t="s">
        <v>139</v>
      </c>
      <c r="G130" s="2" t="s">
        <v>3097</v>
      </c>
      <c r="H130" s="2" t="s">
        <v>1</v>
      </c>
      <c r="I130" s="2">
        <v>301827</v>
      </c>
      <c r="J130" s="2" t="s">
        <v>141</v>
      </c>
      <c r="K130" s="2"/>
      <c r="L130" s="2" t="s">
        <v>142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x14ac:dyDescent="0.25">
      <c r="A131" s="2" t="s">
        <v>3107</v>
      </c>
      <c r="B131" s="2" t="s">
        <v>512</v>
      </c>
      <c r="C131" s="1">
        <v>44269</v>
      </c>
      <c r="D131" s="2" t="s">
        <v>130</v>
      </c>
      <c r="E131" s="2" t="s">
        <v>130</v>
      </c>
      <c r="F131" s="2" t="s">
        <v>139</v>
      </c>
      <c r="G131" s="2" t="s">
        <v>3101</v>
      </c>
      <c r="H131" s="2" t="s">
        <v>1</v>
      </c>
      <c r="I131" s="2">
        <v>301829</v>
      </c>
      <c r="J131" s="2" t="s">
        <v>141</v>
      </c>
      <c r="K131" s="2"/>
      <c r="L131" s="2" t="s">
        <v>142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x14ac:dyDescent="0.25">
      <c r="A132" s="2" t="s">
        <v>3108</v>
      </c>
      <c r="B132" s="2" t="s">
        <v>129</v>
      </c>
      <c r="C132" s="1">
        <v>44270</v>
      </c>
      <c r="D132" s="2" t="s">
        <v>130</v>
      </c>
      <c r="E132" s="2" t="s">
        <v>130</v>
      </c>
      <c r="F132" s="2" t="s">
        <v>131</v>
      </c>
      <c r="G132" s="2" t="s">
        <v>3109</v>
      </c>
      <c r="H132" s="2" t="s">
        <v>3110</v>
      </c>
      <c r="I132" s="2">
        <v>1269665</v>
      </c>
      <c r="J132" s="2" t="s">
        <v>132</v>
      </c>
      <c r="K132" s="2"/>
      <c r="L132" s="2" t="s">
        <v>133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x14ac:dyDescent="0.25">
      <c r="A133" s="2" t="s">
        <v>3111</v>
      </c>
      <c r="B133" s="2" t="s">
        <v>129</v>
      </c>
      <c r="C133" s="1">
        <v>44269</v>
      </c>
      <c r="D133" s="2" t="s">
        <v>130</v>
      </c>
      <c r="E133" s="2" t="s">
        <v>130</v>
      </c>
      <c r="F133" s="2" t="s">
        <v>157</v>
      </c>
      <c r="G133" s="2" t="s">
        <v>203</v>
      </c>
      <c r="H133" s="2" t="s">
        <v>3112</v>
      </c>
      <c r="I133" s="2">
        <v>297923</v>
      </c>
      <c r="J133" s="2" t="s">
        <v>151</v>
      </c>
      <c r="K133" s="2"/>
      <c r="L133" s="2" t="s">
        <v>152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x14ac:dyDescent="0.25">
      <c r="A134" s="2" t="s">
        <v>3113</v>
      </c>
      <c r="B134" s="2" t="s">
        <v>134</v>
      </c>
      <c r="C134" s="1">
        <v>44270</v>
      </c>
      <c r="D134" s="2" t="s">
        <v>130</v>
      </c>
      <c r="E134" s="2" t="s">
        <v>130</v>
      </c>
      <c r="F134" s="2" t="s">
        <v>369</v>
      </c>
      <c r="G134" s="2" t="s">
        <v>3114</v>
      </c>
      <c r="H134" s="2" t="s">
        <v>3115</v>
      </c>
      <c r="I134" s="2">
        <v>1269676</v>
      </c>
      <c r="J134" s="2" t="s">
        <v>303</v>
      </c>
      <c r="K134" s="2"/>
      <c r="L134" s="2" t="s">
        <v>152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x14ac:dyDescent="0.25">
      <c r="A135" s="2" t="s">
        <v>3116</v>
      </c>
      <c r="B135" s="2" t="s">
        <v>129</v>
      </c>
      <c r="C135" s="1">
        <v>44270</v>
      </c>
      <c r="D135" s="2" t="s">
        <v>130</v>
      </c>
      <c r="E135" s="2" t="s">
        <v>130</v>
      </c>
      <c r="F135" s="2" t="s">
        <v>206</v>
      </c>
      <c r="G135" s="2" t="s">
        <v>555</v>
      </c>
      <c r="H135" s="2" t="s">
        <v>3117</v>
      </c>
      <c r="I135" s="2">
        <v>1269678</v>
      </c>
      <c r="J135" s="2" t="s">
        <v>207</v>
      </c>
      <c r="K135" s="2"/>
      <c r="L135" s="2" t="s">
        <v>152</v>
      </c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x14ac:dyDescent="0.25">
      <c r="A136" s="2" t="s">
        <v>3118</v>
      </c>
      <c r="B136" s="2" t="s">
        <v>129</v>
      </c>
      <c r="C136" s="1">
        <v>44270</v>
      </c>
      <c r="D136" s="2" t="s">
        <v>130</v>
      </c>
      <c r="E136" s="2" t="s">
        <v>130</v>
      </c>
      <c r="F136" s="2" t="s">
        <v>382</v>
      </c>
      <c r="G136" s="2" t="s">
        <v>136</v>
      </c>
      <c r="H136" s="2" t="s">
        <v>3119</v>
      </c>
      <c r="I136" s="2">
        <v>302349</v>
      </c>
      <c r="J136" s="2" t="s">
        <v>383</v>
      </c>
      <c r="K136" s="2"/>
      <c r="L136" s="2" t="s">
        <v>384</v>
      </c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x14ac:dyDescent="0.25">
      <c r="A137" s="2" t="s">
        <v>3120</v>
      </c>
      <c r="B137" s="2" t="s">
        <v>129</v>
      </c>
      <c r="C137" s="1">
        <v>44270</v>
      </c>
      <c r="D137" s="2" t="s">
        <v>130</v>
      </c>
      <c r="E137" s="2" t="s">
        <v>130</v>
      </c>
      <c r="F137" s="2" t="s">
        <v>144</v>
      </c>
      <c r="G137" s="2" t="s">
        <v>2757</v>
      </c>
      <c r="H137" s="2" t="s">
        <v>3121</v>
      </c>
      <c r="I137" s="2">
        <v>298400</v>
      </c>
      <c r="J137" s="2" t="s">
        <v>145</v>
      </c>
      <c r="K137" s="2"/>
      <c r="L137" s="2" t="s">
        <v>146</v>
      </c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x14ac:dyDescent="0.25">
      <c r="A138" s="2" t="s">
        <v>3122</v>
      </c>
      <c r="B138" s="2" t="s">
        <v>129</v>
      </c>
      <c r="C138" s="1">
        <v>44270</v>
      </c>
      <c r="D138" s="2" t="s">
        <v>130</v>
      </c>
      <c r="E138" s="2" t="s">
        <v>130</v>
      </c>
      <c r="F138" s="2" t="s">
        <v>209</v>
      </c>
      <c r="G138" s="2" t="s">
        <v>213</v>
      </c>
      <c r="H138" s="2" t="s">
        <v>3123</v>
      </c>
      <c r="I138" s="2">
        <v>270619</v>
      </c>
      <c r="J138" s="2" t="s">
        <v>210</v>
      </c>
      <c r="K138" s="2"/>
      <c r="L138" s="2" t="s">
        <v>211</v>
      </c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x14ac:dyDescent="0.25">
      <c r="A139" s="2" t="s">
        <v>3124</v>
      </c>
      <c r="B139" s="2" t="s">
        <v>129</v>
      </c>
      <c r="C139" s="1">
        <v>44270</v>
      </c>
      <c r="D139" s="2" t="s">
        <v>130</v>
      </c>
      <c r="E139" s="2" t="s">
        <v>130</v>
      </c>
      <c r="F139" s="2" t="s">
        <v>870</v>
      </c>
      <c r="G139" s="2" t="s">
        <v>3125</v>
      </c>
      <c r="H139" s="2" t="s">
        <v>3126</v>
      </c>
      <c r="I139" s="2">
        <v>302484</v>
      </c>
      <c r="J139" s="2" t="s">
        <v>148</v>
      </c>
      <c r="K139" s="2"/>
      <c r="L139" s="2" t="s">
        <v>138</v>
      </c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x14ac:dyDescent="0.25">
      <c r="A140" s="2" t="s">
        <v>3127</v>
      </c>
      <c r="B140" s="2" t="s">
        <v>129</v>
      </c>
      <c r="C140" s="1">
        <v>44270</v>
      </c>
      <c r="D140" s="2" t="s">
        <v>130</v>
      </c>
      <c r="E140" s="2" t="s">
        <v>130</v>
      </c>
      <c r="F140" s="2" t="s">
        <v>870</v>
      </c>
      <c r="G140" s="2" t="s">
        <v>3128</v>
      </c>
      <c r="H140" s="2" t="s">
        <v>3129</v>
      </c>
      <c r="I140" s="2">
        <v>302486</v>
      </c>
      <c r="J140" s="2" t="s">
        <v>148</v>
      </c>
      <c r="K140" s="2"/>
      <c r="L140" s="2" t="s">
        <v>138</v>
      </c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x14ac:dyDescent="0.25">
      <c r="A141" s="2" t="s">
        <v>3130</v>
      </c>
      <c r="B141" s="2" t="s">
        <v>129</v>
      </c>
      <c r="C141" s="1">
        <v>44270</v>
      </c>
      <c r="D141" s="2" t="s">
        <v>130</v>
      </c>
      <c r="E141" s="2" t="s">
        <v>130</v>
      </c>
      <c r="F141" s="2" t="s">
        <v>870</v>
      </c>
      <c r="G141" s="2" t="s">
        <v>3131</v>
      </c>
      <c r="H141" s="2" t="s">
        <v>3132</v>
      </c>
      <c r="I141" s="2">
        <v>302489</v>
      </c>
      <c r="J141" s="2" t="s">
        <v>148</v>
      </c>
      <c r="K141" s="2"/>
      <c r="L141" s="2" t="s">
        <v>138</v>
      </c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x14ac:dyDescent="0.25">
      <c r="A142" s="2" t="s">
        <v>3133</v>
      </c>
      <c r="B142" s="2" t="s">
        <v>129</v>
      </c>
      <c r="C142" s="1">
        <v>44270</v>
      </c>
      <c r="D142" s="2" t="s">
        <v>130</v>
      </c>
      <c r="E142" s="2" t="s">
        <v>130</v>
      </c>
      <c r="F142" s="2" t="s">
        <v>870</v>
      </c>
      <c r="G142" s="2" t="s">
        <v>3134</v>
      </c>
      <c r="H142" s="2" t="s">
        <v>3135</v>
      </c>
      <c r="I142" s="2">
        <v>302490</v>
      </c>
      <c r="J142" s="2" t="s">
        <v>148</v>
      </c>
      <c r="K142" s="2"/>
      <c r="L142" s="2" t="s">
        <v>138</v>
      </c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x14ac:dyDescent="0.25">
      <c r="A143" s="2" t="s">
        <v>3136</v>
      </c>
      <c r="B143" s="2" t="s">
        <v>129</v>
      </c>
      <c r="C143" s="1">
        <v>44270</v>
      </c>
      <c r="D143" s="2" t="s">
        <v>130</v>
      </c>
      <c r="E143" s="2" t="s">
        <v>130</v>
      </c>
      <c r="F143" s="2" t="s">
        <v>209</v>
      </c>
      <c r="G143" s="2" t="s">
        <v>279</v>
      </c>
      <c r="H143" s="2" t="s">
        <v>3137</v>
      </c>
      <c r="I143" s="2">
        <v>270598</v>
      </c>
      <c r="J143" s="2" t="s">
        <v>210</v>
      </c>
      <c r="K143" s="2"/>
      <c r="L143" s="2" t="s">
        <v>211</v>
      </c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x14ac:dyDescent="0.25">
      <c r="A144" s="2" t="s">
        <v>3138</v>
      </c>
      <c r="B144" s="2" t="s">
        <v>129</v>
      </c>
      <c r="C144" s="1">
        <v>44270</v>
      </c>
      <c r="D144" s="2" t="s">
        <v>130</v>
      </c>
      <c r="E144" s="2" t="s">
        <v>130</v>
      </c>
      <c r="F144" s="2" t="s">
        <v>144</v>
      </c>
      <c r="G144" s="2" t="s">
        <v>156</v>
      </c>
      <c r="H144" s="2" t="s">
        <v>3139</v>
      </c>
      <c r="I144" s="2">
        <v>301232</v>
      </c>
      <c r="J144" s="2" t="s">
        <v>145</v>
      </c>
      <c r="K144" s="2"/>
      <c r="L144" s="2" t="s">
        <v>146</v>
      </c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x14ac:dyDescent="0.25">
      <c r="A145" s="2" t="s">
        <v>3140</v>
      </c>
      <c r="B145" s="2" t="s">
        <v>129</v>
      </c>
      <c r="C145" s="1">
        <v>44270</v>
      </c>
      <c r="D145" s="2" t="s">
        <v>130</v>
      </c>
      <c r="E145" s="2" t="s">
        <v>130</v>
      </c>
      <c r="F145" s="2" t="s">
        <v>144</v>
      </c>
      <c r="G145" s="2" t="s">
        <v>3141</v>
      </c>
      <c r="H145" s="2" t="s">
        <v>3142</v>
      </c>
      <c r="I145" s="2">
        <v>298485</v>
      </c>
      <c r="J145" s="2" t="s">
        <v>145</v>
      </c>
      <c r="K145" s="2"/>
      <c r="L145" s="2" t="s">
        <v>146</v>
      </c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x14ac:dyDescent="0.25">
      <c r="A146" s="2" t="s">
        <v>3143</v>
      </c>
      <c r="B146" s="2" t="s">
        <v>129</v>
      </c>
      <c r="C146" s="1">
        <v>44270</v>
      </c>
      <c r="D146" s="2" t="s">
        <v>130</v>
      </c>
      <c r="E146" s="2" t="s">
        <v>130</v>
      </c>
      <c r="F146" s="2" t="s">
        <v>144</v>
      </c>
      <c r="G146" s="2" t="s">
        <v>3144</v>
      </c>
      <c r="H146" s="2" t="s">
        <v>3145</v>
      </c>
      <c r="I146" s="2">
        <v>298342</v>
      </c>
      <c r="J146" s="2" t="s">
        <v>145</v>
      </c>
      <c r="K146" s="2"/>
      <c r="L146" s="2" t="s">
        <v>146</v>
      </c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x14ac:dyDescent="0.25">
      <c r="A147" s="2" t="s">
        <v>3146</v>
      </c>
      <c r="B147" s="2" t="s">
        <v>129</v>
      </c>
      <c r="C147" s="1">
        <v>44270</v>
      </c>
      <c r="D147" s="2" t="s">
        <v>130</v>
      </c>
      <c r="E147" s="2" t="s">
        <v>130</v>
      </c>
      <c r="F147" s="2" t="s">
        <v>206</v>
      </c>
      <c r="G147" s="2" t="s">
        <v>3147</v>
      </c>
      <c r="H147" s="2" t="s">
        <v>3148</v>
      </c>
      <c r="I147" s="2">
        <v>1269713</v>
      </c>
      <c r="J147" s="2" t="s">
        <v>207</v>
      </c>
      <c r="K147" s="2"/>
      <c r="L147" s="2" t="s">
        <v>152</v>
      </c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x14ac:dyDescent="0.25">
      <c r="A148" s="2" t="s">
        <v>3149</v>
      </c>
      <c r="B148" s="2" t="s">
        <v>129</v>
      </c>
      <c r="C148" s="1">
        <v>44270</v>
      </c>
      <c r="D148" s="2" t="s">
        <v>130</v>
      </c>
      <c r="E148" s="2" t="s">
        <v>130</v>
      </c>
      <c r="F148" s="2" t="s">
        <v>150</v>
      </c>
      <c r="G148" s="2" t="s">
        <v>2731</v>
      </c>
      <c r="H148" s="2" t="s">
        <v>3150</v>
      </c>
      <c r="I148" s="2">
        <v>301938</v>
      </c>
      <c r="J148" s="2" t="s">
        <v>151</v>
      </c>
      <c r="K148" s="2"/>
      <c r="L148" s="2" t="s">
        <v>152</v>
      </c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x14ac:dyDescent="0.25">
      <c r="A149" s="2" t="s">
        <v>3151</v>
      </c>
      <c r="B149" s="2" t="s">
        <v>129</v>
      </c>
      <c r="C149" s="1">
        <v>44270</v>
      </c>
      <c r="D149" s="2" t="s">
        <v>130</v>
      </c>
      <c r="E149" s="2" t="s">
        <v>130</v>
      </c>
      <c r="F149" s="2" t="s">
        <v>150</v>
      </c>
      <c r="G149" s="2" t="s">
        <v>2820</v>
      </c>
      <c r="H149" s="2" t="s">
        <v>3152</v>
      </c>
      <c r="I149" s="2">
        <v>302438</v>
      </c>
      <c r="J149" s="2" t="s">
        <v>151</v>
      </c>
      <c r="K149" s="2"/>
      <c r="L149" s="2" t="s">
        <v>152</v>
      </c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x14ac:dyDescent="0.25">
      <c r="A150" s="2" t="s">
        <v>3153</v>
      </c>
      <c r="B150" s="2" t="s">
        <v>129</v>
      </c>
      <c r="C150" s="1">
        <v>44270</v>
      </c>
      <c r="D150" s="2" t="s">
        <v>130</v>
      </c>
      <c r="E150" s="2" t="s">
        <v>130</v>
      </c>
      <c r="F150" s="2" t="s">
        <v>150</v>
      </c>
      <c r="G150" s="2" t="s">
        <v>2713</v>
      </c>
      <c r="H150" s="2" t="s">
        <v>3154</v>
      </c>
      <c r="I150" s="2">
        <v>301006</v>
      </c>
      <c r="J150" s="2" t="s">
        <v>151</v>
      </c>
      <c r="K150" s="2"/>
      <c r="L150" s="2" t="s">
        <v>152</v>
      </c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x14ac:dyDescent="0.25">
      <c r="A151" s="2" t="s">
        <v>3155</v>
      </c>
      <c r="B151" s="2" t="s">
        <v>129</v>
      </c>
      <c r="C151" s="1">
        <v>44270</v>
      </c>
      <c r="D151" s="2" t="s">
        <v>130</v>
      </c>
      <c r="E151" s="2" t="s">
        <v>130</v>
      </c>
      <c r="F151" s="2" t="s">
        <v>206</v>
      </c>
      <c r="G151" s="2" t="s">
        <v>3156</v>
      </c>
      <c r="H151" s="2" t="s">
        <v>3157</v>
      </c>
      <c r="I151" s="2">
        <v>300869</v>
      </c>
      <c r="J151" s="2" t="s">
        <v>207</v>
      </c>
      <c r="K151" s="2"/>
      <c r="L151" s="2" t="s">
        <v>152</v>
      </c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x14ac:dyDescent="0.25">
      <c r="A152" s="2" t="s">
        <v>3158</v>
      </c>
      <c r="B152" s="2" t="s">
        <v>129</v>
      </c>
      <c r="C152" s="1">
        <v>44270</v>
      </c>
      <c r="D152" s="2" t="s">
        <v>130</v>
      </c>
      <c r="E152" s="2" t="s">
        <v>130</v>
      </c>
      <c r="F152" s="2" t="s">
        <v>206</v>
      </c>
      <c r="G152" s="2" t="s">
        <v>567</v>
      </c>
      <c r="H152" s="2" t="s">
        <v>3159</v>
      </c>
      <c r="I152" s="2">
        <v>1269728</v>
      </c>
      <c r="J152" s="2" t="s">
        <v>207</v>
      </c>
      <c r="K152" s="2"/>
      <c r="L152" s="2" t="s">
        <v>152</v>
      </c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x14ac:dyDescent="0.25">
      <c r="A153" s="2" t="s">
        <v>3160</v>
      </c>
      <c r="B153" s="2" t="s">
        <v>129</v>
      </c>
      <c r="C153" s="1">
        <v>44270</v>
      </c>
      <c r="D153" s="2" t="s">
        <v>130</v>
      </c>
      <c r="E153" s="2" t="s">
        <v>130</v>
      </c>
      <c r="F153" s="2" t="s">
        <v>144</v>
      </c>
      <c r="G153" s="2" t="s">
        <v>3161</v>
      </c>
      <c r="H153" s="2" t="s">
        <v>3162</v>
      </c>
      <c r="I153" s="2">
        <v>301283</v>
      </c>
      <c r="J153" s="2" t="s">
        <v>145</v>
      </c>
      <c r="K153" s="2"/>
      <c r="L153" s="2" t="s">
        <v>146</v>
      </c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x14ac:dyDescent="0.25">
      <c r="A154" s="2" t="s">
        <v>3163</v>
      </c>
      <c r="B154" s="2" t="s">
        <v>129</v>
      </c>
      <c r="C154" s="1">
        <v>44271</v>
      </c>
      <c r="D154" s="2" t="s">
        <v>130</v>
      </c>
      <c r="E154" s="2" t="s">
        <v>130</v>
      </c>
      <c r="F154" s="2" t="s">
        <v>326</v>
      </c>
      <c r="G154" s="2" t="s">
        <v>3164</v>
      </c>
      <c r="H154" s="2" t="s">
        <v>3165</v>
      </c>
      <c r="I154" s="2">
        <v>1269750</v>
      </c>
      <c r="J154" s="2" t="s">
        <v>132</v>
      </c>
      <c r="K154" s="2"/>
      <c r="L154" s="2" t="s">
        <v>328</v>
      </c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x14ac:dyDescent="0.25">
      <c r="A155" s="2" t="s">
        <v>3166</v>
      </c>
      <c r="B155" s="2" t="s">
        <v>129</v>
      </c>
      <c r="C155" s="1">
        <v>44271</v>
      </c>
      <c r="D155" s="2" t="s">
        <v>130</v>
      </c>
      <c r="E155" s="2" t="s">
        <v>130</v>
      </c>
      <c r="F155" s="2" t="s">
        <v>150</v>
      </c>
      <c r="G155" s="2" t="s">
        <v>394</v>
      </c>
      <c r="H155" s="2" t="s">
        <v>3167</v>
      </c>
      <c r="I155" s="2">
        <v>298822</v>
      </c>
      <c r="J155" s="2" t="s">
        <v>151</v>
      </c>
      <c r="K155" s="2"/>
      <c r="L155" s="2" t="s">
        <v>152</v>
      </c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x14ac:dyDescent="0.25">
      <c r="A156" s="2" t="s">
        <v>3168</v>
      </c>
      <c r="B156" s="2" t="s">
        <v>129</v>
      </c>
      <c r="C156" s="1">
        <v>44271</v>
      </c>
      <c r="D156" s="2" t="s">
        <v>130</v>
      </c>
      <c r="E156" s="2" t="s">
        <v>130</v>
      </c>
      <c r="F156" s="2" t="s">
        <v>144</v>
      </c>
      <c r="G156" s="2" t="s">
        <v>3169</v>
      </c>
      <c r="H156" s="2" t="s">
        <v>3170</v>
      </c>
      <c r="I156" s="2">
        <v>302312</v>
      </c>
      <c r="J156" s="2" t="s">
        <v>145</v>
      </c>
      <c r="K156" s="2"/>
      <c r="L156" s="2" t="s">
        <v>146</v>
      </c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x14ac:dyDescent="0.25">
      <c r="A157" s="2" t="s">
        <v>3171</v>
      </c>
      <c r="B157" s="2" t="s">
        <v>129</v>
      </c>
      <c r="C157" s="1">
        <v>44271</v>
      </c>
      <c r="D157" s="2" t="s">
        <v>130</v>
      </c>
      <c r="E157" s="2" t="s">
        <v>130</v>
      </c>
      <c r="F157" s="2" t="s">
        <v>144</v>
      </c>
      <c r="G157" s="2" t="s">
        <v>3172</v>
      </c>
      <c r="H157" s="2" t="s">
        <v>3173</v>
      </c>
      <c r="I157" s="2">
        <v>302409</v>
      </c>
      <c r="J157" s="2" t="s">
        <v>145</v>
      </c>
      <c r="K157" s="2"/>
      <c r="L157" s="2" t="s">
        <v>146</v>
      </c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x14ac:dyDescent="0.25">
      <c r="A158" s="2" t="s">
        <v>3263</v>
      </c>
      <c r="B158" s="2" t="s">
        <v>129</v>
      </c>
      <c r="C158" s="1">
        <v>44271</v>
      </c>
      <c r="D158" s="2" t="s">
        <v>130</v>
      </c>
      <c r="E158" s="2" t="s">
        <v>130</v>
      </c>
      <c r="F158" s="2" t="s">
        <v>227</v>
      </c>
      <c r="G158" s="2" t="s">
        <v>3264</v>
      </c>
      <c r="H158" s="2" t="s">
        <v>3265</v>
      </c>
      <c r="I158" s="2">
        <v>303153</v>
      </c>
      <c r="J158" s="2" t="s">
        <v>3262</v>
      </c>
      <c r="K158" s="2"/>
      <c r="L158" s="2" t="s">
        <v>138</v>
      </c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x14ac:dyDescent="0.25">
      <c r="A159" s="2" t="s">
        <v>3266</v>
      </c>
      <c r="B159" s="2" t="s">
        <v>134</v>
      </c>
      <c r="C159" s="1">
        <v>44271</v>
      </c>
      <c r="D159" s="2" t="s">
        <v>130</v>
      </c>
      <c r="E159" s="2" t="s">
        <v>130</v>
      </c>
      <c r="F159" s="2" t="s">
        <v>186</v>
      </c>
      <c r="G159" s="2" t="s">
        <v>3220</v>
      </c>
      <c r="H159" s="2" t="s">
        <v>3267</v>
      </c>
      <c r="I159" s="2">
        <v>303159</v>
      </c>
      <c r="J159" s="2" t="s">
        <v>187</v>
      </c>
      <c r="K159" s="2"/>
      <c r="L159" s="2" t="s">
        <v>188</v>
      </c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x14ac:dyDescent="0.25">
      <c r="A160" s="2" t="s">
        <v>3268</v>
      </c>
      <c r="B160" s="2" t="s">
        <v>129</v>
      </c>
      <c r="C160" s="1">
        <v>44271</v>
      </c>
      <c r="D160" s="2" t="s">
        <v>130</v>
      </c>
      <c r="E160" s="2" t="s">
        <v>130</v>
      </c>
      <c r="F160" s="2" t="s">
        <v>344</v>
      </c>
      <c r="G160" s="2" t="s">
        <v>3269</v>
      </c>
      <c r="H160" s="2" t="s">
        <v>3270</v>
      </c>
      <c r="I160" s="2">
        <v>301833</v>
      </c>
      <c r="J160" s="2" t="s">
        <v>345</v>
      </c>
      <c r="K160" s="2"/>
      <c r="L160" s="2" t="s">
        <v>152</v>
      </c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x14ac:dyDescent="0.25">
      <c r="A161" s="2" t="s">
        <v>3271</v>
      </c>
      <c r="B161" s="2" t="s">
        <v>129</v>
      </c>
      <c r="C161" s="1">
        <v>44271</v>
      </c>
      <c r="D161" s="2" t="s">
        <v>130</v>
      </c>
      <c r="E161" s="2" t="s">
        <v>130</v>
      </c>
      <c r="F161" s="2" t="s">
        <v>193</v>
      </c>
      <c r="G161" s="2" t="s">
        <v>136</v>
      </c>
      <c r="H161" s="2" t="s">
        <v>3272</v>
      </c>
      <c r="I161" s="2">
        <v>303303</v>
      </c>
      <c r="J161" s="2" t="s">
        <v>194</v>
      </c>
      <c r="K161" s="2"/>
      <c r="L161" s="2" t="s">
        <v>146</v>
      </c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x14ac:dyDescent="0.25">
      <c r="A162" s="2" t="s">
        <v>3273</v>
      </c>
      <c r="B162" s="2" t="s">
        <v>129</v>
      </c>
      <c r="C162" s="1">
        <v>44272</v>
      </c>
      <c r="D162" s="2" t="s">
        <v>130</v>
      </c>
      <c r="E162" s="2" t="s">
        <v>130</v>
      </c>
      <c r="F162" s="2" t="s">
        <v>157</v>
      </c>
      <c r="G162" s="2" t="s">
        <v>352</v>
      </c>
      <c r="H162" s="2" t="s">
        <v>3274</v>
      </c>
      <c r="I162" s="2">
        <v>301227</v>
      </c>
      <c r="J162" s="2" t="s">
        <v>151</v>
      </c>
      <c r="K162" s="2"/>
      <c r="L162" s="2" t="s">
        <v>152</v>
      </c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x14ac:dyDescent="0.25">
      <c r="A163" s="2" t="s">
        <v>3275</v>
      </c>
      <c r="B163" s="2" t="s">
        <v>129</v>
      </c>
      <c r="C163" s="1">
        <v>44271</v>
      </c>
      <c r="D163" s="2" t="s">
        <v>130</v>
      </c>
      <c r="E163" s="2" t="s">
        <v>130</v>
      </c>
      <c r="F163" s="2" t="s">
        <v>150</v>
      </c>
      <c r="G163" s="2" t="s">
        <v>396</v>
      </c>
      <c r="H163" s="2" t="s">
        <v>3276</v>
      </c>
      <c r="I163" s="2">
        <v>294630</v>
      </c>
      <c r="J163" s="2" t="s">
        <v>151</v>
      </c>
      <c r="K163" s="2"/>
      <c r="L163" s="2" t="s">
        <v>152</v>
      </c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x14ac:dyDescent="0.25">
      <c r="A164" s="2" t="s">
        <v>3277</v>
      </c>
      <c r="B164" s="2" t="s">
        <v>129</v>
      </c>
      <c r="C164" s="1">
        <v>44271</v>
      </c>
      <c r="D164" s="2" t="s">
        <v>130</v>
      </c>
      <c r="E164" s="2" t="s">
        <v>130</v>
      </c>
      <c r="F164" s="2" t="s">
        <v>253</v>
      </c>
      <c r="G164" s="2" t="s">
        <v>2701</v>
      </c>
      <c r="H164" s="2" t="s">
        <v>3278</v>
      </c>
      <c r="I164" s="2">
        <v>296773</v>
      </c>
      <c r="J164" s="2" t="s">
        <v>254</v>
      </c>
      <c r="K164" s="2"/>
      <c r="L164" s="2" t="s">
        <v>202</v>
      </c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x14ac:dyDescent="0.25">
      <c r="A165" s="2" t="s">
        <v>3279</v>
      </c>
      <c r="B165" s="2" t="s">
        <v>129</v>
      </c>
      <c r="C165" s="1">
        <v>44272</v>
      </c>
      <c r="D165" s="2" t="s">
        <v>130</v>
      </c>
      <c r="E165" s="2" t="s">
        <v>130</v>
      </c>
      <c r="F165" s="2" t="s">
        <v>206</v>
      </c>
      <c r="G165" s="2" t="s">
        <v>558</v>
      </c>
      <c r="H165" s="2" t="s">
        <v>3280</v>
      </c>
      <c r="I165" s="2">
        <v>303272</v>
      </c>
      <c r="J165" s="2" t="s">
        <v>207</v>
      </c>
      <c r="K165" s="2"/>
      <c r="L165" s="2" t="s">
        <v>152</v>
      </c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x14ac:dyDescent="0.25">
      <c r="A166" s="2" t="s">
        <v>3281</v>
      </c>
      <c r="B166" s="2" t="s">
        <v>129</v>
      </c>
      <c r="C166" s="1">
        <v>44272</v>
      </c>
      <c r="D166" s="2" t="s">
        <v>130</v>
      </c>
      <c r="E166" s="2" t="s">
        <v>130</v>
      </c>
      <c r="F166" s="2" t="s">
        <v>157</v>
      </c>
      <c r="G166" s="2" t="s">
        <v>517</v>
      </c>
      <c r="H166" s="2" t="s">
        <v>3282</v>
      </c>
      <c r="I166" s="2">
        <v>1269864</v>
      </c>
      <c r="J166" s="2" t="s">
        <v>151</v>
      </c>
      <c r="K166" s="2"/>
      <c r="L166" s="2" t="s">
        <v>152</v>
      </c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x14ac:dyDescent="0.25">
      <c r="A167" s="2" t="s">
        <v>3283</v>
      </c>
      <c r="B167" s="2" t="s">
        <v>129</v>
      </c>
      <c r="C167" s="1">
        <v>44272</v>
      </c>
      <c r="D167" s="2" t="s">
        <v>130</v>
      </c>
      <c r="E167" s="2" t="s">
        <v>130</v>
      </c>
      <c r="F167" s="2" t="s">
        <v>382</v>
      </c>
      <c r="G167" s="2" t="s">
        <v>136</v>
      </c>
      <c r="H167" s="2" t="s">
        <v>3284</v>
      </c>
      <c r="I167" s="2">
        <v>1269866</v>
      </c>
      <c r="J167" s="2" t="s">
        <v>383</v>
      </c>
      <c r="K167" s="2"/>
      <c r="L167" s="2" t="s">
        <v>384</v>
      </c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x14ac:dyDescent="0.25">
      <c r="A168" s="2" t="s">
        <v>3285</v>
      </c>
      <c r="B168" s="2" t="s">
        <v>134</v>
      </c>
      <c r="C168" s="1">
        <v>44272</v>
      </c>
      <c r="D168" s="2" t="s">
        <v>130</v>
      </c>
      <c r="E168" s="2" t="s">
        <v>130</v>
      </c>
      <c r="F168" s="2" t="s">
        <v>553</v>
      </c>
      <c r="G168" s="2" t="s">
        <v>3286</v>
      </c>
      <c r="H168" s="2" t="s">
        <v>3287</v>
      </c>
      <c r="I168" s="2">
        <v>1269867</v>
      </c>
      <c r="J168" s="2" t="s">
        <v>380</v>
      </c>
      <c r="K168" s="2"/>
      <c r="L168" s="2" t="s">
        <v>357</v>
      </c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x14ac:dyDescent="0.25">
      <c r="A169" s="2" t="s">
        <v>3288</v>
      </c>
      <c r="B169" s="2" t="s">
        <v>129</v>
      </c>
      <c r="C169" s="1">
        <v>44272</v>
      </c>
      <c r="D169" s="2" t="s">
        <v>130</v>
      </c>
      <c r="E169" s="2" t="s">
        <v>130</v>
      </c>
      <c r="F169" s="2" t="s">
        <v>2535</v>
      </c>
      <c r="G169" s="2" t="s">
        <v>3186</v>
      </c>
      <c r="H169" s="2" t="s">
        <v>3289</v>
      </c>
      <c r="I169" s="2">
        <v>1269868</v>
      </c>
      <c r="J169" s="2" t="s">
        <v>2836</v>
      </c>
      <c r="K169" s="2"/>
      <c r="L169" s="2" t="s">
        <v>357</v>
      </c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x14ac:dyDescent="0.25">
      <c r="A170" s="2" t="s">
        <v>3290</v>
      </c>
      <c r="B170" s="2" t="s">
        <v>129</v>
      </c>
      <c r="C170" s="1">
        <v>44272</v>
      </c>
      <c r="D170" s="2" t="s">
        <v>130</v>
      </c>
      <c r="E170" s="2" t="s">
        <v>130</v>
      </c>
      <c r="F170" s="2" t="s">
        <v>344</v>
      </c>
      <c r="G170" s="2" t="s">
        <v>2788</v>
      </c>
      <c r="H170" s="2" t="s">
        <v>3291</v>
      </c>
      <c r="I170" s="2">
        <v>301820</v>
      </c>
      <c r="J170" s="2" t="s">
        <v>345</v>
      </c>
      <c r="K170" s="2"/>
      <c r="L170" s="2" t="s">
        <v>152</v>
      </c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x14ac:dyDescent="0.25">
      <c r="A171" s="2" t="s">
        <v>3292</v>
      </c>
      <c r="B171" s="2" t="s">
        <v>129</v>
      </c>
      <c r="C171" s="1">
        <v>44272</v>
      </c>
      <c r="D171" s="2" t="s">
        <v>130</v>
      </c>
      <c r="E171" s="2" t="s">
        <v>130</v>
      </c>
      <c r="F171" s="2" t="s">
        <v>564</v>
      </c>
      <c r="G171" s="2" t="s">
        <v>136</v>
      </c>
      <c r="H171" s="2" t="s">
        <v>3293</v>
      </c>
      <c r="I171" s="2">
        <v>1269885</v>
      </c>
      <c r="J171" s="2" t="s">
        <v>383</v>
      </c>
      <c r="K171" s="2"/>
      <c r="L171" s="2" t="s">
        <v>384</v>
      </c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x14ac:dyDescent="0.25">
      <c r="A172" s="2" t="s">
        <v>3294</v>
      </c>
      <c r="B172" s="2" t="s">
        <v>129</v>
      </c>
      <c r="C172" s="1">
        <v>44272</v>
      </c>
      <c r="D172" s="2" t="s">
        <v>130</v>
      </c>
      <c r="E172" s="2" t="s">
        <v>130</v>
      </c>
      <c r="F172" s="2" t="s">
        <v>344</v>
      </c>
      <c r="G172" s="2" t="s">
        <v>3295</v>
      </c>
      <c r="H172" s="2" t="s">
        <v>3296</v>
      </c>
      <c r="I172" s="2">
        <v>1269887</v>
      </c>
      <c r="J172" s="2" t="s">
        <v>345</v>
      </c>
      <c r="K172" s="2"/>
      <c r="L172" s="2" t="s">
        <v>152</v>
      </c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x14ac:dyDescent="0.25">
      <c r="A173" s="2" t="s">
        <v>3297</v>
      </c>
      <c r="B173" s="2" t="s">
        <v>129</v>
      </c>
      <c r="C173" s="1">
        <v>44272</v>
      </c>
      <c r="D173" s="2" t="s">
        <v>130</v>
      </c>
      <c r="E173" s="2" t="s">
        <v>130</v>
      </c>
      <c r="F173" s="2" t="s">
        <v>344</v>
      </c>
      <c r="G173" s="2" t="s">
        <v>3298</v>
      </c>
      <c r="H173" s="2" t="s">
        <v>3299</v>
      </c>
      <c r="I173" s="2">
        <v>1269888</v>
      </c>
      <c r="J173" s="2" t="s">
        <v>345</v>
      </c>
      <c r="K173" s="2"/>
      <c r="L173" s="2" t="s">
        <v>152</v>
      </c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x14ac:dyDescent="0.25">
      <c r="A174" s="2" t="s">
        <v>3300</v>
      </c>
      <c r="B174" s="2" t="s">
        <v>129</v>
      </c>
      <c r="C174" s="1">
        <v>44272</v>
      </c>
      <c r="D174" s="2" t="s">
        <v>130</v>
      </c>
      <c r="E174" s="2" t="s">
        <v>130</v>
      </c>
      <c r="F174" s="2" t="s">
        <v>333</v>
      </c>
      <c r="G174" s="2" t="s">
        <v>3301</v>
      </c>
      <c r="H174" s="2" t="s">
        <v>3302</v>
      </c>
      <c r="I174" s="2">
        <v>1269889</v>
      </c>
      <c r="J174" s="2" t="s">
        <v>303</v>
      </c>
      <c r="K174" s="2"/>
      <c r="L174" s="2" t="s">
        <v>152</v>
      </c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x14ac:dyDescent="0.25">
      <c r="A175" s="2" t="s">
        <v>3303</v>
      </c>
      <c r="B175" s="2" t="s">
        <v>129</v>
      </c>
      <c r="C175" s="1">
        <v>44272</v>
      </c>
      <c r="D175" s="2" t="s">
        <v>130</v>
      </c>
      <c r="E175" s="2" t="s">
        <v>130</v>
      </c>
      <c r="F175" s="2" t="s">
        <v>344</v>
      </c>
      <c r="G175" s="2" t="s">
        <v>3304</v>
      </c>
      <c r="H175" s="2" t="s">
        <v>3305</v>
      </c>
      <c r="I175" s="2">
        <v>1269891</v>
      </c>
      <c r="J175" s="2" t="s">
        <v>345</v>
      </c>
      <c r="K175" s="2"/>
      <c r="L175" s="2" t="s">
        <v>152</v>
      </c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x14ac:dyDescent="0.25">
      <c r="A176" s="2" t="s">
        <v>3306</v>
      </c>
      <c r="B176" s="2" t="s">
        <v>129</v>
      </c>
      <c r="C176" s="1">
        <v>44272</v>
      </c>
      <c r="D176" s="2" t="s">
        <v>130</v>
      </c>
      <c r="E176" s="2" t="s">
        <v>130</v>
      </c>
      <c r="F176" s="2" t="s">
        <v>262</v>
      </c>
      <c r="G176" s="2" t="s">
        <v>136</v>
      </c>
      <c r="H176" s="2" t="s">
        <v>3307</v>
      </c>
      <c r="I176" s="2">
        <v>303987</v>
      </c>
      <c r="J176" s="2" t="s">
        <v>263</v>
      </c>
      <c r="K176" s="2"/>
      <c r="L176" s="2" t="s">
        <v>264</v>
      </c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x14ac:dyDescent="0.25">
      <c r="A177" s="2" t="s">
        <v>3308</v>
      </c>
      <c r="B177" s="2" t="s">
        <v>129</v>
      </c>
      <c r="C177" s="1">
        <v>44272</v>
      </c>
      <c r="D177" s="2" t="s">
        <v>130</v>
      </c>
      <c r="E177" s="2" t="s">
        <v>130</v>
      </c>
      <c r="F177" s="2" t="s">
        <v>262</v>
      </c>
      <c r="G177" s="2" t="s">
        <v>136</v>
      </c>
      <c r="H177" s="2" t="s">
        <v>3309</v>
      </c>
      <c r="I177" s="2">
        <v>303988</v>
      </c>
      <c r="J177" s="2" t="s">
        <v>263</v>
      </c>
      <c r="K177" s="2"/>
      <c r="L177" s="2" t="s">
        <v>264</v>
      </c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x14ac:dyDescent="0.25">
      <c r="A178" s="2" t="s">
        <v>3310</v>
      </c>
      <c r="B178" s="2" t="s">
        <v>129</v>
      </c>
      <c r="C178" s="1">
        <v>44273</v>
      </c>
      <c r="D178" s="2" t="s">
        <v>130</v>
      </c>
      <c r="E178" s="2" t="s">
        <v>130</v>
      </c>
      <c r="F178" s="2" t="s">
        <v>157</v>
      </c>
      <c r="G178" s="2" t="s">
        <v>158</v>
      </c>
      <c r="H178" s="2" t="s">
        <v>3311</v>
      </c>
      <c r="I178" s="2">
        <v>303214</v>
      </c>
      <c r="J178" s="2" t="s">
        <v>151</v>
      </c>
      <c r="K178" s="2"/>
      <c r="L178" s="2" t="s">
        <v>152</v>
      </c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x14ac:dyDescent="0.25">
      <c r="A179" s="2" t="s">
        <v>3312</v>
      </c>
      <c r="B179" s="2" t="s">
        <v>129</v>
      </c>
      <c r="C179" s="1">
        <v>44273</v>
      </c>
      <c r="D179" s="2" t="s">
        <v>130</v>
      </c>
      <c r="E179" s="2" t="s">
        <v>130</v>
      </c>
      <c r="F179" s="2" t="s">
        <v>209</v>
      </c>
      <c r="G179" s="2" t="s">
        <v>293</v>
      </c>
      <c r="H179" s="2" t="s">
        <v>3313</v>
      </c>
      <c r="I179" s="2">
        <v>272177</v>
      </c>
      <c r="J179" s="2" t="s">
        <v>210</v>
      </c>
      <c r="K179" s="2"/>
      <c r="L179" s="2" t="s">
        <v>211</v>
      </c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x14ac:dyDescent="0.25">
      <c r="A180" s="2" t="s">
        <v>3314</v>
      </c>
      <c r="B180" s="2" t="s">
        <v>129</v>
      </c>
      <c r="C180" s="1">
        <v>44273</v>
      </c>
      <c r="D180" s="2" t="s">
        <v>130</v>
      </c>
      <c r="E180" s="2" t="s">
        <v>130</v>
      </c>
      <c r="F180" s="2" t="s">
        <v>209</v>
      </c>
      <c r="G180" s="2" t="s">
        <v>292</v>
      </c>
      <c r="H180" s="2" t="s">
        <v>3315</v>
      </c>
      <c r="I180" s="2">
        <v>272185</v>
      </c>
      <c r="J180" s="2" t="s">
        <v>210</v>
      </c>
      <c r="K180" s="2"/>
      <c r="L180" s="2" t="s">
        <v>211</v>
      </c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x14ac:dyDescent="0.25">
      <c r="A181" s="2" t="s">
        <v>3316</v>
      </c>
      <c r="B181" s="2" t="s">
        <v>134</v>
      </c>
      <c r="C181" s="1">
        <v>44273</v>
      </c>
      <c r="D181" s="2" t="s">
        <v>130</v>
      </c>
      <c r="E181" s="2" t="s">
        <v>130</v>
      </c>
      <c r="F181" s="2" t="s">
        <v>2702</v>
      </c>
      <c r="G181" s="2" t="s">
        <v>3317</v>
      </c>
      <c r="H181" s="2" t="s">
        <v>3318</v>
      </c>
      <c r="I181" s="2">
        <v>47688</v>
      </c>
      <c r="J181" s="2" t="s">
        <v>2703</v>
      </c>
      <c r="K181" s="2"/>
      <c r="L181" s="2" t="s">
        <v>2704</v>
      </c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x14ac:dyDescent="0.25">
      <c r="A182" s="2" t="s">
        <v>3319</v>
      </c>
      <c r="B182" s="2" t="s">
        <v>134</v>
      </c>
      <c r="C182" s="1">
        <v>44273</v>
      </c>
      <c r="D182" s="2" t="s">
        <v>130</v>
      </c>
      <c r="E182" s="2" t="s">
        <v>130</v>
      </c>
      <c r="F182" s="2" t="s">
        <v>131</v>
      </c>
      <c r="G182" s="2" t="s">
        <v>3320</v>
      </c>
      <c r="H182" s="2" t="s">
        <v>3321</v>
      </c>
      <c r="I182" s="2">
        <v>300277</v>
      </c>
      <c r="J182" s="2" t="s">
        <v>132</v>
      </c>
      <c r="K182" s="2"/>
      <c r="L182" s="2" t="s">
        <v>133</v>
      </c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x14ac:dyDescent="0.25">
      <c r="A183" s="2" t="s">
        <v>3322</v>
      </c>
      <c r="B183" s="2" t="s">
        <v>134</v>
      </c>
      <c r="C183" s="1">
        <v>44273</v>
      </c>
      <c r="D183" s="2" t="s">
        <v>130</v>
      </c>
      <c r="E183" s="2" t="s">
        <v>130</v>
      </c>
      <c r="F183" s="2" t="s">
        <v>153</v>
      </c>
      <c r="G183" s="2" t="s">
        <v>3323</v>
      </c>
      <c r="H183" s="2" t="s">
        <v>3324</v>
      </c>
      <c r="I183" s="2">
        <v>304339</v>
      </c>
      <c r="J183" s="2" t="s">
        <v>154</v>
      </c>
      <c r="K183" s="2"/>
      <c r="L183" s="2" t="s">
        <v>155</v>
      </c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x14ac:dyDescent="0.25">
      <c r="A184" s="2" t="s">
        <v>3325</v>
      </c>
      <c r="B184" s="2" t="s">
        <v>134</v>
      </c>
      <c r="C184" s="1">
        <v>44273</v>
      </c>
      <c r="D184" s="2" t="s">
        <v>130</v>
      </c>
      <c r="E184" s="2" t="s">
        <v>130</v>
      </c>
      <c r="F184" s="2" t="s">
        <v>227</v>
      </c>
      <c r="G184" s="2" t="s">
        <v>3326</v>
      </c>
      <c r="H184" s="2" t="s">
        <v>3327</v>
      </c>
      <c r="I184" s="2">
        <v>304499</v>
      </c>
      <c r="J184" s="2" t="s">
        <v>3262</v>
      </c>
      <c r="K184" s="2"/>
      <c r="L184" s="2" t="s">
        <v>138</v>
      </c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x14ac:dyDescent="0.25">
      <c r="A185" s="2" t="s">
        <v>3328</v>
      </c>
      <c r="B185" s="2" t="s">
        <v>134</v>
      </c>
      <c r="C185" s="1">
        <v>44273</v>
      </c>
      <c r="D185" s="2" t="s">
        <v>130</v>
      </c>
      <c r="E185" s="2" t="s">
        <v>130</v>
      </c>
      <c r="F185" s="2" t="s">
        <v>186</v>
      </c>
      <c r="G185" s="2" t="s">
        <v>3329</v>
      </c>
      <c r="H185" s="2" t="s">
        <v>3330</v>
      </c>
      <c r="I185" s="2">
        <v>1270049</v>
      </c>
      <c r="J185" s="2" t="s">
        <v>187</v>
      </c>
      <c r="K185" s="2"/>
      <c r="L185" s="2" t="s">
        <v>188</v>
      </c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x14ac:dyDescent="0.25">
      <c r="A186" s="2" t="s">
        <v>3331</v>
      </c>
      <c r="B186" s="2" t="s">
        <v>129</v>
      </c>
      <c r="C186" s="1">
        <v>44274</v>
      </c>
      <c r="D186" s="2" t="s">
        <v>130</v>
      </c>
      <c r="E186" s="2" t="s">
        <v>130</v>
      </c>
      <c r="F186" s="2" t="s">
        <v>318</v>
      </c>
      <c r="G186" s="2" t="s">
        <v>3217</v>
      </c>
      <c r="H186" s="2" t="s">
        <v>3332</v>
      </c>
      <c r="I186" s="2">
        <v>294628</v>
      </c>
      <c r="J186" s="2" t="s">
        <v>257</v>
      </c>
      <c r="K186" s="2"/>
      <c r="L186" s="2" t="s">
        <v>258</v>
      </c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x14ac:dyDescent="0.25">
      <c r="A187" s="2" t="s">
        <v>3333</v>
      </c>
      <c r="B187" s="2" t="s">
        <v>129</v>
      </c>
      <c r="C187" s="1">
        <v>44274</v>
      </c>
      <c r="D187" s="2" t="s">
        <v>130</v>
      </c>
      <c r="E187" s="2" t="s">
        <v>130</v>
      </c>
      <c r="F187" s="2" t="s">
        <v>248</v>
      </c>
      <c r="G187" s="2" t="s">
        <v>3206</v>
      </c>
      <c r="H187" s="2" t="s">
        <v>3334</v>
      </c>
      <c r="I187" s="2">
        <v>293780</v>
      </c>
      <c r="J187" s="2" t="s">
        <v>161</v>
      </c>
      <c r="K187" s="2"/>
      <c r="L187" s="2" t="s">
        <v>162</v>
      </c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x14ac:dyDescent="0.25">
      <c r="A188" s="2" t="s">
        <v>3335</v>
      </c>
      <c r="B188" s="2" t="s">
        <v>129</v>
      </c>
      <c r="C188" s="1">
        <v>44274</v>
      </c>
      <c r="D188" s="2" t="s">
        <v>130</v>
      </c>
      <c r="E188" s="2" t="s">
        <v>130</v>
      </c>
      <c r="F188" s="2" t="s">
        <v>144</v>
      </c>
      <c r="G188" s="2" t="s">
        <v>3336</v>
      </c>
      <c r="H188" s="2" t="s">
        <v>3337</v>
      </c>
      <c r="I188" s="2">
        <v>304501</v>
      </c>
      <c r="J188" s="2" t="s">
        <v>145</v>
      </c>
      <c r="K188" s="2"/>
      <c r="L188" s="2" t="s">
        <v>146</v>
      </c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x14ac:dyDescent="0.25">
      <c r="A189" s="2" t="s">
        <v>3338</v>
      </c>
      <c r="B189" s="2" t="s">
        <v>129</v>
      </c>
      <c r="C189" s="1">
        <v>44274</v>
      </c>
      <c r="D189" s="2" t="s">
        <v>130</v>
      </c>
      <c r="E189" s="2" t="s">
        <v>130</v>
      </c>
      <c r="F189" s="2" t="s">
        <v>147</v>
      </c>
      <c r="G189" s="2" t="s">
        <v>3230</v>
      </c>
      <c r="H189" s="2" t="s">
        <v>3339</v>
      </c>
      <c r="I189" s="2">
        <v>298124</v>
      </c>
      <c r="J189" s="2" t="s">
        <v>148</v>
      </c>
      <c r="K189" s="2"/>
      <c r="L189" s="2" t="s">
        <v>149</v>
      </c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x14ac:dyDescent="0.25">
      <c r="A190" s="2" t="s">
        <v>3340</v>
      </c>
      <c r="B190" s="2" t="s">
        <v>129</v>
      </c>
      <c r="C190" s="1">
        <v>44274</v>
      </c>
      <c r="D190" s="2" t="s">
        <v>130</v>
      </c>
      <c r="E190" s="2" t="s">
        <v>130</v>
      </c>
      <c r="F190" s="2" t="s">
        <v>147</v>
      </c>
      <c r="G190" s="2" t="s">
        <v>3341</v>
      </c>
      <c r="H190" s="2" t="s">
        <v>3342</v>
      </c>
      <c r="I190" s="2">
        <v>297070</v>
      </c>
      <c r="J190" s="2" t="s">
        <v>148</v>
      </c>
      <c r="K190" s="2"/>
      <c r="L190" s="2" t="s">
        <v>149</v>
      </c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x14ac:dyDescent="0.25">
      <c r="A191" s="2" t="s">
        <v>3343</v>
      </c>
      <c r="B191" s="2" t="s">
        <v>129</v>
      </c>
      <c r="C191" s="1">
        <v>44274</v>
      </c>
      <c r="D191" s="2" t="s">
        <v>130</v>
      </c>
      <c r="E191" s="2" t="s">
        <v>130</v>
      </c>
      <c r="F191" s="2" t="s">
        <v>391</v>
      </c>
      <c r="G191" s="2" t="s">
        <v>3344</v>
      </c>
      <c r="H191" s="2" t="s">
        <v>3345</v>
      </c>
      <c r="I191" s="2">
        <v>289982</v>
      </c>
      <c r="J191" s="2" t="s">
        <v>392</v>
      </c>
      <c r="K191" s="2"/>
      <c r="L191" s="2" t="s">
        <v>393</v>
      </c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x14ac:dyDescent="0.25">
      <c r="A192" s="2" t="s">
        <v>3346</v>
      </c>
      <c r="B192" s="2" t="s">
        <v>129</v>
      </c>
      <c r="C192" s="1">
        <v>44274</v>
      </c>
      <c r="D192" s="2" t="s">
        <v>130</v>
      </c>
      <c r="E192" s="2" t="s">
        <v>130</v>
      </c>
      <c r="F192" s="2" t="s">
        <v>391</v>
      </c>
      <c r="G192" s="2" t="s">
        <v>3347</v>
      </c>
      <c r="H192" s="2" t="s">
        <v>3348</v>
      </c>
      <c r="I192" s="2">
        <v>289991</v>
      </c>
      <c r="J192" s="2" t="s">
        <v>392</v>
      </c>
      <c r="K192" s="2"/>
      <c r="L192" s="2" t="s">
        <v>393</v>
      </c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x14ac:dyDescent="0.25">
      <c r="A193" s="2" t="s">
        <v>3349</v>
      </c>
      <c r="B193" s="2" t="s">
        <v>134</v>
      </c>
      <c r="C193" s="1">
        <v>44277</v>
      </c>
      <c r="D193" s="2" t="s">
        <v>130</v>
      </c>
      <c r="E193" s="2" t="s">
        <v>130</v>
      </c>
      <c r="F193" s="2" t="s">
        <v>186</v>
      </c>
      <c r="G193" s="2" t="s">
        <v>2708</v>
      </c>
      <c r="H193" s="2" t="s">
        <v>3350</v>
      </c>
      <c r="I193" s="2">
        <v>1270171</v>
      </c>
      <c r="J193" s="2" t="s">
        <v>187</v>
      </c>
      <c r="K193" s="2"/>
      <c r="L193" s="2" t="s">
        <v>188</v>
      </c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x14ac:dyDescent="0.25">
      <c r="A194" s="2" t="s">
        <v>3351</v>
      </c>
      <c r="B194" s="2" t="s">
        <v>129</v>
      </c>
      <c r="C194" s="1">
        <v>44275</v>
      </c>
      <c r="D194" s="2" t="s">
        <v>130</v>
      </c>
      <c r="E194" s="2" t="s">
        <v>130</v>
      </c>
      <c r="F194" s="2" t="s">
        <v>144</v>
      </c>
      <c r="G194" s="2" t="s">
        <v>557</v>
      </c>
      <c r="H194" s="2" t="s">
        <v>3352</v>
      </c>
      <c r="I194" s="2">
        <v>303570</v>
      </c>
      <c r="J194" s="2" t="s">
        <v>145</v>
      </c>
      <c r="K194" s="2"/>
      <c r="L194" s="2" t="s">
        <v>146</v>
      </c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x14ac:dyDescent="0.25">
      <c r="A195" s="2" t="s">
        <v>3353</v>
      </c>
      <c r="B195" s="2" t="s">
        <v>129</v>
      </c>
      <c r="C195" s="1">
        <v>44275</v>
      </c>
      <c r="D195" s="2" t="s">
        <v>130</v>
      </c>
      <c r="E195" s="2" t="s">
        <v>130</v>
      </c>
      <c r="F195" s="2" t="s">
        <v>150</v>
      </c>
      <c r="G195" s="2" t="s">
        <v>256</v>
      </c>
      <c r="H195" s="2" t="s">
        <v>3354</v>
      </c>
      <c r="I195" s="2">
        <v>303348</v>
      </c>
      <c r="J195" s="2" t="s">
        <v>151</v>
      </c>
      <c r="K195" s="2"/>
      <c r="L195" s="2" t="s">
        <v>152</v>
      </c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x14ac:dyDescent="0.25">
      <c r="A196" s="2" t="s">
        <v>3355</v>
      </c>
      <c r="B196" s="2" t="s">
        <v>129</v>
      </c>
      <c r="C196" s="1">
        <v>44275</v>
      </c>
      <c r="D196" s="2" t="s">
        <v>130</v>
      </c>
      <c r="E196" s="2" t="s">
        <v>130</v>
      </c>
      <c r="F196" s="2" t="s">
        <v>206</v>
      </c>
      <c r="G196" s="2" t="s">
        <v>3180</v>
      </c>
      <c r="H196" s="2" t="s">
        <v>3356</v>
      </c>
      <c r="I196" s="2">
        <v>1270208</v>
      </c>
      <c r="J196" s="2" t="s">
        <v>207</v>
      </c>
      <c r="K196" s="2"/>
      <c r="L196" s="2" t="s">
        <v>152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x14ac:dyDescent="0.25">
      <c r="A197" s="2" t="s">
        <v>3357</v>
      </c>
      <c r="B197" s="2" t="s">
        <v>129</v>
      </c>
      <c r="C197" s="1">
        <v>44279</v>
      </c>
      <c r="D197" s="2" t="s">
        <v>130</v>
      </c>
      <c r="E197" s="2" t="s">
        <v>130</v>
      </c>
      <c r="F197" s="2" t="s">
        <v>870</v>
      </c>
      <c r="G197" s="2" t="s">
        <v>3203</v>
      </c>
      <c r="H197" s="2" t="s">
        <v>3358</v>
      </c>
      <c r="I197" s="2">
        <v>305039</v>
      </c>
      <c r="J197" s="2" t="s">
        <v>148</v>
      </c>
      <c r="K197" s="2"/>
      <c r="L197" s="2" t="s">
        <v>138</v>
      </c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x14ac:dyDescent="0.25">
      <c r="A198" s="2" t="s">
        <v>3359</v>
      </c>
      <c r="B198" s="2" t="s">
        <v>129</v>
      </c>
      <c r="C198" s="1">
        <v>44275</v>
      </c>
      <c r="D198" s="2" t="s">
        <v>130</v>
      </c>
      <c r="E198" s="2" t="s">
        <v>130</v>
      </c>
      <c r="F198" s="2" t="s">
        <v>206</v>
      </c>
      <c r="G198" s="2" t="s">
        <v>214</v>
      </c>
      <c r="H198" s="2" t="s">
        <v>3360</v>
      </c>
      <c r="I198" s="2">
        <v>1270210</v>
      </c>
      <c r="J198" s="2" t="s">
        <v>207</v>
      </c>
      <c r="K198" s="2"/>
      <c r="L198" s="2" t="s">
        <v>152</v>
      </c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x14ac:dyDescent="0.25">
      <c r="A199" s="2" t="s">
        <v>3361</v>
      </c>
      <c r="B199" s="2" t="s">
        <v>129</v>
      </c>
      <c r="C199" s="1">
        <v>44275</v>
      </c>
      <c r="D199" s="2" t="s">
        <v>130</v>
      </c>
      <c r="E199" s="2" t="s">
        <v>130</v>
      </c>
      <c r="F199" s="2" t="s">
        <v>144</v>
      </c>
      <c r="G199" s="2" t="s">
        <v>526</v>
      </c>
      <c r="H199" s="2" t="s">
        <v>3362</v>
      </c>
      <c r="I199" s="2">
        <v>302384</v>
      </c>
      <c r="J199" s="2" t="s">
        <v>145</v>
      </c>
      <c r="K199" s="2"/>
      <c r="L199" s="2" t="s">
        <v>146</v>
      </c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x14ac:dyDescent="0.25">
      <c r="A200" s="2" t="s">
        <v>3363</v>
      </c>
      <c r="B200" s="2" t="s">
        <v>129</v>
      </c>
      <c r="C200" s="1">
        <v>44275</v>
      </c>
      <c r="D200" s="2" t="s">
        <v>130</v>
      </c>
      <c r="E200" s="2" t="s">
        <v>130</v>
      </c>
      <c r="F200" s="2" t="s">
        <v>144</v>
      </c>
      <c r="G200" s="2" t="s">
        <v>2755</v>
      </c>
      <c r="H200" s="2" t="s">
        <v>3364</v>
      </c>
      <c r="I200" s="2">
        <v>1270223</v>
      </c>
      <c r="J200" s="2" t="s">
        <v>145</v>
      </c>
      <c r="K200" s="2"/>
      <c r="L200" s="2" t="s">
        <v>146</v>
      </c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x14ac:dyDescent="0.25">
      <c r="A201" s="2" t="s">
        <v>3365</v>
      </c>
      <c r="B201" s="2" t="s">
        <v>129</v>
      </c>
      <c r="C201" s="1">
        <v>44275</v>
      </c>
      <c r="D201" s="2" t="s">
        <v>130</v>
      </c>
      <c r="E201" s="2" t="s">
        <v>130</v>
      </c>
      <c r="F201" s="2" t="s">
        <v>147</v>
      </c>
      <c r="G201" s="2" t="s">
        <v>426</v>
      </c>
      <c r="H201" s="2" t="s">
        <v>3366</v>
      </c>
      <c r="I201" s="2">
        <v>279441</v>
      </c>
      <c r="J201" s="2" t="s">
        <v>148</v>
      </c>
      <c r="K201" s="2"/>
      <c r="L201" s="2" t="s">
        <v>149</v>
      </c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x14ac:dyDescent="0.25">
      <c r="A202" s="2" t="s">
        <v>3367</v>
      </c>
      <c r="B202" s="2" t="s">
        <v>129</v>
      </c>
      <c r="C202" s="1">
        <v>44275</v>
      </c>
      <c r="D202" s="2" t="s">
        <v>130</v>
      </c>
      <c r="E202" s="2" t="s">
        <v>130</v>
      </c>
      <c r="F202" s="2" t="s">
        <v>388</v>
      </c>
      <c r="G202" s="2" t="s">
        <v>3368</v>
      </c>
      <c r="H202" s="2" t="s">
        <v>3369</v>
      </c>
      <c r="I202" s="2">
        <v>1270274</v>
      </c>
      <c r="J202" s="2" t="s">
        <v>218</v>
      </c>
      <c r="K202" s="2"/>
      <c r="L202" s="2" t="s">
        <v>219</v>
      </c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x14ac:dyDescent="0.25">
      <c r="A203" s="2" t="s">
        <v>3370</v>
      </c>
      <c r="B203" s="2" t="s">
        <v>134</v>
      </c>
      <c r="C203" s="1">
        <v>44275</v>
      </c>
      <c r="D203" s="2" t="s">
        <v>130</v>
      </c>
      <c r="E203" s="2" t="s">
        <v>130</v>
      </c>
      <c r="F203" s="2" t="s">
        <v>262</v>
      </c>
      <c r="G203" s="2" t="s">
        <v>136</v>
      </c>
      <c r="H203" s="2" t="s">
        <v>3371</v>
      </c>
      <c r="I203" s="2">
        <v>305376</v>
      </c>
      <c r="J203" s="2" t="s">
        <v>263</v>
      </c>
      <c r="K203" s="2"/>
      <c r="L203" s="2" t="s">
        <v>264</v>
      </c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x14ac:dyDescent="0.25">
      <c r="A204" s="2" t="s">
        <v>3372</v>
      </c>
      <c r="B204" s="2" t="s">
        <v>134</v>
      </c>
      <c r="C204" s="1">
        <v>44275</v>
      </c>
      <c r="D204" s="2" t="s">
        <v>130</v>
      </c>
      <c r="E204" s="2" t="s">
        <v>130</v>
      </c>
      <c r="F204" s="2" t="s">
        <v>262</v>
      </c>
      <c r="G204" s="2" t="s">
        <v>136</v>
      </c>
      <c r="H204" s="2" t="s">
        <v>3373</v>
      </c>
      <c r="I204" s="2">
        <v>305377</v>
      </c>
      <c r="J204" s="2" t="s">
        <v>263</v>
      </c>
      <c r="K204" s="2"/>
      <c r="L204" s="2" t="s">
        <v>264</v>
      </c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x14ac:dyDescent="0.25">
      <c r="A205" s="2" t="s">
        <v>3374</v>
      </c>
      <c r="B205" s="2" t="s">
        <v>134</v>
      </c>
      <c r="C205" s="1">
        <v>44276</v>
      </c>
      <c r="D205" s="2" t="s">
        <v>130</v>
      </c>
      <c r="E205" s="2" t="s">
        <v>130</v>
      </c>
      <c r="F205" s="2" t="s">
        <v>206</v>
      </c>
      <c r="G205" s="2" t="s">
        <v>3179</v>
      </c>
      <c r="H205" s="2" t="s">
        <v>3375</v>
      </c>
      <c r="I205" s="2">
        <v>1270341</v>
      </c>
      <c r="J205" s="2" t="s">
        <v>207</v>
      </c>
      <c r="K205" s="2"/>
      <c r="L205" s="2" t="s">
        <v>152</v>
      </c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x14ac:dyDescent="0.25">
      <c r="A206" s="2" t="s">
        <v>3376</v>
      </c>
      <c r="B206" s="2" t="s">
        <v>129</v>
      </c>
      <c r="C206" s="1">
        <v>44276</v>
      </c>
      <c r="D206" s="2" t="s">
        <v>130</v>
      </c>
      <c r="E206" s="2" t="s">
        <v>130</v>
      </c>
      <c r="F206" s="2" t="s">
        <v>3377</v>
      </c>
      <c r="G206" s="2" t="s">
        <v>3377</v>
      </c>
      <c r="H206" s="2" t="s">
        <v>3378</v>
      </c>
      <c r="I206" s="2">
        <v>1107768</v>
      </c>
      <c r="J206" s="2" t="s">
        <v>3379</v>
      </c>
      <c r="K206" s="2"/>
      <c r="L206" s="2" t="s">
        <v>138</v>
      </c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x14ac:dyDescent="0.25">
      <c r="A207" s="2" t="s">
        <v>3380</v>
      </c>
      <c r="B207" s="2" t="s">
        <v>129</v>
      </c>
      <c r="C207" s="1">
        <v>44276</v>
      </c>
      <c r="D207" s="2" t="s">
        <v>130</v>
      </c>
      <c r="E207" s="2" t="s">
        <v>130</v>
      </c>
      <c r="F207" s="2" t="s">
        <v>3381</v>
      </c>
      <c r="G207" s="2" t="s">
        <v>3382</v>
      </c>
      <c r="H207" s="2" t="s">
        <v>3383</v>
      </c>
      <c r="I207" s="2">
        <v>1114792</v>
      </c>
      <c r="J207" s="2" t="s">
        <v>3185</v>
      </c>
      <c r="K207" s="2"/>
      <c r="L207" s="2" t="s">
        <v>138</v>
      </c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x14ac:dyDescent="0.25">
      <c r="A208" s="2" t="s">
        <v>3384</v>
      </c>
      <c r="B208" s="2" t="s">
        <v>134</v>
      </c>
      <c r="C208" s="1">
        <v>44276</v>
      </c>
      <c r="D208" s="2" t="s">
        <v>130</v>
      </c>
      <c r="E208" s="2" t="s">
        <v>130</v>
      </c>
      <c r="F208" s="2" t="s">
        <v>1324</v>
      </c>
      <c r="G208" s="2" t="s">
        <v>3385</v>
      </c>
      <c r="H208" s="2" t="s">
        <v>3386</v>
      </c>
      <c r="I208" s="2">
        <v>204107</v>
      </c>
      <c r="J208" s="2" t="s">
        <v>199</v>
      </c>
      <c r="K208" s="2"/>
      <c r="L208" s="2" t="s">
        <v>192</v>
      </c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x14ac:dyDescent="0.25">
      <c r="A209" s="2" t="s">
        <v>3387</v>
      </c>
      <c r="B209" s="2" t="s">
        <v>134</v>
      </c>
      <c r="C209" s="1">
        <v>44276</v>
      </c>
      <c r="D209" s="2" t="s">
        <v>130</v>
      </c>
      <c r="E209" s="2" t="s">
        <v>130</v>
      </c>
      <c r="F209" s="2" t="s">
        <v>206</v>
      </c>
      <c r="G209" s="2" t="s">
        <v>2714</v>
      </c>
      <c r="H209" s="2" t="s">
        <v>3388</v>
      </c>
      <c r="I209" s="2">
        <v>1270385</v>
      </c>
      <c r="J209" s="2" t="s">
        <v>207</v>
      </c>
      <c r="K209" s="2"/>
      <c r="L209" s="2" t="s">
        <v>152</v>
      </c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x14ac:dyDescent="0.25">
      <c r="A210" s="2" t="s">
        <v>3389</v>
      </c>
      <c r="B210" s="2" t="s">
        <v>134</v>
      </c>
      <c r="C210" s="1">
        <v>44276</v>
      </c>
      <c r="D210" s="2" t="s">
        <v>130</v>
      </c>
      <c r="E210" s="2" t="s">
        <v>130</v>
      </c>
      <c r="F210" s="2" t="s">
        <v>1324</v>
      </c>
      <c r="G210" s="2" t="s">
        <v>3390</v>
      </c>
      <c r="H210" s="2" t="s">
        <v>3391</v>
      </c>
      <c r="I210" s="2">
        <v>275121</v>
      </c>
      <c r="J210" s="2" t="s">
        <v>199</v>
      </c>
      <c r="K210" s="2"/>
      <c r="L210" s="2" t="s">
        <v>192</v>
      </c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x14ac:dyDescent="0.25">
      <c r="A211" s="2" t="s">
        <v>3392</v>
      </c>
      <c r="B211" s="2" t="s">
        <v>129</v>
      </c>
      <c r="C211" s="1">
        <v>44277</v>
      </c>
      <c r="D211" s="2" t="s">
        <v>130</v>
      </c>
      <c r="E211" s="2" t="s">
        <v>130</v>
      </c>
      <c r="F211" s="2" t="s">
        <v>326</v>
      </c>
      <c r="G211" s="2" t="s">
        <v>327</v>
      </c>
      <c r="H211" s="2" t="s">
        <v>3393</v>
      </c>
      <c r="I211" s="2">
        <v>1270390</v>
      </c>
      <c r="J211" s="2" t="s">
        <v>132</v>
      </c>
      <c r="K211" s="2"/>
      <c r="L211" s="2" t="s">
        <v>328</v>
      </c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x14ac:dyDescent="0.25">
      <c r="A212" s="2" t="s">
        <v>3394</v>
      </c>
      <c r="B212" s="2" t="s">
        <v>134</v>
      </c>
      <c r="C212" s="1">
        <v>44276</v>
      </c>
      <c r="D212" s="2" t="s">
        <v>130</v>
      </c>
      <c r="E212" s="2" t="s">
        <v>130</v>
      </c>
      <c r="F212" s="2" t="s">
        <v>153</v>
      </c>
      <c r="G212" s="2" t="s">
        <v>3395</v>
      </c>
      <c r="H212" s="2" t="s">
        <v>3396</v>
      </c>
      <c r="I212" s="2">
        <v>1270392</v>
      </c>
      <c r="J212" s="2" t="s">
        <v>154</v>
      </c>
      <c r="K212" s="2"/>
      <c r="L212" s="2" t="s">
        <v>155</v>
      </c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x14ac:dyDescent="0.25">
      <c r="A213" s="2" t="s">
        <v>3397</v>
      </c>
      <c r="B213" s="2" t="s">
        <v>134</v>
      </c>
      <c r="C213" s="1">
        <v>44276</v>
      </c>
      <c r="D213" s="2" t="s">
        <v>130</v>
      </c>
      <c r="E213" s="2" t="s">
        <v>130</v>
      </c>
      <c r="F213" s="2" t="s">
        <v>153</v>
      </c>
      <c r="G213" s="2" t="s">
        <v>3398</v>
      </c>
      <c r="H213" s="2" t="s">
        <v>3399</v>
      </c>
      <c r="I213" s="2">
        <v>1270393</v>
      </c>
      <c r="J213" s="2" t="s">
        <v>154</v>
      </c>
      <c r="K213" s="2"/>
      <c r="L213" s="2" t="s">
        <v>155</v>
      </c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x14ac:dyDescent="0.25">
      <c r="A214" s="2" t="s">
        <v>3400</v>
      </c>
      <c r="B214" s="2" t="s">
        <v>129</v>
      </c>
      <c r="C214" s="1">
        <v>44276</v>
      </c>
      <c r="D214" s="2" t="s">
        <v>130</v>
      </c>
      <c r="E214" s="2" t="s">
        <v>130</v>
      </c>
      <c r="F214" s="2" t="s">
        <v>546</v>
      </c>
      <c r="G214" s="2" t="s">
        <v>3401</v>
      </c>
      <c r="H214" s="2" t="s">
        <v>3402</v>
      </c>
      <c r="I214" s="2">
        <v>1270421</v>
      </c>
      <c r="J214" s="2" t="s">
        <v>303</v>
      </c>
      <c r="K214" s="2"/>
      <c r="L214" s="2" t="s">
        <v>152</v>
      </c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x14ac:dyDescent="0.25">
      <c r="A215" s="2" t="s">
        <v>3403</v>
      </c>
      <c r="B215" s="2" t="s">
        <v>129</v>
      </c>
      <c r="C215" s="1">
        <v>44276</v>
      </c>
      <c r="D215" s="2" t="s">
        <v>130</v>
      </c>
      <c r="E215" s="2" t="s">
        <v>130</v>
      </c>
      <c r="F215" s="2" t="s">
        <v>546</v>
      </c>
      <c r="G215" s="2" t="s">
        <v>3404</v>
      </c>
      <c r="H215" s="2" t="s">
        <v>3405</v>
      </c>
      <c r="I215" s="2">
        <v>1270423</v>
      </c>
      <c r="J215" s="2" t="s">
        <v>303</v>
      </c>
      <c r="K215" s="2"/>
      <c r="L215" s="2" t="s">
        <v>152</v>
      </c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x14ac:dyDescent="0.25">
      <c r="A216" s="2" t="s">
        <v>3406</v>
      </c>
      <c r="B216" s="2" t="s">
        <v>129</v>
      </c>
      <c r="C216" s="1">
        <v>44276</v>
      </c>
      <c r="D216" s="2" t="s">
        <v>130</v>
      </c>
      <c r="E216" s="2" t="s">
        <v>130</v>
      </c>
      <c r="F216" s="2" t="s">
        <v>546</v>
      </c>
      <c r="G216" s="2" t="s">
        <v>3407</v>
      </c>
      <c r="H216" s="2" t="s">
        <v>3408</v>
      </c>
      <c r="I216" s="2">
        <v>1270424</v>
      </c>
      <c r="J216" s="2" t="s">
        <v>303</v>
      </c>
      <c r="K216" s="2"/>
      <c r="L216" s="2" t="s">
        <v>152</v>
      </c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x14ac:dyDescent="0.25">
      <c r="A217" s="2" t="s">
        <v>3409</v>
      </c>
      <c r="B217" s="2" t="s">
        <v>129</v>
      </c>
      <c r="C217" s="1">
        <v>44276</v>
      </c>
      <c r="D217" s="2" t="s">
        <v>130</v>
      </c>
      <c r="E217" s="2" t="s">
        <v>130</v>
      </c>
      <c r="F217" s="2" t="s">
        <v>546</v>
      </c>
      <c r="G217" s="2" t="s">
        <v>3197</v>
      </c>
      <c r="H217" s="2" t="s">
        <v>3410</v>
      </c>
      <c r="I217" s="2">
        <v>1270425</v>
      </c>
      <c r="J217" s="2" t="s">
        <v>303</v>
      </c>
      <c r="K217" s="2"/>
      <c r="L217" s="2" t="s">
        <v>152</v>
      </c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x14ac:dyDescent="0.25">
      <c r="A218" s="2" t="s">
        <v>3411</v>
      </c>
      <c r="B218" s="2" t="s">
        <v>129</v>
      </c>
      <c r="C218" s="1">
        <v>44276</v>
      </c>
      <c r="D218" s="2" t="s">
        <v>130</v>
      </c>
      <c r="E218" s="2" t="s">
        <v>130</v>
      </c>
      <c r="F218" s="2" t="s">
        <v>546</v>
      </c>
      <c r="G218" s="2" t="s">
        <v>547</v>
      </c>
      <c r="H218" s="2" t="s">
        <v>3412</v>
      </c>
      <c r="I218" s="2">
        <v>1270427</v>
      </c>
      <c r="J218" s="2" t="s">
        <v>303</v>
      </c>
      <c r="K218" s="2"/>
      <c r="L218" s="2" t="s">
        <v>152</v>
      </c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x14ac:dyDescent="0.25">
      <c r="A219" s="2" t="s">
        <v>3413</v>
      </c>
      <c r="B219" s="2" t="s">
        <v>129</v>
      </c>
      <c r="C219" s="1">
        <v>44276</v>
      </c>
      <c r="D219" s="2" t="s">
        <v>130</v>
      </c>
      <c r="E219" s="2" t="s">
        <v>130</v>
      </c>
      <c r="F219" s="2" t="s">
        <v>546</v>
      </c>
      <c r="G219" s="2" t="s">
        <v>3195</v>
      </c>
      <c r="H219" s="2" t="s">
        <v>3414</v>
      </c>
      <c r="I219" s="2">
        <v>1270428</v>
      </c>
      <c r="J219" s="2" t="s">
        <v>303</v>
      </c>
      <c r="K219" s="2"/>
      <c r="L219" s="2" t="s">
        <v>152</v>
      </c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x14ac:dyDescent="0.25">
      <c r="A220" s="2" t="s">
        <v>3415</v>
      </c>
      <c r="B220" s="2" t="s">
        <v>129</v>
      </c>
      <c r="C220" s="1">
        <v>44276</v>
      </c>
      <c r="D220" s="2" t="s">
        <v>130</v>
      </c>
      <c r="E220" s="2" t="s">
        <v>130</v>
      </c>
      <c r="F220" s="2" t="s">
        <v>206</v>
      </c>
      <c r="G220" s="2" t="s">
        <v>3187</v>
      </c>
      <c r="H220" s="2" t="s">
        <v>3416</v>
      </c>
      <c r="I220" s="2">
        <v>1270441</v>
      </c>
      <c r="J220" s="2" t="s">
        <v>207</v>
      </c>
      <c r="K220" s="2"/>
      <c r="L220" s="2" t="s">
        <v>152</v>
      </c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x14ac:dyDescent="0.25">
      <c r="A221" s="2" t="s">
        <v>3417</v>
      </c>
      <c r="B221" s="2" t="s">
        <v>129</v>
      </c>
      <c r="C221" s="1">
        <v>44276</v>
      </c>
      <c r="D221" s="2" t="s">
        <v>130</v>
      </c>
      <c r="E221" s="2" t="s">
        <v>130</v>
      </c>
      <c r="F221" s="2" t="s">
        <v>193</v>
      </c>
      <c r="G221" s="2" t="s">
        <v>136</v>
      </c>
      <c r="H221" s="2" t="s">
        <v>3418</v>
      </c>
      <c r="I221" s="2">
        <v>305543</v>
      </c>
      <c r="J221" s="2" t="s">
        <v>194</v>
      </c>
      <c r="K221" s="2"/>
      <c r="L221" s="2" t="s">
        <v>146</v>
      </c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x14ac:dyDescent="0.25">
      <c r="A222" s="2" t="s">
        <v>3419</v>
      </c>
      <c r="B222" s="2" t="s">
        <v>129</v>
      </c>
      <c r="C222" s="1">
        <v>44277</v>
      </c>
      <c r="D222" s="2" t="s">
        <v>130</v>
      </c>
      <c r="E222" s="2" t="s">
        <v>130</v>
      </c>
      <c r="F222" s="2" t="s">
        <v>220</v>
      </c>
      <c r="G222" s="2" t="s">
        <v>518</v>
      </c>
      <c r="H222" s="2" t="s">
        <v>3420</v>
      </c>
      <c r="I222" s="2">
        <v>289107</v>
      </c>
      <c r="J222" s="2" t="s">
        <v>161</v>
      </c>
      <c r="K222" s="2"/>
      <c r="L222" s="2" t="s">
        <v>221</v>
      </c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x14ac:dyDescent="0.25">
      <c r="A223" s="2" t="s">
        <v>3421</v>
      </c>
      <c r="B223" s="2" t="s">
        <v>129</v>
      </c>
      <c r="C223" s="1">
        <v>44276</v>
      </c>
      <c r="D223" s="2" t="s">
        <v>130</v>
      </c>
      <c r="E223" s="2" t="s">
        <v>130</v>
      </c>
      <c r="F223" s="2" t="s">
        <v>399</v>
      </c>
      <c r="G223" s="2" t="s">
        <v>3422</v>
      </c>
      <c r="H223" s="2" t="s">
        <v>3423</v>
      </c>
      <c r="I223" s="2">
        <v>1270492</v>
      </c>
      <c r="J223" s="2" t="s">
        <v>323</v>
      </c>
      <c r="K223" s="2"/>
      <c r="L223" s="2" t="s">
        <v>373</v>
      </c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x14ac:dyDescent="0.25">
      <c r="A224" s="2" t="s">
        <v>3424</v>
      </c>
      <c r="B224" s="2" t="s">
        <v>129</v>
      </c>
      <c r="C224" s="1">
        <v>44277</v>
      </c>
      <c r="D224" s="2" t="s">
        <v>130</v>
      </c>
      <c r="E224" s="2" t="s">
        <v>130</v>
      </c>
      <c r="F224" s="2" t="s">
        <v>206</v>
      </c>
      <c r="G224" s="2" t="s">
        <v>2699</v>
      </c>
      <c r="H224" s="2" t="s">
        <v>3425</v>
      </c>
      <c r="I224" s="2">
        <v>1270501</v>
      </c>
      <c r="J224" s="2" t="s">
        <v>207</v>
      </c>
      <c r="K224" s="2"/>
      <c r="L224" s="2" t="s">
        <v>152</v>
      </c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x14ac:dyDescent="0.25">
      <c r="A225" s="2" t="s">
        <v>3426</v>
      </c>
      <c r="B225" s="2" t="s">
        <v>129</v>
      </c>
      <c r="C225" s="1">
        <v>44277</v>
      </c>
      <c r="D225" s="2" t="s">
        <v>130</v>
      </c>
      <c r="E225" s="2" t="s">
        <v>130</v>
      </c>
      <c r="F225" s="2" t="s">
        <v>206</v>
      </c>
      <c r="G225" s="2" t="s">
        <v>552</v>
      </c>
      <c r="H225" s="2" t="s">
        <v>3427</v>
      </c>
      <c r="I225" s="2">
        <v>1270502</v>
      </c>
      <c r="J225" s="2" t="s">
        <v>207</v>
      </c>
      <c r="K225" s="2"/>
      <c r="L225" s="2" t="s">
        <v>152</v>
      </c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x14ac:dyDescent="0.25">
      <c r="A226" s="2" t="s">
        <v>3428</v>
      </c>
      <c r="B226" s="2" t="s">
        <v>134</v>
      </c>
      <c r="C226" s="1">
        <v>44277</v>
      </c>
      <c r="D226" s="2" t="s">
        <v>130</v>
      </c>
      <c r="E226" s="2" t="s">
        <v>130</v>
      </c>
      <c r="F226" s="2" t="s">
        <v>390</v>
      </c>
      <c r="G226" s="2" t="s">
        <v>3429</v>
      </c>
      <c r="H226" s="2" t="s">
        <v>3430</v>
      </c>
      <c r="I226" s="2">
        <v>243912</v>
      </c>
      <c r="J226" s="2" t="s">
        <v>2719</v>
      </c>
      <c r="K226" s="2"/>
      <c r="L226" s="2" t="s">
        <v>296</v>
      </c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x14ac:dyDescent="0.25">
      <c r="A227" s="2" t="s">
        <v>3431</v>
      </c>
      <c r="B227" s="2" t="s">
        <v>134</v>
      </c>
      <c r="C227" s="1">
        <v>44277</v>
      </c>
      <c r="D227" s="2" t="s">
        <v>130</v>
      </c>
      <c r="E227" s="2" t="s">
        <v>130</v>
      </c>
      <c r="F227" s="2" t="s">
        <v>413</v>
      </c>
      <c r="G227" s="2" t="s">
        <v>3432</v>
      </c>
      <c r="H227" s="2" t="s">
        <v>3433</v>
      </c>
      <c r="I227" s="2">
        <v>244063</v>
      </c>
      <c r="J227" s="2" t="s">
        <v>164</v>
      </c>
      <c r="K227" s="2"/>
      <c r="L227" s="2" t="s">
        <v>414</v>
      </c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x14ac:dyDescent="0.25">
      <c r="A228" s="2" t="s">
        <v>3434</v>
      </c>
      <c r="B228" s="2" t="s">
        <v>129</v>
      </c>
      <c r="C228" s="1">
        <v>44277</v>
      </c>
      <c r="D228" s="2" t="s">
        <v>130</v>
      </c>
      <c r="E228" s="2" t="s">
        <v>130</v>
      </c>
      <c r="F228" s="2" t="s">
        <v>315</v>
      </c>
      <c r="G228" s="2" t="s">
        <v>3435</v>
      </c>
      <c r="H228" s="2" t="s">
        <v>3436</v>
      </c>
      <c r="I228" s="2">
        <v>47434</v>
      </c>
      <c r="J228" s="2" t="s">
        <v>316</v>
      </c>
      <c r="K228" s="2"/>
      <c r="L228" s="2" t="s">
        <v>296</v>
      </c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x14ac:dyDescent="0.25">
      <c r="A229" s="2" t="s">
        <v>3437</v>
      </c>
      <c r="B229" s="2" t="s">
        <v>134</v>
      </c>
      <c r="C229" s="1">
        <v>44277</v>
      </c>
      <c r="D229" s="2" t="s">
        <v>130</v>
      </c>
      <c r="E229" s="2" t="s">
        <v>130</v>
      </c>
      <c r="F229" s="2" t="s">
        <v>1126</v>
      </c>
      <c r="G229" s="2" t="s">
        <v>3216</v>
      </c>
      <c r="H229" s="2" t="s">
        <v>3438</v>
      </c>
      <c r="I229" s="2">
        <v>305979</v>
      </c>
      <c r="J229" s="2" t="s">
        <v>137</v>
      </c>
      <c r="K229" s="2"/>
      <c r="L229" s="2" t="s">
        <v>2718</v>
      </c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x14ac:dyDescent="0.25">
      <c r="A230" s="2" t="s">
        <v>3439</v>
      </c>
      <c r="B230" s="2" t="s">
        <v>129</v>
      </c>
      <c r="C230" s="1">
        <v>44277</v>
      </c>
      <c r="D230" s="2" t="s">
        <v>130</v>
      </c>
      <c r="E230" s="2" t="s">
        <v>130</v>
      </c>
      <c r="F230" s="2" t="s">
        <v>315</v>
      </c>
      <c r="G230" s="2" t="s">
        <v>3440</v>
      </c>
      <c r="H230" s="2" t="s">
        <v>3441</v>
      </c>
      <c r="I230" s="2">
        <v>45161</v>
      </c>
      <c r="J230" s="2" t="s">
        <v>316</v>
      </c>
      <c r="K230" s="2"/>
      <c r="L230" s="2" t="s">
        <v>296</v>
      </c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x14ac:dyDescent="0.25">
      <c r="A231" s="2" t="s">
        <v>3442</v>
      </c>
      <c r="B231" s="2" t="s">
        <v>129</v>
      </c>
      <c r="C231" s="1">
        <v>44277</v>
      </c>
      <c r="D231" s="2" t="s">
        <v>130</v>
      </c>
      <c r="E231" s="2" t="s">
        <v>130</v>
      </c>
      <c r="F231" s="2" t="s">
        <v>220</v>
      </c>
      <c r="G231" s="2" t="s">
        <v>2717</v>
      </c>
      <c r="H231" s="2" t="s">
        <v>3443</v>
      </c>
      <c r="I231" s="2">
        <v>1270527</v>
      </c>
      <c r="J231" s="2" t="s">
        <v>161</v>
      </c>
      <c r="K231" s="2"/>
      <c r="L231" s="2" t="s">
        <v>221</v>
      </c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x14ac:dyDescent="0.25">
      <c r="A232" s="2" t="s">
        <v>3444</v>
      </c>
      <c r="B232" s="2" t="s">
        <v>134</v>
      </c>
      <c r="C232" s="1">
        <v>44277</v>
      </c>
      <c r="D232" s="2" t="s">
        <v>130</v>
      </c>
      <c r="E232" s="2" t="s">
        <v>130</v>
      </c>
      <c r="F232" s="2" t="s">
        <v>284</v>
      </c>
      <c r="G232" s="2" t="s">
        <v>3445</v>
      </c>
      <c r="H232" s="2" t="s">
        <v>3446</v>
      </c>
      <c r="I232" s="2">
        <v>286148</v>
      </c>
      <c r="J232" s="2" t="s">
        <v>196</v>
      </c>
      <c r="K232" s="2"/>
      <c r="L232" s="2" t="s">
        <v>285</v>
      </c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x14ac:dyDescent="0.25">
      <c r="A233" s="2" t="s">
        <v>3447</v>
      </c>
      <c r="B233" s="2" t="s">
        <v>134</v>
      </c>
      <c r="C233" s="1">
        <v>44277</v>
      </c>
      <c r="D233" s="2" t="s">
        <v>130</v>
      </c>
      <c r="E233" s="2" t="s">
        <v>130</v>
      </c>
      <c r="F233" s="2" t="s">
        <v>284</v>
      </c>
      <c r="G233" s="2" t="s">
        <v>3448</v>
      </c>
      <c r="H233" s="2" t="s">
        <v>3449</v>
      </c>
      <c r="I233" s="2">
        <v>300275</v>
      </c>
      <c r="J233" s="2" t="s">
        <v>196</v>
      </c>
      <c r="K233" s="2"/>
      <c r="L233" s="2" t="s">
        <v>285</v>
      </c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x14ac:dyDescent="0.25">
      <c r="A234" s="2" t="s">
        <v>3450</v>
      </c>
      <c r="B234" s="2" t="s">
        <v>134</v>
      </c>
      <c r="C234" s="1">
        <v>44277</v>
      </c>
      <c r="D234" s="2" t="s">
        <v>130</v>
      </c>
      <c r="E234" s="2" t="s">
        <v>130</v>
      </c>
      <c r="F234" s="2" t="s">
        <v>284</v>
      </c>
      <c r="G234" s="2" t="s">
        <v>3451</v>
      </c>
      <c r="H234" s="2" t="s">
        <v>3452</v>
      </c>
      <c r="I234" s="2">
        <v>295284</v>
      </c>
      <c r="J234" s="2" t="s">
        <v>196</v>
      </c>
      <c r="K234" s="2"/>
      <c r="L234" s="2" t="s">
        <v>285</v>
      </c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x14ac:dyDescent="0.25">
      <c r="A235" s="2" t="s">
        <v>3453</v>
      </c>
      <c r="B235" s="2" t="s">
        <v>129</v>
      </c>
      <c r="C235" s="1">
        <v>44277</v>
      </c>
      <c r="D235" s="2" t="s">
        <v>130</v>
      </c>
      <c r="E235" s="2" t="s">
        <v>130</v>
      </c>
      <c r="F235" s="2" t="s">
        <v>131</v>
      </c>
      <c r="G235" s="2" t="s">
        <v>3194</v>
      </c>
      <c r="H235" s="2" t="s">
        <v>3454</v>
      </c>
      <c r="I235" s="2">
        <v>92309</v>
      </c>
      <c r="J235" s="2" t="s">
        <v>132</v>
      </c>
      <c r="K235" s="2"/>
      <c r="L235" s="2" t="s">
        <v>133</v>
      </c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x14ac:dyDescent="0.25">
      <c r="A236" s="2" t="s">
        <v>3455</v>
      </c>
      <c r="B236" s="2" t="s">
        <v>134</v>
      </c>
      <c r="C236" s="1">
        <v>44277</v>
      </c>
      <c r="D236" s="2" t="s">
        <v>130</v>
      </c>
      <c r="E236" s="2" t="s">
        <v>130</v>
      </c>
      <c r="F236" s="2" t="s">
        <v>223</v>
      </c>
      <c r="G236" s="2" t="s">
        <v>301</v>
      </c>
      <c r="H236" s="2" t="s">
        <v>3456</v>
      </c>
      <c r="I236" s="2">
        <v>292026</v>
      </c>
      <c r="J236" s="2" t="s">
        <v>225</v>
      </c>
      <c r="K236" s="2"/>
      <c r="L236" s="2" t="s">
        <v>226</v>
      </c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x14ac:dyDescent="0.25">
      <c r="A237" s="2" t="s">
        <v>3457</v>
      </c>
      <c r="B237" s="2" t="s">
        <v>134</v>
      </c>
      <c r="C237" s="1">
        <v>44277</v>
      </c>
      <c r="D237" s="2" t="s">
        <v>130</v>
      </c>
      <c r="E237" s="2" t="s">
        <v>130</v>
      </c>
      <c r="F237" s="2" t="s">
        <v>223</v>
      </c>
      <c r="G237" s="2" t="s">
        <v>300</v>
      </c>
      <c r="H237" s="2" t="s">
        <v>3458</v>
      </c>
      <c r="I237" s="2">
        <v>292028</v>
      </c>
      <c r="J237" s="2" t="s">
        <v>225</v>
      </c>
      <c r="K237" s="2"/>
      <c r="L237" s="2" t="s">
        <v>226</v>
      </c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x14ac:dyDescent="0.25">
      <c r="A238" s="2" t="s">
        <v>3459</v>
      </c>
      <c r="B238" s="2" t="s">
        <v>129</v>
      </c>
      <c r="C238" s="1">
        <v>44277</v>
      </c>
      <c r="D238" s="2" t="s">
        <v>130</v>
      </c>
      <c r="E238" s="2" t="s">
        <v>130</v>
      </c>
      <c r="F238" s="2" t="s">
        <v>150</v>
      </c>
      <c r="G238" s="2" t="s">
        <v>2735</v>
      </c>
      <c r="H238" s="2" t="s">
        <v>3460</v>
      </c>
      <c r="I238" s="2">
        <v>294071</v>
      </c>
      <c r="J238" s="2" t="s">
        <v>151</v>
      </c>
      <c r="K238" s="2"/>
      <c r="L238" s="2" t="s">
        <v>152</v>
      </c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x14ac:dyDescent="0.25">
      <c r="A239" s="2" t="s">
        <v>3461</v>
      </c>
      <c r="B239" s="2" t="s">
        <v>129</v>
      </c>
      <c r="C239" s="1">
        <v>44277</v>
      </c>
      <c r="D239" s="2" t="s">
        <v>130</v>
      </c>
      <c r="E239" s="2" t="s">
        <v>130</v>
      </c>
      <c r="F239" s="2" t="s">
        <v>150</v>
      </c>
      <c r="G239" s="2" t="s">
        <v>255</v>
      </c>
      <c r="H239" s="2" t="s">
        <v>3462</v>
      </c>
      <c r="I239" s="2">
        <v>304849</v>
      </c>
      <c r="J239" s="2" t="s">
        <v>151</v>
      </c>
      <c r="K239" s="2"/>
      <c r="L239" s="2" t="s">
        <v>152</v>
      </c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x14ac:dyDescent="0.25">
      <c r="A240" s="2" t="s">
        <v>3463</v>
      </c>
      <c r="B240" s="2" t="s">
        <v>129</v>
      </c>
      <c r="C240" s="1">
        <v>44278</v>
      </c>
      <c r="D240" s="2" t="s">
        <v>130</v>
      </c>
      <c r="E240" s="2" t="s">
        <v>130</v>
      </c>
      <c r="F240" s="2" t="s">
        <v>1090</v>
      </c>
      <c r="G240" s="2" t="s">
        <v>3464</v>
      </c>
      <c r="H240" s="2" t="s">
        <v>3465</v>
      </c>
      <c r="I240" s="2">
        <v>281629</v>
      </c>
      <c r="J240" s="2" t="s">
        <v>548</v>
      </c>
      <c r="K240" s="2"/>
      <c r="L240" s="2" t="s">
        <v>152</v>
      </c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x14ac:dyDescent="0.25">
      <c r="A241" s="2" t="s">
        <v>3466</v>
      </c>
      <c r="B241" s="2" t="s">
        <v>134</v>
      </c>
      <c r="C241" s="1">
        <v>44279</v>
      </c>
      <c r="D241" s="2" t="s">
        <v>130</v>
      </c>
      <c r="E241" s="2" t="s">
        <v>130</v>
      </c>
      <c r="F241" s="2" t="s">
        <v>241</v>
      </c>
      <c r="G241" s="2" t="s">
        <v>3467</v>
      </c>
      <c r="H241" s="2" t="s">
        <v>3468</v>
      </c>
      <c r="I241" s="2">
        <v>1053740</v>
      </c>
      <c r="J241" s="2" t="s">
        <v>242</v>
      </c>
      <c r="K241" s="2"/>
      <c r="L241" s="2" t="s">
        <v>243</v>
      </c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x14ac:dyDescent="0.25">
      <c r="A242" s="2" t="s">
        <v>3469</v>
      </c>
      <c r="B242" s="2" t="s">
        <v>129</v>
      </c>
      <c r="C242" s="1">
        <v>44278</v>
      </c>
      <c r="D242" s="2" t="s">
        <v>130</v>
      </c>
      <c r="E242" s="2" t="s">
        <v>130</v>
      </c>
      <c r="F242" s="2" t="s">
        <v>326</v>
      </c>
      <c r="G242" s="2" t="s">
        <v>397</v>
      </c>
      <c r="H242" s="2" t="s">
        <v>3470</v>
      </c>
      <c r="I242" s="2">
        <v>1270591</v>
      </c>
      <c r="J242" s="2" t="s">
        <v>132</v>
      </c>
      <c r="K242" s="2"/>
      <c r="L242" s="2" t="s">
        <v>328</v>
      </c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x14ac:dyDescent="0.25">
      <c r="A243" s="2" t="s">
        <v>3471</v>
      </c>
      <c r="B243" s="2" t="s">
        <v>129</v>
      </c>
      <c r="C243" s="1">
        <v>44278</v>
      </c>
      <c r="D243" s="2" t="s">
        <v>130</v>
      </c>
      <c r="E243" s="2" t="s">
        <v>130</v>
      </c>
      <c r="F243" s="2" t="s">
        <v>157</v>
      </c>
      <c r="G243" s="2" t="s">
        <v>244</v>
      </c>
      <c r="H243" s="2" t="s">
        <v>3472</v>
      </c>
      <c r="I243" s="2">
        <v>304651</v>
      </c>
      <c r="J243" s="2" t="s">
        <v>151</v>
      </c>
      <c r="K243" s="2"/>
      <c r="L243" s="2" t="s">
        <v>152</v>
      </c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x14ac:dyDescent="0.25">
      <c r="A244" s="2" t="s">
        <v>3473</v>
      </c>
      <c r="B244" s="2" t="s">
        <v>129</v>
      </c>
      <c r="C244" s="1">
        <v>44278</v>
      </c>
      <c r="D244" s="2" t="s">
        <v>130</v>
      </c>
      <c r="E244" s="2" t="s">
        <v>130</v>
      </c>
      <c r="F244" s="2" t="s">
        <v>150</v>
      </c>
      <c r="G244" s="2" t="s">
        <v>3200</v>
      </c>
      <c r="H244" s="2" t="s">
        <v>3474</v>
      </c>
      <c r="I244" s="2">
        <v>302566</v>
      </c>
      <c r="J244" s="2" t="s">
        <v>151</v>
      </c>
      <c r="K244" s="2"/>
      <c r="L244" s="2" t="s">
        <v>152</v>
      </c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x14ac:dyDescent="0.25">
      <c r="A245" s="2" t="s">
        <v>3475</v>
      </c>
      <c r="B245" s="2" t="s">
        <v>134</v>
      </c>
      <c r="C245" s="1">
        <v>44278</v>
      </c>
      <c r="D245" s="2" t="s">
        <v>130</v>
      </c>
      <c r="E245" s="2" t="s">
        <v>130</v>
      </c>
      <c r="F245" s="2" t="s">
        <v>312</v>
      </c>
      <c r="G245" s="2" t="s">
        <v>3476</v>
      </c>
      <c r="H245" s="2" t="s">
        <v>3477</v>
      </c>
      <c r="I245" s="2">
        <v>306331</v>
      </c>
      <c r="J245" s="2" t="s">
        <v>228</v>
      </c>
      <c r="K245" s="2"/>
      <c r="L245" s="2" t="s">
        <v>314</v>
      </c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x14ac:dyDescent="0.25">
      <c r="A246" s="2" t="s">
        <v>3478</v>
      </c>
      <c r="B246" s="2" t="s">
        <v>129</v>
      </c>
      <c r="C246" s="1">
        <v>44278</v>
      </c>
      <c r="D246" s="2" t="s">
        <v>130</v>
      </c>
      <c r="E246" s="2" t="s">
        <v>130</v>
      </c>
      <c r="F246" s="2" t="s">
        <v>546</v>
      </c>
      <c r="G246" s="2" t="s">
        <v>3205</v>
      </c>
      <c r="H246" s="2" t="s">
        <v>3479</v>
      </c>
      <c r="I246" s="2">
        <v>220104</v>
      </c>
      <c r="J246" s="2" t="s">
        <v>303</v>
      </c>
      <c r="K246" s="2"/>
      <c r="L246" s="2" t="s">
        <v>152</v>
      </c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x14ac:dyDescent="0.25">
      <c r="A247" s="2" t="s">
        <v>3480</v>
      </c>
      <c r="B247" s="2" t="s">
        <v>129</v>
      </c>
      <c r="C247" s="1">
        <v>44279</v>
      </c>
      <c r="D247" s="2" t="s">
        <v>130</v>
      </c>
      <c r="E247" s="2" t="s">
        <v>130</v>
      </c>
      <c r="F247" s="2" t="s">
        <v>294</v>
      </c>
      <c r="G247" s="2" t="s">
        <v>136</v>
      </c>
      <c r="H247" s="2" t="s">
        <v>3481</v>
      </c>
      <c r="I247" s="2">
        <v>1270664</v>
      </c>
      <c r="J247" s="2" t="s">
        <v>295</v>
      </c>
      <c r="K247" s="2"/>
      <c r="L247" s="2" t="s">
        <v>296</v>
      </c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x14ac:dyDescent="0.25">
      <c r="A248" s="2" t="s">
        <v>3482</v>
      </c>
      <c r="B248" s="2" t="s">
        <v>129</v>
      </c>
      <c r="C248" s="1">
        <v>44279</v>
      </c>
      <c r="D248" s="2" t="s">
        <v>130</v>
      </c>
      <c r="E248" s="2" t="s">
        <v>130</v>
      </c>
      <c r="F248" s="2" t="s">
        <v>150</v>
      </c>
      <c r="G248" s="2" t="s">
        <v>3483</v>
      </c>
      <c r="H248" s="2" t="s">
        <v>3484</v>
      </c>
      <c r="I248" s="2">
        <v>305219</v>
      </c>
      <c r="J248" s="2" t="s">
        <v>151</v>
      </c>
      <c r="K248" s="2"/>
      <c r="L248" s="2" t="s">
        <v>152</v>
      </c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x14ac:dyDescent="0.25">
      <c r="A249" s="2" t="s">
        <v>3485</v>
      </c>
      <c r="B249" s="2" t="s">
        <v>129</v>
      </c>
      <c r="C249" s="1">
        <v>44279</v>
      </c>
      <c r="D249" s="2" t="s">
        <v>130</v>
      </c>
      <c r="E249" s="2" t="s">
        <v>130</v>
      </c>
      <c r="F249" s="2" t="s">
        <v>206</v>
      </c>
      <c r="G249" s="2" t="s">
        <v>2793</v>
      </c>
      <c r="H249" s="2" t="s">
        <v>3486</v>
      </c>
      <c r="I249" s="2">
        <v>1270683</v>
      </c>
      <c r="J249" s="2" t="s">
        <v>207</v>
      </c>
      <c r="K249" s="2"/>
      <c r="L249" s="2" t="s">
        <v>152</v>
      </c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x14ac:dyDescent="0.25">
      <c r="A250" s="2" t="s">
        <v>3487</v>
      </c>
      <c r="B250" s="2" t="s">
        <v>129</v>
      </c>
      <c r="C250" s="1">
        <v>44279</v>
      </c>
      <c r="D250" s="2" t="s">
        <v>130</v>
      </c>
      <c r="E250" s="2" t="s">
        <v>130</v>
      </c>
      <c r="F250" s="2" t="s">
        <v>294</v>
      </c>
      <c r="G250" s="2" t="s">
        <v>136</v>
      </c>
      <c r="H250" s="2" t="s">
        <v>3488</v>
      </c>
      <c r="I250" s="2">
        <v>1270685</v>
      </c>
      <c r="J250" s="2" t="s">
        <v>295</v>
      </c>
      <c r="K250" s="2"/>
      <c r="L250" s="2" t="s">
        <v>296</v>
      </c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x14ac:dyDescent="0.25">
      <c r="A251" s="2" t="s">
        <v>3489</v>
      </c>
      <c r="B251" s="2" t="s">
        <v>129</v>
      </c>
      <c r="C251" s="1">
        <v>44279</v>
      </c>
      <c r="D251" s="2" t="s">
        <v>130</v>
      </c>
      <c r="E251" s="2" t="s">
        <v>130</v>
      </c>
      <c r="F251" s="2" t="s">
        <v>144</v>
      </c>
      <c r="G251" s="2" t="s">
        <v>2871</v>
      </c>
      <c r="H251" s="2" t="s">
        <v>3490</v>
      </c>
      <c r="I251" s="2">
        <v>305478</v>
      </c>
      <c r="J251" s="2" t="s">
        <v>145</v>
      </c>
      <c r="K251" s="2"/>
      <c r="L251" s="2" t="s">
        <v>146</v>
      </c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x14ac:dyDescent="0.25">
      <c r="A252" s="2" t="s">
        <v>3491</v>
      </c>
      <c r="B252" s="2" t="s">
        <v>129</v>
      </c>
      <c r="C252" s="1">
        <v>44279</v>
      </c>
      <c r="D252" s="2" t="s">
        <v>130</v>
      </c>
      <c r="E252" s="2" t="s">
        <v>130</v>
      </c>
      <c r="F252" s="2" t="s">
        <v>144</v>
      </c>
      <c r="G252" s="2" t="s">
        <v>275</v>
      </c>
      <c r="H252" s="2" t="s">
        <v>3492</v>
      </c>
      <c r="I252" s="2">
        <v>1270708</v>
      </c>
      <c r="J252" s="2" t="s">
        <v>145</v>
      </c>
      <c r="K252" s="2"/>
      <c r="L252" s="2" t="s">
        <v>146</v>
      </c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x14ac:dyDescent="0.25">
      <c r="A253" s="2" t="s">
        <v>3493</v>
      </c>
      <c r="B253" s="2" t="s">
        <v>129</v>
      </c>
      <c r="C253" s="1">
        <v>44279</v>
      </c>
      <c r="D253" s="2" t="s">
        <v>130</v>
      </c>
      <c r="E253" s="2" t="s">
        <v>130</v>
      </c>
      <c r="F253" s="2" t="s">
        <v>326</v>
      </c>
      <c r="G253" s="2" t="s">
        <v>3494</v>
      </c>
      <c r="H253" s="2" t="s">
        <v>3495</v>
      </c>
      <c r="I253" s="2">
        <v>304387</v>
      </c>
      <c r="J253" s="2" t="s">
        <v>132</v>
      </c>
      <c r="K253" s="2"/>
      <c r="L253" s="2" t="s">
        <v>328</v>
      </c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x14ac:dyDescent="0.25">
      <c r="A254" s="2" t="s">
        <v>3496</v>
      </c>
      <c r="B254" s="2" t="s">
        <v>129</v>
      </c>
      <c r="C254" s="1">
        <v>44279</v>
      </c>
      <c r="D254" s="2" t="s">
        <v>130</v>
      </c>
      <c r="E254" s="2" t="s">
        <v>130</v>
      </c>
      <c r="F254" s="2" t="s">
        <v>147</v>
      </c>
      <c r="G254" s="2" t="s">
        <v>2725</v>
      </c>
      <c r="H254" s="2" t="s">
        <v>3497</v>
      </c>
      <c r="I254" s="2">
        <v>279433</v>
      </c>
      <c r="J254" s="2" t="s">
        <v>148</v>
      </c>
      <c r="K254" s="2"/>
      <c r="L254" s="2" t="s">
        <v>149</v>
      </c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x14ac:dyDescent="0.25">
      <c r="A255" s="2" t="s">
        <v>3498</v>
      </c>
      <c r="B255" s="2" t="s">
        <v>129</v>
      </c>
      <c r="C255" s="1">
        <v>44279</v>
      </c>
      <c r="D255" s="2" t="s">
        <v>130</v>
      </c>
      <c r="E255" s="2" t="s">
        <v>130</v>
      </c>
      <c r="F255" s="2" t="s">
        <v>147</v>
      </c>
      <c r="G255" s="2" t="s">
        <v>3499</v>
      </c>
      <c r="H255" s="2" t="s">
        <v>3500</v>
      </c>
      <c r="I255" s="2">
        <v>277246</v>
      </c>
      <c r="J255" s="2" t="s">
        <v>148</v>
      </c>
      <c r="K255" s="2"/>
      <c r="L255" s="2" t="s">
        <v>149</v>
      </c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x14ac:dyDescent="0.25">
      <c r="A256" s="2" t="s">
        <v>3501</v>
      </c>
      <c r="B256" s="2" t="s">
        <v>134</v>
      </c>
      <c r="C256" s="1">
        <v>44279</v>
      </c>
      <c r="D256" s="2" t="s">
        <v>130</v>
      </c>
      <c r="E256" s="2" t="s">
        <v>130</v>
      </c>
      <c r="F256" s="2" t="s">
        <v>241</v>
      </c>
      <c r="G256" s="2" t="s">
        <v>3502</v>
      </c>
      <c r="H256" s="2" t="s">
        <v>3503</v>
      </c>
      <c r="I256" s="2">
        <v>307091</v>
      </c>
      <c r="J256" s="2" t="s">
        <v>242</v>
      </c>
      <c r="K256" s="2"/>
      <c r="L256" s="2" t="s">
        <v>243</v>
      </c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x14ac:dyDescent="0.25">
      <c r="A257" s="2" t="s">
        <v>3504</v>
      </c>
      <c r="B257" s="2" t="s">
        <v>129</v>
      </c>
      <c r="C257" s="1">
        <v>44279</v>
      </c>
      <c r="D257" s="2" t="s">
        <v>130</v>
      </c>
      <c r="E257" s="2" t="s">
        <v>130</v>
      </c>
      <c r="F257" s="2" t="s">
        <v>294</v>
      </c>
      <c r="G257" s="2" t="s">
        <v>3505</v>
      </c>
      <c r="H257" s="2" t="s">
        <v>3506</v>
      </c>
      <c r="I257" s="2">
        <v>200597</v>
      </c>
      <c r="J257" s="2" t="s">
        <v>295</v>
      </c>
      <c r="K257" s="2"/>
      <c r="L257" s="2" t="s">
        <v>296</v>
      </c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x14ac:dyDescent="0.25">
      <c r="A258" s="2" t="s">
        <v>3507</v>
      </c>
      <c r="B258" s="2" t="s">
        <v>134</v>
      </c>
      <c r="C258" s="1">
        <v>44279</v>
      </c>
      <c r="D258" s="2" t="s">
        <v>130</v>
      </c>
      <c r="E258" s="2" t="s">
        <v>130</v>
      </c>
      <c r="F258" s="2" t="s">
        <v>189</v>
      </c>
      <c r="G258" s="2" t="s">
        <v>3508</v>
      </c>
      <c r="H258" s="2" t="s">
        <v>3509</v>
      </c>
      <c r="I258" s="2">
        <v>278491</v>
      </c>
      <c r="J258" s="2" t="s">
        <v>191</v>
      </c>
      <c r="K258" s="2"/>
      <c r="L258" s="2" t="s">
        <v>192</v>
      </c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x14ac:dyDescent="0.25">
      <c r="A259" s="2" t="s">
        <v>3510</v>
      </c>
      <c r="B259" s="2" t="s">
        <v>129</v>
      </c>
      <c r="C259" s="1">
        <v>44280</v>
      </c>
      <c r="D259" s="2" t="s">
        <v>130</v>
      </c>
      <c r="E259" s="2" t="s">
        <v>130</v>
      </c>
      <c r="F259" s="2" t="s">
        <v>3511</v>
      </c>
      <c r="G259" s="2" t="s">
        <v>3511</v>
      </c>
      <c r="H259" s="2" t="s">
        <v>3512</v>
      </c>
      <c r="I259" s="2">
        <v>1115213</v>
      </c>
      <c r="J259" s="2" t="s">
        <v>3513</v>
      </c>
      <c r="K259" s="2"/>
      <c r="L259" s="2" t="s">
        <v>138</v>
      </c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x14ac:dyDescent="0.25">
      <c r="A260" s="2" t="s">
        <v>3514</v>
      </c>
      <c r="B260" s="2" t="s">
        <v>129</v>
      </c>
      <c r="C260" s="1">
        <v>44280</v>
      </c>
      <c r="D260" s="2" t="s">
        <v>130</v>
      </c>
      <c r="E260" s="2" t="s">
        <v>130</v>
      </c>
      <c r="F260" s="2" t="s">
        <v>3515</v>
      </c>
      <c r="G260" s="2" t="s">
        <v>3515</v>
      </c>
      <c r="H260" s="2" t="s">
        <v>3516</v>
      </c>
      <c r="I260" s="2">
        <v>1098199</v>
      </c>
      <c r="J260" s="2" t="s">
        <v>3513</v>
      </c>
      <c r="K260" s="2"/>
      <c r="L260" s="2" t="s">
        <v>138</v>
      </c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x14ac:dyDescent="0.25">
      <c r="A261" s="2" t="s">
        <v>3517</v>
      </c>
      <c r="B261" s="2" t="s">
        <v>129</v>
      </c>
      <c r="C261" s="1">
        <v>44280</v>
      </c>
      <c r="D261" s="2" t="s">
        <v>130</v>
      </c>
      <c r="E261" s="2" t="s">
        <v>130</v>
      </c>
      <c r="F261" s="2" t="s">
        <v>3518</v>
      </c>
      <c r="G261" s="2" t="s">
        <v>3518</v>
      </c>
      <c r="H261" s="2" t="s">
        <v>3519</v>
      </c>
      <c r="I261" s="2">
        <v>1098200</v>
      </c>
      <c r="J261" s="2" t="s">
        <v>3513</v>
      </c>
      <c r="K261" s="2"/>
      <c r="L261" s="2" t="s">
        <v>138</v>
      </c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x14ac:dyDescent="0.25">
      <c r="A262" s="2" t="s">
        <v>3520</v>
      </c>
      <c r="B262" s="2" t="s">
        <v>134</v>
      </c>
      <c r="C262" s="1">
        <v>44280</v>
      </c>
      <c r="D262" s="2" t="s">
        <v>130</v>
      </c>
      <c r="E262" s="2" t="s">
        <v>130</v>
      </c>
      <c r="F262" s="2" t="s">
        <v>223</v>
      </c>
      <c r="G262" s="2" t="s">
        <v>522</v>
      </c>
      <c r="H262" s="2" t="s">
        <v>3521</v>
      </c>
      <c r="I262" s="2">
        <v>293029</v>
      </c>
      <c r="J262" s="2" t="s">
        <v>225</v>
      </c>
      <c r="K262" s="2"/>
      <c r="L262" s="2" t="s">
        <v>226</v>
      </c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x14ac:dyDescent="0.25">
      <c r="A263" s="2" t="s">
        <v>3522</v>
      </c>
      <c r="B263" s="2" t="s">
        <v>129</v>
      </c>
      <c r="C263" s="1">
        <v>44280</v>
      </c>
      <c r="D263" s="2" t="s">
        <v>130</v>
      </c>
      <c r="E263" s="2" t="s">
        <v>130</v>
      </c>
      <c r="F263" s="2" t="s">
        <v>147</v>
      </c>
      <c r="G263" s="2" t="s">
        <v>531</v>
      </c>
      <c r="H263" s="2" t="s">
        <v>3523</v>
      </c>
      <c r="I263" s="2">
        <v>275466</v>
      </c>
      <c r="J263" s="2" t="s">
        <v>148</v>
      </c>
      <c r="K263" s="2"/>
      <c r="L263" s="2" t="s">
        <v>149</v>
      </c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x14ac:dyDescent="0.25">
      <c r="A264" s="2" t="s">
        <v>3524</v>
      </c>
      <c r="B264" s="2" t="s">
        <v>212</v>
      </c>
      <c r="C264" s="1">
        <v>44280</v>
      </c>
      <c r="D264" s="2" t="s">
        <v>130</v>
      </c>
      <c r="E264" s="2" t="s">
        <v>130</v>
      </c>
      <c r="F264" s="2" t="s">
        <v>209</v>
      </c>
      <c r="G264" s="2" t="s">
        <v>3525</v>
      </c>
      <c r="H264" s="2" t="s">
        <v>3526</v>
      </c>
      <c r="I264" s="2">
        <v>246789</v>
      </c>
      <c r="J264" s="2" t="s">
        <v>210</v>
      </c>
      <c r="K264" s="2"/>
      <c r="L264" s="2" t="s">
        <v>211</v>
      </c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x14ac:dyDescent="0.25">
      <c r="A265" s="2" t="s">
        <v>3527</v>
      </c>
      <c r="B265" s="2" t="s">
        <v>212</v>
      </c>
      <c r="C265" s="1">
        <v>44280</v>
      </c>
      <c r="D265" s="2" t="s">
        <v>130</v>
      </c>
      <c r="E265" s="2" t="s">
        <v>130</v>
      </c>
      <c r="F265" s="2" t="s">
        <v>209</v>
      </c>
      <c r="G265" s="2" t="s">
        <v>3528</v>
      </c>
      <c r="H265" s="2" t="s">
        <v>3529</v>
      </c>
      <c r="I265" s="2">
        <v>246790</v>
      </c>
      <c r="J265" s="2" t="s">
        <v>210</v>
      </c>
      <c r="K265" s="2"/>
      <c r="L265" s="2" t="s">
        <v>211</v>
      </c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x14ac:dyDescent="0.25">
      <c r="A266" s="2" t="s">
        <v>3530</v>
      </c>
      <c r="B266" s="2" t="s">
        <v>212</v>
      </c>
      <c r="C266" s="1">
        <v>44280</v>
      </c>
      <c r="D266" s="2" t="s">
        <v>130</v>
      </c>
      <c r="E266" s="2" t="s">
        <v>130</v>
      </c>
      <c r="F266" s="2" t="s">
        <v>209</v>
      </c>
      <c r="G266" s="2" t="s">
        <v>3531</v>
      </c>
      <c r="H266" s="2" t="s">
        <v>3532</v>
      </c>
      <c r="I266" s="2">
        <v>246788</v>
      </c>
      <c r="J266" s="2" t="s">
        <v>210</v>
      </c>
      <c r="K266" s="2"/>
      <c r="L266" s="2" t="s">
        <v>211</v>
      </c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x14ac:dyDescent="0.25">
      <c r="A267" s="2" t="s">
        <v>3533</v>
      </c>
      <c r="B267" s="2" t="s">
        <v>129</v>
      </c>
      <c r="C267" s="1">
        <v>44280</v>
      </c>
      <c r="D267" s="2" t="s">
        <v>130</v>
      </c>
      <c r="E267" s="2" t="s">
        <v>130</v>
      </c>
      <c r="F267" s="2" t="s">
        <v>209</v>
      </c>
      <c r="G267" s="2" t="s">
        <v>3223</v>
      </c>
      <c r="H267" s="2" t="s">
        <v>3534</v>
      </c>
      <c r="I267" s="2">
        <v>244637</v>
      </c>
      <c r="J267" s="2" t="s">
        <v>210</v>
      </c>
      <c r="K267" s="2"/>
      <c r="L267" s="2" t="s">
        <v>211</v>
      </c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x14ac:dyDescent="0.25">
      <c r="A268" s="2" t="s">
        <v>3535</v>
      </c>
      <c r="B268" s="2" t="s">
        <v>129</v>
      </c>
      <c r="C268" s="1">
        <v>44280</v>
      </c>
      <c r="D268" s="2" t="s">
        <v>130</v>
      </c>
      <c r="E268" s="2" t="s">
        <v>130</v>
      </c>
      <c r="F268" s="2" t="s">
        <v>209</v>
      </c>
      <c r="G268" s="2" t="s">
        <v>3222</v>
      </c>
      <c r="H268" s="2" t="s">
        <v>3536</v>
      </c>
      <c r="I268" s="2">
        <v>242694</v>
      </c>
      <c r="J268" s="2" t="s">
        <v>210</v>
      </c>
      <c r="K268" s="2"/>
      <c r="L268" s="2" t="s">
        <v>211</v>
      </c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x14ac:dyDescent="0.25">
      <c r="A269" s="2" t="s">
        <v>3537</v>
      </c>
      <c r="B269" s="2" t="s">
        <v>134</v>
      </c>
      <c r="C269" s="1">
        <v>44280</v>
      </c>
      <c r="D269" s="2" t="s">
        <v>130</v>
      </c>
      <c r="E269" s="2" t="s">
        <v>130</v>
      </c>
      <c r="F269" s="2" t="s">
        <v>206</v>
      </c>
      <c r="G269" s="2" t="s">
        <v>3538</v>
      </c>
      <c r="H269" s="2" t="s">
        <v>3539</v>
      </c>
      <c r="I269" s="2">
        <v>1270878</v>
      </c>
      <c r="J269" s="2" t="s">
        <v>207</v>
      </c>
      <c r="K269" s="2"/>
      <c r="L269" s="2" t="s">
        <v>152</v>
      </c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x14ac:dyDescent="0.25">
      <c r="A270" s="2" t="s">
        <v>3540</v>
      </c>
      <c r="B270" s="2" t="s">
        <v>134</v>
      </c>
      <c r="C270" s="1">
        <v>44280</v>
      </c>
      <c r="D270" s="2" t="s">
        <v>130</v>
      </c>
      <c r="E270" s="2" t="s">
        <v>130</v>
      </c>
      <c r="F270" s="2" t="s">
        <v>153</v>
      </c>
      <c r="G270" s="2" t="s">
        <v>3541</v>
      </c>
      <c r="H270" s="2" t="s">
        <v>3542</v>
      </c>
      <c r="I270" s="2">
        <v>277813</v>
      </c>
      <c r="J270" s="2" t="s">
        <v>154</v>
      </c>
      <c r="K270" s="2"/>
      <c r="L270" s="2" t="s">
        <v>155</v>
      </c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x14ac:dyDescent="0.25">
      <c r="A271" s="2" t="s">
        <v>3543</v>
      </c>
      <c r="B271" s="2" t="s">
        <v>134</v>
      </c>
      <c r="C271" s="1">
        <v>44280</v>
      </c>
      <c r="D271" s="2" t="s">
        <v>130</v>
      </c>
      <c r="E271" s="2" t="s">
        <v>130</v>
      </c>
      <c r="F271" s="2" t="s">
        <v>153</v>
      </c>
      <c r="G271" s="2" t="s">
        <v>3544</v>
      </c>
      <c r="H271" s="2" t="s">
        <v>3545</v>
      </c>
      <c r="I271" s="2">
        <v>277811</v>
      </c>
      <c r="J271" s="2" t="s">
        <v>154</v>
      </c>
      <c r="K271" s="2"/>
      <c r="L271" s="2" t="s">
        <v>155</v>
      </c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x14ac:dyDescent="0.25">
      <c r="A272" s="2" t="s">
        <v>3546</v>
      </c>
      <c r="B272" s="2" t="s">
        <v>129</v>
      </c>
      <c r="C272" s="1">
        <v>44281</v>
      </c>
      <c r="D272" s="2" t="s">
        <v>130</v>
      </c>
      <c r="E272" s="2" t="s">
        <v>130</v>
      </c>
      <c r="F272" s="2" t="s">
        <v>206</v>
      </c>
      <c r="G272" s="2" t="s">
        <v>520</v>
      </c>
      <c r="H272" s="2" t="s">
        <v>3547</v>
      </c>
      <c r="I272" s="2">
        <v>306052</v>
      </c>
      <c r="J272" s="2" t="s">
        <v>207</v>
      </c>
      <c r="K272" s="2"/>
      <c r="L272" s="2" t="s">
        <v>152</v>
      </c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x14ac:dyDescent="0.25">
      <c r="A273" s="2" t="s">
        <v>3548</v>
      </c>
      <c r="B273" s="2" t="s">
        <v>129</v>
      </c>
      <c r="C273" s="1">
        <v>44281</v>
      </c>
      <c r="D273" s="2" t="s">
        <v>130</v>
      </c>
      <c r="E273" s="2" t="s">
        <v>130</v>
      </c>
      <c r="F273" s="2" t="s">
        <v>150</v>
      </c>
      <c r="G273" s="2" t="s">
        <v>200</v>
      </c>
      <c r="H273" s="2" t="s">
        <v>3549</v>
      </c>
      <c r="I273" s="2">
        <v>294014</v>
      </c>
      <c r="J273" s="2" t="s">
        <v>151</v>
      </c>
      <c r="K273" s="2"/>
      <c r="L273" s="2" t="s">
        <v>152</v>
      </c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x14ac:dyDescent="0.25">
      <c r="A274" s="2" t="s">
        <v>3550</v>
      </c>
      <c r="B274" s="2" t="s">
        <v>129</v>
      </c>
      <c r="C274" s="1">
        <v>44281</v>
      </c>
      <c r="D274" s="2" t="s">
        <v>130</v>
      </c>
      <c r="E274" s="2" t="s">
        <v>130</v>
      </c>
      <c r="F274" s="2" t="s">
        <v>150</v>
      </c>
      <c r="G274" s="2" t="s">
        <v>245</v>
      </c>
      <c r="H274" s="2" t="s">
        <v>3551</v>
      </c>
      <c r="I274" s="2">
        <v>301933</v>
      </c>
      <c r="J274" s="2" t="s">
        <v>151</v>
      </c>
      <c r="K274" s="2"/>
      <c r="L274" s="2" t="s">
        <v>152</v>
      </c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x14ac:dyDescent="0.25">
      <c r="A275" s="2" t="s">
        <v>3552</v>
      </c>
      <c r="B275" s="2" t="s">
        <v>129</v>
      </c>
      <c r="C275" s="1">
        <v>44281</v>
      </c>
      <c r="D275" s="2" t="s">
        <v>130</v>
      </c>
      <c r="E275" s="2" t="s">
        <v>130</v>
      </c>
      <c r="F275" s="2" t="s">
        <v>248</v>
      </c>
      <c r="G275" s="2" t="s">
        <v>3207</v>
      </c>
      <c r="H275" s="2" t="s">
        <v>3553</v>
      </c>
      <c r="I275" s="2">
        <v>292161</v>
      </c>
      <c r="J275" s="2" t="s">
        <v>161</v>
      </c>
      <c r="K275" s="2"/>
      <c r="L275" s="2" t="s">
        <v>162</v>
      </c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x14ac:dyDescent="0.25">
      <c r="A276" s="2" t="s">
        <v>3554</v>
      </c>
      <c r="B276" s="2" t="s">
        <v>134</v>
      </c>
      <c r="C276" s="1">
        <v>44281</v>
      </c>
      <c r="D276" s="2" t="s">
        <v>130</v>
      </c>
      <c r="E276" s="2" t="s">
        <v>130</v>
      </c>
      <c r="F276" s="2" t="s">
        <v>150</v>
      </c>
      <c r="G276" s="2" t="s">
        <v>2730</v>
      </c>
      <c r="H276" s="2" t="s">
        <v>3555</v>
      </c>
      <c r="I276" s="2">
        <v>306613</v>
      </c>
      <c r="J276" s="2" t="s">
        <v>151</v>
      </c>
      <c r="K276" s="2"/>
      <c r="L276" s="2" t="s">
        <v>152</v>
      </c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x14ac:dyDescent="0.25">
      <c r="A277" s="2" t="s">
        <v>3556</v>
      </c>
      <c r="B277" s="2" t="s">
        <v>129</v>
      </c>
      <c r="C277" s="1">
        <v>44281</v>
      </c>
      <c r="D277" s="2" t="s">
        <v>130</v>
      </c>
      <c r="E277" s="2" t="s">
        <v>130</v>
      </c>
      <c r="F277" s="2" t="s">
        <v>206</v>
      </c>
      <c r="G277" s="2" t="s">
        <v>3176</v>
      </c>
      <c r="H277" s="2" t="s">
        <v>3557</v>
      </c>
      <c r="I277" s="2">
        <v>307002</v>
      </c>
      <c r="J277" s="2" t="s">
        <v>207</v>
      </c>
      <c r="K277" s="2"/>
      <c r="L277" s="2" t="s">
        <v>152</v>
      </c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x14ac:dyDescent="0.25">
      <c r="A278" s="2" t="s">
        <v>3558</v>
      </c>
      <c r="B278" s="2" t="s">
        <v>134</v>
      </c>
      <c r="C278" s="1">
        <v>44281</v>
      </c>
      <c r="D278" s="2" t="s">
        <v>130</v>
      </c>
      <c r="E278" s="2" t="s">
        <v>130</v>
      </c>
      <c r="F278" s="2" t="s">
        <v>262</v>
      </c>
      <c r="G278" s="2" t="s">
        <v>136</v>
      </c>
      <c r="H278" s="2" t="s">
        <v>3559</v>
      </c>
      <c r="I278" s="2">
        <v>307849</v>
      </c>
      <c r="J278" s="2" t="s">
        <v>263</v>
      </c>
      <c r="K278" s="2"/>
      <c r="L278" s="2" t="s">
        <v>264</v>
      </c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x14ac:dyDescent="0.25">
      <c r="A279" s="2" t="s">
        <v>3560</v>
      </c>
      <c r="B279" s="2" t="s">
        <v>129</v>
      </c>
      <c r="C279" s="1">
        <v>44281</v>
      </c>
      <c r="D279" s="2" t="s">
        <v>130</v>
      </c>
      <c r="E279" s="2" t="s">
        <v>130</v>
      </c>
      <c r="F279" s="2" t="s">
        <v>131</v>
      </c>
      <c r="G279" s="2" t="s">
        <v>2700</v>
      </c>
      <c r="H279" s="2" t="s">
        <v>3561</v>
      </c>
      <c r="I279" s="2">
        <v>228029</v>
      </c>
      <c r="J279" s="2" t="s">
        <v>132</v>
      </c>
      <c r="K279" s="2"/>
      <c r="L279" s="2" t="s">
        <v>133</v>
      </c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x14ac:dyDescent="0.25">
      <c r="A280" s="2" t="s">
        <v>3562</v>
      </c>
      <c r="B280" s="2" t="s">
        <v>134</v>
      </c>
      <c r="C280" s="1">
        <v>44286</v>
      </c>
      <c r="D280" s="2" t="s">
        <v>130</v>
      </c>
      <c r="E280" s="2" t="s">
        <v>130</v>
      </c>
      <c r="F280" s="2" t="s">
        <v>270</v>
      </c>
      <c r="G280" s="2" t="s">
        <v>3563</v>
      </c>
      <c r="H280" s="2" t="s">
        <v>3564</v>
      </c>
      <c r="I280" s="2">
        <v>1270992</v>
      </c>
      <c r="J280" s="2" t="s">
        <v>191</v>
      </c>
      <c r="K280" s="2"/>
      <c r="L280" s="2" t="s">
        <v>192</v>
      </c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x14ac:dyDescent="0.25">
      <c r="A281" s="2" t="s">
        <v>3565</v>
      </c>
      <c r="B281" s="2" t="s">
        <v>134</v>
      </c>
      <c r="C281" s="1">
        <v>44281</v>
      </c>
      <c r="D281" s="2" t="s">
        <v>130</v>
      </c>
      <c r="E281" s="2" t="s">
        <v>130</v>
      </c>
      <c r="F281" s="2" t="s">
        <v>262</v>
      </c>
      <c r="G281" s="2" t="s">
        <v>136</v>
      </c>
      <c r="H281" s="2" t="s">
        <v>3566</v>
      </c>
      <c r="I281" s="2">
        <v>308199</v>
      </c>
      <c r="J281" s="2" t="s">
        <v>263</v>
      </c>
      <c r="K281" s="2"/>
      <c r="L281" s="2" t="s">
        <v>264</v>
      </c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x14ac:dyDescent="0.25">
      <c r="A282" s="2" t="s">
        <v>3567</v>
      </c>
      <c r="B282" s="2" t="s">
        <v>134</v>
      </c>
      <c r="C282" s="1">
        <v>44286</v>
      </c>
      <c r="D282" s="2" t="s">
        <v>130</v>
      </c>
      <c r="E282" s="2" t="s">
        <v>130</v>
      </c>
      <c r="F282" s="2" t="s">
        <v>197</v>
      </c>
      <c r="G282" s="2" t="s">
        <v>3568</v>
      </c>
      <c r="H282" s="2" t="s">
        <v>3569</v>
      </c>
      <c r="I282" s="2">
        <v>1271029</v>
      </c>
      <c r="J282" s="2" t="s">
        <v>199</v>
      </c>
      <c r="K282" s="2"/>
      <c r="L282" s="2" t="s">
        <v>192</v>
      </c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x14ac:dyDescent="0.25">
      <c r="A283" s="2" t="s">
        <v>3570</v>
      </c>
      <c r="B283" s="2" t="s">
        <v>129</v>
      </c>
      <c r="C283" s="1">
        <v>44282</v>
      </c>
      <c r="D283" s="2" t="s">
        <v>130</v>
      </c>
      <c r="E283" s="2" t="s">
        <v>130</v>
      </c>
      <c r="F283" s="2" t="s">
        <v>144</v>
      </c>
      <c r="G283" s="2" t="s">
        <v>2840</v>
      </c>
      <c r="H283" s="2" t="s">
        <v>3571</v>
      </c>
      <c r="I283" s="2">
        <v>306303</v>
      </c>
      <c r="J283" s="2" t="s">
        <v>145</v>
      </c>
      <c r="K283" s="2"/>
      <c r="L283" s="2" t="s">
        <v>146</v>
      </c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x14ac:dyDescent="0.25">
      <c r="A284" s="2" t="s">
        <v>3572</v>
      </c>
      <c r="B284" s="2" t="s">
        <v>134</v>
      </c>
      <c r="C284" s="1">
        <v>44282</v>
      </c>
      <c r="D284" s="2" t="s">
        <v>130</v>
      </c>
      <c r="E284" s="2" t="s">
        <v>130</v>
      </c>
      <c r="F284" s="2" t="s">
        <v>3212</v>
      </c>
      <c r="G284" s="2" t="s">
        <v>3573</v>
      </c>
      <c r="H284" s="2" t="s">
        <v>3574</v>
      </c>
      <c r="I284" s="2">
        <v>223082</v>
      </c>
      <c r="J284" s="2" t="s">
        <v>3213</v>
      </c>
      <c r="K284" s="2"/>
      <c r="L284" s="2" t="s">
        <v>138</v>
      </c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x14ac:dyDescent="0.25">
      <c r="A285" s="2" t="s">
        <v>3575</v>
      </c>
      <c r="B285" s="2" t="s">
        <v>129</v>
      </c>
      <c r="C285" s="1">
        <v>44282</v>
      </c>
      <c r="D285" s="2" t="s">
        <v>130</v>
      </c>
      <c r="E285" s="2" t="s">
        <v>130</v>
      </c>
      <c r="F285" s="2" t="s">
        <v>144</v>
      </c>
      <c r="G285" s="2" t="s">
        <v>3174</v>
      </c>
      <c r="H285" s="2" t="s">
        <v>3576</v>
      </c>
      <c r="I285" s="2">
        <v>307829</v>
      </c>
      <c r="J285" s="2" t="s">
        <v>145</v>
      </c>
      <c r="K285" s="2"/>
      <c r="L285" s="2" t="s">
        <v>146</v>
      </c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x14ac:dyDescent="0.25">
      <c r="A286" s="2" t="s">
        <v>3577</v>
      </c>
      <c r="B286" s="2" t="s">
        <v>134</v>
      </c>
      <c r="C286" s="1">
        <v>44284</v>
      </c>
      <c r="D286" s="2" t="s">
        <v>130</v>
      </c>
      <c r="E286" s="2" t="s">
        <v>130</v>
      </c>
      <c r="F286" s="2" t="s">
        <v>382</v>
      </c>
      <c r="G286" s="2" t="s">
        <v>136</v>
      </c>
      <c r="H286" s="2" t="s">
        <v>3578</v>
      </c>
      <c r="I286" s="2">
        <v>308491</v>
      </c>
      <c r="J286" s="2" t="s">
        <v>383</v>
      </c>
      <c r="K286" s="2"/>
      <c r="L286" s="2" t="s">
        <v>384</v>
      </c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x14ac:dyDescent="0.25">
      <c r="A287" s="2" t="s">
        <v>3579</v>
      </c>
      <c r="B287" s="2" t="s">
        <v>129</v>
      </c>
      <c r="C287" s="1">
        <v>44282</v>
      </c>
      <c r="D287" s="2" t="s">
        <v>130</v>
      </c>
      <c r="E287" s="2" t="s">
        <v>130</v>
      </c>
      <c r="F287" s="2" t="s">
        <v>157</v>
      </c>
      <c r="G287" s="2" t="s">
        <v>216</v>
      </c>
      <c r="H287" s="2" t="s">
        <v>3580</v>
      </c>
      <c r="I287" s="2">
        <v>303985</v>
      </c>
      <c r="J287" s="2" t="s">
        <v>151</v>
      </c>
      <c r="K287" s="2"/>
      <c r="L287" s="2" t="s">
        <v>152</v>
      </c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x14ac:dyDescent="0.25">
      <c r="A288" s="2" t="s">
        <v>3581</v>
      </c>
      <c r="B288" s="2" t="s">
        <v>134</v>
      </c>
      <c r="C288" s="1">
        <v>44283</v>
      </c>
      <c r="D288" s="2" t="s">
        <v>130</v>
      </c>
      <c r="E288" s="2" t="s">
        <v>130</v>
      </c>
      <c r="F288" s="2" t="s">
        <v>153</v>
      </c>
      <c r="G288" s="2" t="s">
        <v>3582</v>
      </c>
      <c r="H288" s="2" t="s">
        <v>3583</v>
      </c>
      <c r="I288" s="2">
        <v>308686</v>
      </c>
      <c r="J288" s="2" t="s">
        <v>154</v>
      </c>
      <c r="K288" s="2"/>
      <c r="L288" s="2" t="s">
        <v>155</v>
      </c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x14ac:dyDescent="0.25">
      <c r="A289" s="2" t="s">
        <v>3584</v>
      </c>
      <c r="B289" s="2" t="s">
        <v>134</v>
      </c>
      <c r="C289" s="1">
        <v>44283</v>
      </c>
      <c r="D289" s="2" t="s">
        <v>130</v>
      </c>
      <c r="E289" s="2" t="s">
        <v>130</v>
      </c>
      <c r="F289" s="2" t="s">
        <v>144</v>
      </c>
      <c r="G289" s="2" t="s">
        <v>3585</v>
      </c>
      <c r="H289" s="2" t="s">
        <v>3586</v>
      </c>
      <c r="I289" s="2">
        <v>305479</v>
      </c>
      <c r="J289" s="2" t="s">
        <v>145</v>
      </c>
      <c r="K289" s="2"/>
      <c r="L289" s="2" t="s">
        <v>146</v>
      </c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x14ac:dyDescent="0.25">
      <c r="A290" s="2" t="s">
        <v>3587</v>
      </c>
      <c r="B290" s="2" t="s">
        <v>129</v>
      </c>
      <c r="C290" s="1">
        <v>44283</v>
      </c>
      <c r="D290" s="2" t="s">
        <v>130</v>
      </c>
      <c r="E290" s="2" t="s">
        <v>130</v>
      </c>
      <c r="F290" s="2" t="s">
        <v>193</v>
      </c>
      <c r="G290" s="2" t="s">
        <v>136</v>
      </c>
      <c r="H290" s="2" t="s">
        <v>3588</v>
      </c>
      <c r="I290" s="2">
        <v>308731</v>
      </c>
      <c r="J290" s="2" t="s">
        <v>194</v>
      </c>
      <c r="K290" s="2"/>
      <c r="L290" s="2" t="s">
        <v>146</v>
      </c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x14ac:dyDescent="0.25">
      <c r="A291" s="2" t="s">
        <v>3589</v>
      </c>
      <c r="B291" s="2" t="s">
        <v>129</v>
      </c>
      <c r="C291" s="1">
        <v>44283</v>
      </c>
      <c r="D291" s="2" t="s">
        <v>130</v>
      </c>
      <c r="E291" s="2" t="s">
        <v>130</v>
      </c>
      <c r="F291" s="2" t="s">
        <v>193</v>
      </c>
      <c r="G291" s="2" t="s">
        <v>136</v>
      </c>
      <c r="H291" s="2" t="s">
        <v>3590</v>
      </c>
      <c r="I291" s="2">
        <v>308732</v>
      </c>
      <c r="J291" s="2" t="s">
        <v>194</v>
      </c>
      <c r="K291" s="2"/>
      <c r="L291" s="2" t="s">
        <v>146</v>
      </c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x14ac:dyDescent="0.25">
      <c r="A292" s="2" t="s">
        <v>3591</v>
      </c>
      <c r="B292" s="2" t="s">
        <v>512</v>
      </c>
      <c r="C292" s="1">
        <v>44280</v>
      </c>
      <c r="D292" s="2" t="s">
        <v>130</v>
      </c>
      <c r="E292" s="2" t="s">
        <v>130</v>
      </c>
      <c r="F292" s="2" t="s">
        <v>209</v>
      </c>
      <c r="G292" s="2" t="s">
        <v>3528</v>
      </c>
      <c r="H292" s="2" t="s">
        <v>1</v>
      </c>
      <c r="I292" s="2">
        <v>246790</v>
      </c>
      <c r="J292" s="2" t="s">
        <v>210</v>
      </c>
      <c r="K292" s="2"/>
      <c r="L292" s="2" t="s">
        <v>211</v>
      </c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x14ac:dyDescent="0.25">
      <c r="A293" s="2" t="s">
        <v>3592</v>
      </c>
      <c r="B293" s="2" t="s">
        <v>512</v>
      </c>
      <c r="C293" s="1">
        <v>44280</v>
      </c>
      <c r="D293" s="2" t="s">
        <v>130</v>
      </c>
      <c r="E293" s="2" t="s">
        <v>130</v>
      </c>
      <c r="F293" s="2" t="s">
        <v>209</v>
      </c>
      <c r="G293" s="2" t="s">
        <v>3525</v>
      </c>
      <c r="H293" s="2" t="s">
        <v>1</v>
      </c>
      <c r="I293" s="2">
        <v>246789</v>
      </c>
      <c r="J293" s="2" t="s">
        <v>210</v>
      </c>
      <c r="K293" s="2"/>
      <c r="L293" s="2" t="s">
        <v>211</v>
      </c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x14ac:dyDescent="0.25">
      <c r="A294" s="2" t="s">
        <v>3593</v>
      </c>
      <c r="B294" s="2" t="s">
        <v>512</v>
      </c>
      <c r="C294" s="1">
        <v>44280</v>
      </c>
      <c r="D294" s="2" t="s">
        <v>130</v>
      </c>
      <c r="E294" s="2" t="s">
        <v>130</v>
      </c>
      <c r="F294" s="2" t="s">
        <v>209</v>
      </c>
      <c r="G294" s="2" t="s">
        <v>3531</v>
      </c>
      <c r="H294" s="2" t="s">
        <v>1</v>
      </c>
      <c r="I294" s="2">
        <v>246788</v>
      </c>
      <c r="J294" s="2" t="s">
        <v>210</v>
      </c>
      <c r="K294" s="2"/>
      <c r="L294" s="2" t="s">
        <v>211</v>
      </c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x14ac:dyDescent="0.25">
      <c r="A295" s="2" t="s">
        <v>3594</v>
      </c>
      <c r="B295" s="2" t="s">
        <v>129</v>
      </c>
      <c r="C295" s="1">
        <v>44283</v>
      </c>
      <c r="D295" s="2" t="s">
        <v>130</v>
      </c>
      <c r="E295" s="2" t="s">
        <v>130</v>
      </c>
      <c r="F295" s="2" t="s">
        <v>147</v>
      </c>
      <c r="G295" s="2" t="s">
        <v>3204</v>
      </c>
      <c r="H295" s="2" t="s">
        <v>3595</v>
      </c>
      <c r="I295" s="2">
        <v>302326</v>
      </c>
      <c r="J295" s="2" t="s">
        <v>148</v>
      </c>
      <c r="K295" s="2"/>
      <c r="L295" s="2" t="s">
        <v>149</v>
      </c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x14ac:dyDescent="0.25">
      <c r="A296" s="2" t="s">
        <v>3596</v>
      </c>
      <c r="B296" s="2" t="s">
        <v>129</v>
      </c>
      <c r="C296" s="1">
        <v>44283</v>
      </c>
      <c r="D296" s="2" t="s">
        <v>130</v>
      </c>
      <c r="E296" s="2" t="s">
        <v>130</v>
      </c>
      <c r="F296" s="2" t="s">
        <v>144</v>
      </c>
      <c r="G296" s="2" t="s">
        <v>562</v>
      </c>
      <c r="H296" s="2" t="s">
        <v>3597</v>
      </c>
      <c r="I296" s="2">
        <v>307295</v>
      </c>
      <c r="J296" s="2" t="s">
        <v>145</v>
      </c>
      <c r="K296" s="2"/>
      <c r="L296" s="2" t="s">
        <v>146</v>
      </c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x14ac:dyDescent="0.25">
      <c r="A297" s="2" t="s">
        <v>3598</v>
      </c>
      <c r="B297" s="2" t="s">
        <v>134</v>
      </c>
      <c r="C297" s="1">
        <v>44283</v>
      </c>
      <c r="D297" s="2" t="s">
        <v>130</v>
      </c>
      <c r="E297" s="2" t="s">
        <v>130</v>
      </c>
      <c r="F297" s="2" t="s">
        <v>135</v>
      </c>
      <c r="G297" s="2" t="s">
        <v>136</v>
      </c>
      <c r="H297" s="2" t="s">
        <v>3599</v>
      </c>
      <c r="I297" s="2">
        <v>308751</v>
      </c>
      <c r="J297" s="2" t="s">
        <v>137</v>
      </c>
      <c r="K297" s="2"/>
      <c r="L297" s="2" t="s">
        <v>138</v>
      </c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x14ac:dyDescent="0.25">
      <c r="A298" s="2" t="s">
        <v>3600</v>
      </c>
      <c r="B298" s="2" t="s">
        <v>129</v>
      </c>
      <c r="C298" s="1">
        <v>44284</v>
      </c>
      <c r="D298" s="2" t="s">
        <v>130</v>
      </c>
      <c r="E298" s="2" t="s">
        <v>130</v>
      </c>
      <c r="F298" s="2" t="s">
        <v>144</v>
      </c>
      <c r="G298" s="2" t="s">
        <v>3221</v>
      </c>
      <c r="H298" s="2" t="s">
        <v>3601</v>
      </c>
      <c r="I298" s="2">
        <v>1271427</v>
      </c>
      <c r="J298" s="2" t="s">
        <v>145</v>
      </c>
      <c r="K298" s="2"/>
      <c r="L298" s="2" t="s">
        <v>146</v>
      </c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x14ac:dyDescent="0.25">
      <c r="A299" s="2" t="s">
        <v>3602</v>
      </c>
      <c r="B299" s="2" t="s">
        <v>129</v>
      </c>
      <c r="C299" s="1">
        <v>44284</v>
      </c>
      <c r="D299" s="2" t="s">
        <v>130</v>
      </c>
      <c r="E299" s="2" t="s">
        <v>130</v>
      </c>
      <c r="F299" s="2" t="s">
        <v>144</v>
      </c>
      <c r="G299" s="2" t="s">
        <v>3603</v>
      </c>
      <c r="H299" s="2" t="s">
        <v>3604</v>
      </c>
      <c r="I299" s="2">
        <v>307250</v>
      </c>
      <c r="J299" s="2" t="s">
        <v>145</v>
      </c>
      <c r="K299" s="2"/>
      <c r="L299" s="2" t="s">
        <v>146</v>
      </c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x14ac:dyDescent="0.25">
      <c r="A300" s="2" t="s">
        <v>3605</v>
      </c>
      <c r="B300" s="2" t="s">
        <v>134</v>
      </c>
      <c r="C300" s="1">
        <v>44284</v>
      </c>
      <c r="D300" s="2" t="s">
        <v>130</v>
      </c>
      <c r="E300" s="2" t="s">
        <v>130</v>
      </c>
      <c r="F300" s="2" t="s">
        <v>189</v>
      </c>
      <c r="G300" s="2" t="s">
        <v>3198</v>
      </c>
      <c r="H300" s="2" t="s">
        <v>3606</v>
      </c>
      <c r="I300" s="2">
        <v>308429</v>
      </c>
      <c r="J300" s="2" t="s">
        <v>191</v>
      </c>
      <c r="K300" s="2"/>
      <c r="L300" s="2" t="s">
        <v>192</v>
      </c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x14ac:dyDescent="0.25">
      <c r="A301" s="2" t="s">
        <v>3607</v>
      </c>
      <c r="B301" s="2" t="s">
        <v>129</v>
      </c>
      <c r="C301" s="1">
        <v>44284</v>
      </c>
      <c r="D301" s="2" t="s">
        <v>130</v>
      </c>
      <c r="E301" s="2" t="s">
        <v>130</v>
      </c>
      <c r="F301" s="2" t="s">
        <v>206</v>
      </c>
      <c r="G301" s="2" t="s">
        <v>2715</v>
      </c>
      <c r="H301" s="2" t="s">
        <v>3608</v>
      </c>
      <c r="I301" s="2">
        <v>1271439</v>
      </c>
      <c r="J301" s="2" t="s">
        <v>207</v>
      </c>
      <c r="K301" s="2"/>
      <c r="L301" s="2" t="s">
        <v>152</v>
      </c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x14ac:dyDescent="0.25">
      <c r="A302" s="2" t="s">
        <v>3609</v>
      </c>
      <c r="B302" s="2" t="s">
        <v>129</v>
      </c>
      <c r="C302" s="1">
        <v>44284</v>
      </c>
      <c r="D302" s="2" t="s">
        <v>130</v>
      </c>
      <c r="E302" s="2" t="s">
        <v>130</v>
      </c>
      <c r="F302" s="2" t="s">
        <v>206</v>
      </c>
      <c r="G302" s="2" t="s">
        <v>2723</v>
      </c>
      <c r="H302" s="2" t="s">
        <v>3610</v>
      </c>
      <c r="I302" s="2">
        <v>1271441</v>
      </c>
      <c r="J302" s="2" t="s">
        <v>207</v>
      </c>
      <c r="K302" s="2"/>
      <c r="L302" s="2" t="s">
        <v>152</v>
      </c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x14ac:dyDescent="0.25">
      <c r="A303" s="2" t="s">
        <v>3611</v>
      </c>
      <c r="B303" s="2" t="s">
        <v>129</v>
      </c>
      <c r="C303" s="1">
        <v>44284</v>
      </c>
      <c r="D303" s="2" t="s">
        <v>130</v>
      </c>
      <c r="E303" s="2" t="s">
        <v>130</v>
      </c>
      <c r="F303" s="2" t="s">
        <v>144</v>
      </c>
      <c r="G303" s="2" t="s">
        <v>3199</v>
      </c>
      <c r="H303" s="2" t="s">
        <v>3612</v>
      </c>
      <c r="I303" s="2">
        <v>299937</v>
      </c>
      <c r="J303" s="2" t="s">
        <v>145</v>
      </c>
      <c r="K303" s="2"/>
      <c r="L303" s="2" t="s">
        <v>146</v>
      </c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x14ac:dyDescent="0.25">
      <c r="A304" s="2" t="s">
        <v>3613</v>
      </c>
      <c r="B304" s="2" t="s">
        <v>134</v>
      </c>
      <c r="C304" s="1">
        <v>44284</v>
      </c>
      <c r="D304" s="2" t="s">
        <v>130</v>
      </c>
      <c r="E304" s="2" t="s">
        <v>130</v>
      </c>
      <c r="F304" s="2" t="s">
        <v>391</v>
      </c>
      <c r="G304" s="2" t="s">
        <v>3614</v>
      </c>
      <c r="H304" s="2" t="s">
        <v>3615</v>
      </c>
      <c r="I304" s="2">
        <v>252162</v>
      </c>
      <c r="J304" s="2" t="s">
        <v>392</v>
      </c>
      <c r="K304" s="2"/>
      <c r="L304" s="2" t="s">
        <v>393</v>
      </c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x14ac:dyDescent="0.25">
      <c r="A305" s="2" t="s">
        <v>3616</v>
      </c>
      <c r="B305" s="2" t="s">
        <v>134</v>
      </c>
      <c r="C305" s="1">
        <v>44284</v>
      </c>
      <c r="D305" s="2" t="s">
        <v>130</v>
      </c>
      <c r="E305" s="2" t="s">
        <v>130</v>
      </c>
      <c r="F305" s="2" t="s">
        <v>391</v>
      </c>
      <c r="G305" s="2" t="s">
        <v>3617</v>
      </c>
      <c r="H305" s="2" t="s">
        <v>3618</v>
      </c>
      <c r="I305" s="2">
        <v>252163</v>
      </c>
      <c r="J305" s="2" t="s">
        <v>392</v>
      </c>
      <c r="K305" s="2"/>
      <c r="L305" s="2" t="s">
        <v>393</v>
      </c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x14ac:dyDescent="0.25">
      <c r="A306" s="2" t="s">
        <v>3619</v>
      </c>
      <c r="B306" s="2" t="s">
        <v>129</v>
      </c>
      <c r="C306" s="1">
        <v>44288</v>
      </c>
      <c r="D306" s="2" t="s">
        <v>130</v>
      </c>
      <c r="E306" s="2" t="s">
        <v>130</v>
      </c>
      <c r="F306" s="2" t="s">
        <v>391</v>
      </c>
      <c r="G306" s="2" t="s">
        <v>3620</v>
      </c>
      <c r="H306" s="2" t="s">
        <v>3621</v>
      </c>
      <c r="I306" s="2">
        <v>252140</v>
      </c>
      <c r="J306" s="2" t="s">
        <v>392</v>
      </c>
      <c r="K306" s="2"/>
      <c r="L306" s="2" t="s">
        <v>393</v>
      </c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x14ac:dyDescent="0.25">
      <c r="A307" s="2" t="s">
        <v>3622</v>
      </c>
      <c r="B307" s="2" t="s">
        <v>129</v>
      </c>
      <c r="C307" s="1">
        <v>44288</v>
      </c>
      <c r="D307" s="2" t="s">
        <v>130</v>
      </c>
      <c r="E307" s="2" t="s">
        <v>130</v>
      </c>
      <c r="F307" s="2" t="s">
        <v>391</v>
      </c>
      <c r="G307" s="2" t="s">
        <v>3623</v>
      </c>
      <c r="H307" s="2" t="s">
        <v>3624</v>
      </c>
      <c r="I307" s="2">
        <v>252137</v>
      </c>
      <c r="J307" s="2" t="s">
        <v>392</v>
      </c>
      <c r="K307" s="2"/>
      <c r="L307" s="2" t="s">
        <v>393</v>
      </c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x14ac:dyDescent="0.25">
      <c r="A308" s="2" t="s">
        <v>3625</v>
      </c>
      <c r="B308" s="2" t="s">
        <v>129</v>
      </c>
      <c r="C308" s="1">
        <v>44284</v>
      </c>
      <c r="D308" s="2" t="s">
        <v>130</v>
      </c>
      <c r="E308" s="2" t="s">
        <v>130</v>
      </c>
      <c r="F308" s="2" t="s">
        <v>326</v>
      </c>
      <c r="G308" s="2" t="s">
        <v>3626</v>
      </c>
      <c r="H308" s="2" t="s">
        <v>3627</v>
      </c>
      <c r="I308" s="2">
        <v>1273199</v>
      </c>
      <c r="J308" s="2" t="s">
        <v>132</v>
      </c>
      <c r="K308" s="2"/>
      <c r="L308" s="2" t="s">
        <v>328</v>
      </c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x14ac:dyDescent="0.25">
      <c r="A309" s="2" t="s">
        <v>3628</v>
      </c>
      <c r="B309" s="2" t="s">
        <v>134</v>
      </c>
      <c r="C309" s="1">
        <v>44284</v>
      </c>
      <c r="D309" s="2" t="s">
        <v>130</v>
      </c>
      <c r="E309" s="2" t="s">
        <v>130</v>
      </c>
      <c r="F309" s="2" t="s">
        <v>400</v>
      </c>
      <c r="G309" s="2" t="s">
        <v>565</v>
      </c>
      <c r="H309" s="2" t="s">
        <v>3629</v>
      </c>
      <c r="I309" s="2">
        <v>289403</v>
      </c>
      <c r="J309" s="2" t="s">
        <v>401</v>
      </c>
      <c r="K309" s="2"/>
      <c r="L309" s="2" t="s">
        <v>142</v>
      </c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x14ac:dyDescent="0.25">
      <c r="A310" s="2" t="s">
        <v>3630</v>
      </c>
      <c r="B310" s="2" t="s">
        <v>134</v>
      </c>
      <c r="C310" s="1">
        <v>44284</v>
      </c>
      <c r="D310" s="2" t="s">
        <v>130</v>
      </c>
      <c r="E310" s="2" t="s">
        <v>130</v>
      </c>
      <c r="F310" s="2" t="s">
        <v>163</v>
      </c>
      <c r="G310" s="2" t="s">
        <v>3631</v>
      </c>
      <c r="H310" s="2" t="s">
        <v>3632</v>
      </c>
      <c r="I310" s="2">
        <v>309248</v>
      </c>
      <c r="J310" s="2" t="s">
        <v>164</v>
      </c>
      <c r="K310" s="2"/>
      <c r="L310" s="2" t="s">
        <v>165</v>
      </c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x14ac:dyDescent="0.25">
      <c r="A311" s="2" t="s">
        <v>3633</v>
      </c>
      <c r="B311" s="2" t="s">
        <v>134</v>
      </c>
      <c r="C311" s="1">
        <v>44284</v>
      </c>
      <c r="D311" s="2" t="s">
        <v>130</v>
      </c>
      <c r="E311" s="2" t="s">
        <v>130</v>
      </c>
      <c r="F311" s="2" t="s">
        <v>163</v>
      </c>
      <c r="G311" s="2" t="s">
        <v>3634</v>
      </c>
      <c r="H311" s="2" t="s">
        <v>3635</v>
      </c>
      <c r="I311" s="2">
        <v>309251</v>
      </c>
      <c r="J311" s="2" t="s">
        <v>164</v>
      </c>
      <c r="K311" s="2"/>
      <c r="L311" s="2" t="s">
        <v>165</v>
      </c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x14ac:dyDescent="0.25">
      <c r="A312" s="2" t="s">
        <v>3636</v>
      </c>
      <c r="B312" s="2" t="s">
        <v>134</v>
      </c>
      <c r="C312" s="1">
        <v>44284</v>
      </c>
      <c r="D312" s="2" t="s">
        <v>130</v>
      </c>
      <c r="E312" s="2" t="s">
        <v>130</v>
      </c>
      <c r="F312" s="2" t="s">
        <v>163</v>
      </c>
      <c r="G312" s="2" t="s">
        <v>3637</v>
      </c>
      <c r="H312" s="2" t="s">
        <v>3638</v>
      </c>
      <c r="I312" s="2">
        <v>309254</v>
      </c>
      <c r="J312" s="2" t="s">
        <v>164</v>
      </c>
      <c r="K312" s="2"/>
      <c r="L312" s="2" t="s">
        <v>165</v>
      </c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x14ac:dyDescent="0.25">
      <c r="A313" s="2" t="s">
        <v>3639</v>
      </c>
      <c r="B313" s="2" t="s">
        <v>134</v>
      </c>
      <c r="C313" s="1">
        <v>44284</v>
      </c>
      <c r="D313" s="2" t="s">
        <v>130</v>
      </c>
      <c r="E313" s="2" t="s">
        <v>130</v>
      </c>
      <c r="F313" s="2" t="s">
        <v>163</v>
      </c>
      <c r="G313" s="2" t="s">
        <v>3640</v>
      </c>
      <c r="H313" s="2" t="s">
        <v>3641</v>
      </c>
      <c r="I313" s="2">
        <v>309255</v>
      </c>
      <c r="J313" s="2" t="s">
        <v>164</v>
      </c>
      <c r="K313" s="2"/>
      <c r="L313" s="2" t="s">
        <v>165</v>
      </c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x14ac:dyDescent="0.25">
      <c r="A314" s="2" t="s">
        <v>3642</v>
      </c>
      <c r="B314" s="2" t="s">
        <v>134</v>
      </c>
      <c r="C314" s="1">
        <v>44284</v>
      </c>
      <c r="D314" s="2" t="s">
        <v>130</v>
      </c>
      <c r="E314" s="2" t="s">
        <v>130</v>
      </c>
      <c r="F314" s="2" t="s">
        <v>163</v>
      </c>
      <c r="G314" s="2" t="s">
        <v>3643</v>
      </c>
      <c r="H314" s="2" t="s">
        <v>3644</v>
      </c>
      <c r="I314" s="2">
        <v>309257</v>
      </c>
      <c r="J314" s="2" t="s">
        <v>164</v>
      </c>
      <c r="K314" s="2"/>
      <c r="L314" s="2" t="s">
        <v>165</v>
      </c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x14ac:dyDescent="0.25">
      <c r="A315" s="2" t="s">
        <v>3645</v>
      </c>
      <c r="B315" s="2" t="s">
        <v>134</v>
      </c>
      <c r="C315" s="1">
        <v>44284</v>
      </c>
      <c r="D315" s="2" t="s">
        <v>130</v>
      </c>
      <c r="E315" s="2" t="s">
        <v>130</v>
      </c>
      <c r="F315" s="2" t="s">
        <v>232</v>
      </c>
      <c r="G315" s="2" t="s">
        <v>3646</v>
      </c>
      <c r="H315" s="2" t="s">
        <v>3647</v>
      </c>
      <c r="I315" s="2">
        <v>309258</v>
      </c>
      <c r="J315" s="2" t="s">
        <v>164</v>
      </c>
      <c r="K315" s="2"/>
      <c r="L315" s="2" t="s">
        <v>138</v>
      </c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x14ac:dyDescent="0.25">
      <c r="A316" s="2" t="s">
        <v>3648</v>
      </c>
      <c r="B316" s="2" t="s">
        <v>134</v>
      </c>
      <c r="C316" s="1">
        <v>44284</v>
      </c>
      <c r="D316" s="2" t="s">
        <v>130</v>
      </c>
      <c r="E316" s="2" t="s">
        <v>130</v>
      </c>
      <c r="F316" s="2" t="s">
        <v>232</v>
      </c>
      <c r="G316" s="2" t="s">
        <v>3649</v>
      </c>
      <c r="H316" s="2" t="s">
        <v>3650</v>
      </c>
      <c r="I316" s="2">
        <v>309260</v>
      </c>
      <c r="J316" s="2" t="s">
        <v>164</v>
      </c>
      <c r="K316" s="2"/>
      <c r="L316" s="2" t="s">
        <v>138</v>
      </c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x14ac:dyDescent="0.25">
      <c r="A317" s="2" t="s">
        <v>3651</v>
      </c>
      <c r="B317" s="2" t="s">
        <v>134</v>
      </c>
      <c r="C317" s="1">
        <v>44284</v>
      </c>
      <c r="D317" s="2" t="s">
        <v>130</v>
      </c>
      <c r="E317" s="2" t="s">
        <v>130</v>
      </c>
      <c r="F317" s="2" t="s">
        <v>353</v>
      </c>
      <c r="G317" s="2" t="s">
        <v>3652</v>
      </c>
      <c r="H317" s="2" t="s">
        <v>3653</v>
      </c>
      <c r="I317" s="2">
        <v>309261</v>
      </c>
      <c r="J317" s="2" t="s">
        <v>545</v>
      </c>
      <c r="K317" s="2"/>
      <c r="L317" s="2" t="s">
        <v>138</v>
      </c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x14ac:dyDescent="0.25">
      <c r="A318" s="2" t="s">
        <v>3654</v>
      </c>
      <c r="B318" s="2" t="s">
        <v>134</v>
      </c>
      <c r="C318" s="1">
        <v>44284</v>
      </c>
      <c r="D318" s="2" t="s">
        <v>130</v>
      </c>
      <c r="E318" s="2" t="s">
        <v>130</v>
      </c>
      <c r="F318" s="2" t="s">
        <v>353</v>
      </c>
      <c r="G318" s="2" t="s">
        <v>3655</v>
      </c>
      <c r="H318" s="2" t="s">
        <v>3656</v>
      </c>
      <c r="I318" s="2">
        <v>309262</v>
      </c>
      <c r="J318" s="2" t="s">
        <v>545</v>
      </c>
      <c r="K318" s="2"/>
      <c r="L318" s="2" t="s">
        <v>138</v>
      </c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x14ac:dyDescent="0.25">
      <c r="A319" s="2" t="s">
        <v>3657</v>
      </c>
      <c r="B319" s="2" t="s">
        <v>134</v>
      </c>
      <c r="C319" s="1">
        <v>44284</v>
      </c>
      <c r="D319" s="2" t="s">
        <v>130</v>
      </c>
      <c r="E319" s="2" t="s">
        <v>130</v>
      </c>
      <c r="F319" s="2" t="s">
        <v>353</v>
      </c>
      <c r="G319" s="2" t="s">
        <v>3658</v>
      </c>
      <c r="H319" s="2" t="s">
        <v>3659</v>
      </c>
      <c r="I319" s="2">
        <v>309263</v>
      </c>
      <c r="J319" s="2" t="s">
        <v>545</v>
      </c>
      <c r="K319" s="2"/>
      <c r="L319" s="2" t="s">
        <v>138</v>
      </c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x14ac:dyDescent="0.25">
      <c r="A320" s="2" t="s">
        <v>3660</v>
      </c>
      <c r="B320" s="2" t="s">
        <v>134</v>
      </c>
      <c r="C320" s="1">
        <v>44284</v>
      </c>
      <c r="D320" s="2" t="s">
        <v>130</v>
      </c>
      <c r="E320" s="2" t="s">
        <v>130</v>
      </c>
      <c r="F320" s="2" t="s">
        <v>353</v>
      </c>
      <c r="G320" s="2" t="s">
        <v>3661</v>
      </c>
      <c r="H320" s="2" t="s">
        <v>3662</v>
      </c>
      <c r="I320" s="2">
        <v>309264</v>
      </c>
      <c r="J320" s="2" t="s">
        <v>545</v>
      </c>
      <c r="K320" s="2"/>
      <c r="L320" s="2" t="s">
        <v>138</v>
      </c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x14ac:dyDescent="0.25">
      <c r="A321" s="2" t="s">
        <v>3663</v>
      </c>
      <c r="B321" s="2" t="s">
        <v>134</v>
      </c>
      <c r="C321" s="1">
        <v>44284</v>
      </c>
      <c r="D321" s="2" t="s">
        <v>130</v>
      </c>
      <c r="E321" s="2" t="s">
        <v>130</v>
      </c>
      <c r="F321" s="2" t="s">
        <v>354</v>
      </c>
      <c r="G321" s="2" t="s">
        <v>3664</v>
      </c>
      <c r="H321" s="2" t="s">
        <v>3665</v>
      </c>
      <c r="I321" s="2">
        <v>309269</v>
      </c>
      <c r="J321" s="2" t="s">
        <v>164</v>
      </c>
      <c r="K321" s="2"/>
      <c r="L321" s="2" t="s">
        <v>138</v>
      </c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x14ac:dyDescent="0.25">
      <c r="A322" s="2" t="s">
        <v>3666</v>
      </c>
      <c r="B322" s="2" t="s">
        <v>134</v>
      </c>
      <c r="C322" s="1">
        <v>44284</v>
      </c>
      <c r="D322" s="2" t="s">
        <v>130</v>
      </c>
      <c r="E322" s="2" t="s">
        <v>130</v>
      </c>
      <c r="F322" s="2" t="s">
        <v>236</v>
      </c>
      <c r="G322" s="2" t="s">
        <v>3667</v>
      </c>
      <c r="H322" s="2" t="s">
        <v>3668</v>
      </c>
      <c r="I322" s="2">
        <v>309271</v>
      </c>
      <c r="J322" s="2" t="s">
        <v>238</v>
      </c>
      <c r="K322" s="2"/>
      <c r="L322" s="2" t="s">
        <v>138</v>
      </c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x14ac:dyDescent="0.25">
      <c r="A323" s="2" t="s">
        <v>3669</v>
      </c>
      <c r="B323" s="2" t="s">
        <v>212</v>
      </c>
      <c r="C323" s="1">
        <v>44284</v>
      </c>
      <c r="D323" s="2" t="s">
        <v>130</v>
      </c>
      <c r="E323" s="2" t="s">
        <v>130</v>
      </c>
      <c r="F323" s="2" t="s">
        <v>236</v>
      </c>
      <c r="G323" s="2" t="s">
        <v>3670</v>
      </c>
      <c r="H323" s="2" t="s">
        <v>3671</v>
      </c>
      <c r="I323" s="2">
        <v>309272</v>
      </c>
      <c r="J323" s="2" t="s">
        <v>238</v>
      </c>
      <c r="K323" s="2"/>
      <c r="L323" s="2" t="s">
        <v>138</v>
      </c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x14ac:dyDescent="0.25">
      <c r="A324" s="2" t="s">
        <v>3672</v>
      </c>
      <c r="B324" s="2" t="s">
        <v>134</v>
      </c>
      <c r="C324" s="1">
        <v>44284</v>
      </c>
      <c r="D324" s="2" t="s">
        <v>130</v>
      </c>
      <c r="E324" s="2" t="s">
        <v>130</v>
      </c>
      <c r="F324" s="2" t="s">
        <v>236</v>
      </c>
      <c r="G324" s="2" t="s">
        <v>3673</v>
      </c>
      <c r="H324" s="2" t="s">
        <v>3674</v>
      </c>
      <c r="I324" s="2">
        <v>309273</v>
      </c>
      <c r="J324" s="2" t="s">
        <v>238</v>
      </c>
      <c r="K324" s="2"/>
      <c r="L324" s="2" t="s">
        <v>138</v>
      </c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x14ac:dyDescent="0.25">
      <c r="A325" s="2" t="s">
        <v>3675</v>
      </c>
      <c r="B325" s="2" t="s">
        <v>134</v>
      </c>
      <c r="C325" s="1">
        <v>44284</v>
      </c>
      <c r="D325" s="2" t="s">
        <v>130</v>
      </c>
      <c r="E325" s="2" t="s">
        <v>130</v>
      </c>
      <c r="F325" s="2" t="s">
        <v>236</v>
      </c>
      <c r="G325" s="2" t="s">
        <v>3676</v>
      </c>
      <c r="H325" s="2" t="s">
        <v>3677</v>
      </c>
      <c r="I325" s="2">
        <v>309274</v>
      </c>
      <c r="J325" s="2" t="s">
        <v>238</v>
      </c>
      <c r="K325" s="2"/>
      <c r="L325" s="2" t="s">
        <v>138</v>
      </c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x14ac:dyDescent="0.25">
      <c r="A326" s="2" t="s">
        <v>3678</v>
      </c>
      <c r="B326" s="2" t="s">
        <v>134</v>
      </c>
      <c r="C326" s="1">
        <v>44284</v>
      </c>
      <c r="D326" s="2" t="s">
        <v>130</v>
      </c>
      <c r="E326" s="2" t="s">
        <v>130</v>
      </c>
      <c r="F326" s="2" t="s">
        <v>236</v>
      </c>
      <c r="G326" s="2" t="s">
        <v>3679</v>
      </c>
      <c r="H326" s="2" t="s">
        <v>3680</v>
      </c>
      <c r="I326" s="2">
        <v>309276</v>
      </c>
      <c r="J326" s="2" t="s">
        <v>238</v>
      </c>
      <c r="K326" s="2"/>
      <c r="L326" s="2" t="s">
        <v>138</v>
      </c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x14ac:dyDescent="0.25">
      <c r="A327" s="2" t="s">
        <v>3681</v>
      </c>
      <c r="B327" s="2" t="s">
        <v>134</v>
      </c>
      <c r="C327" s="1">
        <v>44284</v>
      </c>
      <c r="D327" s="2" t="s">
        <v>130</v>
      </c>
      <c r="E327" s="2" t="s">
        <v>130</v>
      </c>
      <c r="F327" s="2" t="s">
        <v>232</v>
      </c>
      <c r="G327" s="2" t="s">
        <v>3682</v>
      </c>
      <c r="H327" s="2" t="s">
        <v>3683</v>
      </c>
      <c r="I327" s="2">
        <v>309279</v>
      </c>
      <c r="J327" s="2" t="s">
        <v>164</v>
      </c>
      <c r="K327" s="2"/>
      <c r="L327" s="2" t="s">
        <v>138</v>
      </c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x14ac:dyDescent="0.25">
      <c r="A328" s="2" t="s">
        <v>3684</v>
      </c>
      <c r="B328" s="2" t="s">
        <v>134</v>
      </c>
      <c r="C328" s="1">
        <v>44284</v>
      </c>
      <c r="D328" s="2" t="s">
        <v>130</v>
      </c>
      <c r="E328" s="2" t="s">
        <v>130</v>
      </c>
      <c r="F328" s="2" t="s">
        <v>232</v>
      </c>
      <c r="G328" s="2" t="s">
        <v>3685</v>
      </c>
      <c r="H328" s="2" t="s">
        <v>3686</v>
      </c>
      <c r="I328" s="2">
        <v>309280</v>
      </c>
      <c r="J328" s="2" t="s">
        <v>164</v>
      </c>
      <c r="K328" s="2"/>
      <c r="L328" s="2" t="s">
        <v>138</v>
      </c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x14ac:dyDescent="0.25">
      <c r="A329" s="2" t="s">
        <v>3687</v>
      </c>
      <c r="B329" s="2" t="s">
        <v>134</v>
      </c>
      <c r="C329" s="1">
        <v>44284</v>
      </c>
      <c r="D329" s="2" t="s">
        <v>130</v>
      </c>
      <c r="E329" s="2" t="s">
        <v>130</v>
      </c>
      <c r="F329" s="2" t="s">
        <v>356</v>
      </c>
      <c r="G329" s="2" t="s">
        <v>3688</v>
      </c>
      <c r="H329" s="2" t="s">
        <v>3689</v>
      </c>
      <c r="I329" s="2">
        <v>309283</v>
      </c>
      <c r="J329" s="2" t="s">
        <v>164</v>
      </c>
      <c r="K329" s="2"/>
      <c r="L329" s="2" t="s">
        <v>138</v>
      </c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x14ac:dyDescent="0.25">
      <c r="A330" s="2" t="s">
        <v>3690</v>
      </c>
      <c r="B330" s="2" t="s">
        <v>134</v>
      </c>
      <c r="C330" s="1">
        <v>44284</v>
      </c>
      <c r="D330" s="2" t="s">
        <v>130</v>
      </c>
      <c r="E330" s="2" t="s">
        <v>130</v>
      </c>
      <c r="F330" s="2" t="s">
        <v>353</v>
      </c>
      <c r="G330" s="2" t="s">
        <v>3691</v>
      </c>
      <c r="H330" s="2" t="s">
        <v>3692</v>
      </c>
      <c r="I330" s="2">
        <v>309285</v>
      </c>
      <c r="J330" s="2" t="s">
        <v>545</v>
      </c>
      <c r="K330" s="2"/>
      <c r="L330" s="2" t="s">
        <v>138</v>
      </c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x14ac:dyDescent="0.25">
      <c r="A331" s="2" t="s">
        <v>3693</v>
      </c>
      <c r="B331" s="2" t="s">
        <v>134</v>
      </c>
      <c r="C331" s="1">
        <v>44284</v>
      </c>
      <c r="D331" s="2" t="s">
        <v>130</v>
      </c>
      <c r="E331" s="2" t="s">
        <v>130</v>
      </c>
      <c r="F331" s="2" t="s">
        <v>353</v>
      </c>
      <c r="G331" s="2" t="s">
        <v>3190</v>
      </c>
      <c r="H331" s="2" t="s">
        <v>3694</v>
      </c>
      <c r="I331" s="2">
        <v>309287</v>
      </c>
      <c r="J331" s="2" t="s">
        <v>545</v>
      </c>
      <c r="K331" s="2"/>
      <c r="L331" s="2" t="s">
        <v>138</v>
      </c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x14ac:dyDescent="0.25">
      <c r="A332" s="2" t="s">
        <v>3695</v>
      </c>
      <c r="B332" s="2" t="s">
        <v>134</v>
      </c>
      <c r="C332" s="1">
        <v>44284</v>
      </c>
      <c r="D332" s="2" t="s">
        <v>130</v>
      </c>
      <c r="E332" s="2" t="s">
        <v>130</v>
      </c>
      <c r="F332" s="2" t="s">
        <v>353</v>
      </c>
      <c r="G332" s="2" t="s">
        <v>3189</v>
      </c>
      <c r="H332" s="2" t="s">
        <v>3696</v>
      </c>
      <c r="I332" s="2">
        <v>309288</v>
      </c>
      <c r="J332" s="2" t="s">
        <v>545</v>
      </c>
      <c r="K332" s="2"/>
      <c r="L332" s="2" t="s">
        <v>138</v>
      </c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x14ac:dyDescent="0.25">
      <c r="A333" s="2" t="s">
        <v>3697</v>
      </c>
      <c r="B333" s="2" t="s">
        <v>129</v>
      </c>
      <c r="C333" s="1">
        <v>44284</v>
      </c>
      <c r="D333" s="2" t="s">
        <v>130</v>
      </c>
      <c r="E333" s="2" t="s">
        <v>130</v>
      </c>
      <c r="F333" s="2" t="s">
        <v>157</v>
      </c>
      <c r="G333" s="2" t="s">
        <v>276</v>
      </c>
      <c r="H333" s="2" t="s">
        <v>3698</v>
      </c>
      <c r="I333" s="2">
        <v>1273216</v>
      </c>
      <c r="J333" s="2" t="s">
        <v>151</v>
      </c>
      <c r="K333" s="2"/>
      <c r="L333" s="2" t="s">
        <v>152</v>
      </c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x14ac:dyDescent="0.25">
      <c r="A334" s="2" t="s">
        <v>3699</v>
      </c>
      <c r="B334" s="2" t="s">
        <v>134</v>
      </c>
      <c r="C334" s="1">
        <v>44284</v>
      </c>
      <c r="D334" s="2" t="s">
        <v>130</v>
      </c>
      <c r="E334" s="2" t="s">
        <v>130</v>
      </c>
      <c r="F334" s="2" t="s">
        <v>344</v>
      </c>
      <c r="G334" s="2" t="s">
        <v>3218</v>
      </c>
      <c r="H334" s="2" t="s">
        <v>3700</v>
      </c>
      <c r="I334" s="2">
        <v>305968</v>
      </c>
      <c r="J334" s="2" t="s">
        <v>345</v>
      </c>
      <c r="K334" s="2"/>
      <c r="L334" s="2" t="s">
        <v>152</v>
      </c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x14ac:dyDescent="0.25">
      <c r="A335" s="2" t="s">
        <v>3701</v>
      </c>
      <c r="B335" s="2" t="s">
        <v>129</v>
      </c>
      <c r="C335" s="1">
        <v>44284</v>
      </c>
      <c r="D335" s="2" t="s">
        <v>130</v>
      </c>
      <c r="E335" s="2" t="s">
        <v>130</v>
      </c>
      <c r="F335" s="2" t="s">
        <v>206</v>
      </c>
      <c r="G335" s="2" t="s">
        <v>421</v>
      </c>
      <c r="H335" s="2" t="s">
        <v>3702</v>
      </c>
      <c r="I335" s="2">
        <v>1273222</v>
      </c>
      <c r="J335" s="2" t="s">
        <v>207</v>
      </c>
      <c r="K335" s="2"/>
      <c r="L335" s="2" t="s">
        <v>152</v>
      </c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x14ac:dyDescent="0.25">
      <c r="A336" s="2" t="s">
        <v>3703</v>
      </c>
      <c r="B336" s="2" t="s">
        <v>134</v>
      </c>
      <c r="C336" s="1">
        <v>44284</v>
      </c>
      <c r="D336" s="2" t="s">
        <v>130</v>
      </c>
      <c r="E336" s="2" t="s">
        <v>130</v>
      </c>
      <c r="F336" s="2" t="s">
        <v>284</v>
      </c>
      <c r="G336" s="2" t="s">
        <v>3704</v>
      </c>
      <c r="H336" s="2" t="s">
        <v>3705</v>
      </c>
      <c r="I336" s="2">
        <v>1273223</v>
      </c>
      <c r="J336" s="2" t="s">
        <v>196</v>
      </c>
      <c r="K336" s="2"/>
      <c r="L336" s="2" t="s">
        <v>285</v>
      </c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x14ac:dyDescent="0.25">
      <c r="A337" s="2" t="s">
        <v>3706</v>
      </c>
      <c r="B337" s="2" t="s">
        <v>134</v>
      </c>
      <c r="C337" s="1">
        <v>44284</v>
      </c>
      <c r="D337" s="2" t="s">
        <v>130</v>
      </c>
      <c r="E337" s="2" t="s">
        <v>130</v>
      </c>
      <c r="F337" s="2" t="s">
        <v>284</v>
      </c>
      <c r="G337" s="2" t="s">
        <v>3707</v>
      </c>
      <c r="H337" s="2" t="s">
        <v>3708</v>
      </c>
      <c r="I337" s="2">
        <v>1273225</v>
      </c>
      <c r="J337" s="2" t="s">
        <v>196</v>
      </c>
      <c r="K337" s="2"/>
      <c r="L337" s="2" t="s">
        <v>285</v>
      </c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x14ac:dyDescent="0.25">
      <c r="A338" s="2" t="s">
        <v>3709</v>
      </c>
      <c r="B338" s="2" t="s">
        <v>129</v>
      </c>
      <c r="C338" s="1">
        <v>44285</v>
      </c>
      <c r="D338" s="2" t="s">
        <v>130</v>
      </c>
      <c r="E338" s="2" t="s">
        <v>130</v>
      </c>
      <c r="F338" s="2" t="s">
        <v>150</v>
      </c>
      <c r="G338" s="2" t="s">
        <v>283</v>
      </c>
      <c r="H338" s="2" t="s">
        <v>3710</v>
      </c>
      <c r="I338" s="2">
        <v>306781</v>
      </c>
      <c r="J338" s="2" t="s">
        <v>151</v>
      </c>
      <c r="K338" s="2"/>
      <c r="L338" s="2" t="s">
        <v>152</v>
      </c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x14ac:dyDescent="0.25">
      <c r="A339" s="2" t="s">
        <v>3711</v>
      </c>
      <c r="B339" s="2" t="s">
        <v>129</v>
      </c>
      <c r="C339" s="1">
        <v>44285</v>
      </c>
      <c r="D339" s="2" t="s">
        <v>130</v>
      </c>
      <c r="E339" s="2" t="s">
        <v>130</v>
      </c>
      <c r="F339" s="2" t="s">
        <v>206</v>
      </c>
      <c r="G339" s="2" t="s">
        <v>208</v>
      </c>
      <c r="H339" s="2" t="s">
        <v>3712</v>
      </c>
      <c r="I339" s="2">
        <v>1273259</v>
      </c>
      <c r="J339" s="2" t="s">
        <v>207</v>
      </c>
      <c r="K339" s="2"/>
      <c r="L339" s="2" t="s">
        <v>152</v>
      </c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x14ac:dyDescent="0.25">
      <c r="A340" s="2" t="s">
        <v>3713</v>
      </c>
      <c r="B340" s="2" t="s">
        <v>129</v>
      </c>
      <c r="C340" s="1">
        <v>44285</v>
      </c>
      <c r="D340" s="2" t="s">
        <v>130</v>
      </c>
      <c r="E340" s="2" t="s">
        <v>130</v>
      </c>
      <c r="F340" s="2" t="s">
        <v>206</v>
      </c>
      <c r="G340" s="2" t="s">
        <v>410</v>
      </c>
      <c r="H340" s="2" t="s">
        <v>3714</v>
      </c>
      <c r="I340" s="2">
        <v>1273261</v>
      </c>
      <c r="J340" s="2" t="s">
        <v>207</v>
      </c>
      <c r="K340" s="2"/>
      <c r="L340" s="2" t="s">
        <v>152</v>
      </c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x14ac:dyDescent="0.25">
      <c r="A341" s="2" t="s">
        <v>3715</v>
      </c>
      <c r="B341" s="2" t="s">
        <v>129</v>
      </c>
      <c r="C341" s="1">
        <v>44285</v>
      </c>
      <c r="D341" s="2" t="s">
        <v>130</v>
      </c>
      <c r="E341" s="2" t="s">
        <v>130</v>
      </c>
      <c r="F341" s="2" t="s">
        <v>3191</v>
      </c>
      <c r="G341" s="2" t="s">
        <v>3192</v>
      </c>
      <c r="H341" s="2" t="s">
        <v>3716</v>
      </c>
      <c r="I341" s="2">
        <v>150906</v>
      </c>
      <c r="J341" s="2" t="s">
        <v>3193</v>
      </c>
      <c r="K341" s="2"/>
      <c r="L341" s="2" t="s">
        <v>138</v>
      </c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x14ac:dyDescent="0.25">
      <c r="A342" s="2" t="s">
        <v>3717</v>
      </c>
      <c r="B342" s="2" t="s">
        <v>129</v>
      </c>
      <c r="C342" s="1">
        <v>44285</v>
      </c>
      <c r="D342" s="2" t="s">
        <v>130</v>
      </c>
      <c r="E342" s="2" t="s">
        <v>130</v>
      </c>
      <c r="F342" s="2" t="s">
        <v>3208</v>
      </c>
      <c r="G342" s="2" t="s">
        <v>3209</v>
      </c>
      <c r="H342" s="2" t="s">
        <v>3718</v>
      </c>
      <c r="I342" s="2">
        <v>152185</v>
      </c>
      <c r="J342" s="2" t="s">
        <v>3210</v>
      </c>
      <c r="K342" s="2"/>
      <c r="L342" s="2" t="s">
        <v>138</v>
      </c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x14ac:dyDescent="0.25">
      <c r="A343" s="2" t="s">
        <v>3719</v>
      </c>
      <c r="B343" s="2" t="s">
        <v>134</v>
      </c>
      <c r="C343" s="1">
        <v>44285</v>
      </c>
      <c r="D343" s="2" t="s">
        <v>130</v>
      </c>
      <c r="E343" s="2" t="s">
        <v>130</v>
      </c>
      <c r="F343" s="2" t="s">
        <v>144</v>
      </c>
      <c r="G343" s="2" t="s">
        <v>3720</v>
      </c>
      <c r="H343" s="2" t="s">
        <v>3721</v>
      </c>
      <c r="I343" s="2">
        <v>1273310</v>
      </c>
      <c r="J343" s="2" t="s">
        <v>145</v>
      </c>
      <c r="K343" s="2"/>
      <c r="L343" s="2" t="s">
        <v>146</v>
      </c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x14ac:dyDescent="0.25">
      <c r="A344" s="2" t="s">
        <v>3722</v>
      </c>
      <c r="B344" s="2" t="s">
        <v>134</v>
      </c>
      <c r="C344" s="1">
        <v>44285</v>
      </c>
      <c r="D344" s="2" t="s">
        <v>130</v>
      </c>
      <c r="E344" s="2" t="s">
        <v>130</v>
      </c>
      <c r="F344" s="2" t="s">
        <v>363</v>
      </c>
      <c r="G344" s="2" t="s">
        <v>3723</v>
      </c>
      <c r="H344" s="2" t="s">
        <v>3724</v>
      </c>
      <c r="I344" s="2">
        <v>301947</v>
      </c>
      <c r="J344" s="2" t="s">
        <v>282</v>
      </c>
      <c r="K344" s="2"/>
      <c r="L344" s="2" t="s">
        <v>192</v>
      </c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x14ac:dyDescent="0.25">
      <c r="A345" s="2" t="s">
        <v>3725</v>
      </c>
      <c r="B345" s="2" t="s">
        <v>134</v>
      </c>
      <c r="C345" s="1">
        <v>44285</v>
      </c>
      <c r="D345" s="2" t="s">
        <v>130</v>
      </c>
      <c r="E345" s="2" t="s">
        <v>130</v>
      </c>
      <c r="F345" s="2" t="s">
        <v>363</v>
      </c>
      <c r="G345" s="2" t="s">
        <v>3726</v>
      </c>
      <c r="H345" s="2" t="s">
        <v>3727</v>
      </c>
      <c r="I345" s="2">
        <v>304926</v>
      </c>
      <c r="J345" s="2" t="s">
        <v>282</v>
      </c>
      <c r="K345" s="2"/>
      <c r="L345" s="2" t="s">
        <v>192</v>
      </c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x14ac:dyDescent="0.25">
      <c r="A346" s="2" t="s">
        <v>3728</v>
      </c>
      <c r="B346" s="2" t="s">
        <v>129</v>
      </c>
      <c r="C346" s="1">
        <v>44285</v>
      </c>
      <c r="D346" s="2" t="s">
        <v>130</v>
      </c>
      <c r="E346" s="2" t="s">
        <v>130</v>
      </c>
      <c r="F346" s="2" t="s">
        <v>131</v>
      </c>
      <c r="G346" s="2" t="s">
        <v>3667</v>
      </c>
      <c r="H346" s="2" t="s">
        <v>3729</v>
      </c>
      <c r="I346" s="2">
        <v>308730</v>
      </c>
      <c r="J346" s="2" t="s">
        <v>132</v>
      </c>
      <c r="K346" s="2"/>
      <c r="L346" s="2" t="s">
        <v>133</v>
      </c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x14ac:dyDescent="0.25">
      <c r="A347" s="2" t="s">
        <v>3730</v>
      </c>
      <c r="B347" s="2" t="s">
        <v>129</v>
      </c>
      <c r="C347" s="1">
        <v>44285</v>
      </c>
      <c r="D347" s="2" t="s">
        <v>130</v>
      </c>
      <c r="E347" s="2" t="s">
        <v>130</v>
      </c>
      <c r="F347" s="2" t="s">
        <v>131</v>
      </c>
      <c r="G347" s="2" t="s">
        <v>3184</v>
      </c>
      <c r="H347" s="2" t="s">
        <v>3731</v>
      </c>
      <c r="I347" s="2">
        <v>308498</v>
      </c>
      <c r="J347" s="2" t="s">
        <v>132</v>
      </c>
      <c r="K347" s="2"/>
      <c r="L347" s="2" t="s">
        <v>133</v>
      </c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x14ac:dyDescent="0.25">
      <c r="A348" s="2" t="s">
        <v>3732</v>
      </c>
      <c r="B348" s="2" t="s">
        <v>134</v>
      </c>
      <c r="C348" s="1">
        <v>44285</v>
      </c>
      <c r="D348" s="2" t="s">
        <v>130</v>
      </c>
      <c r="E348" s="2" t="s">
        <v>130</v>
      </c>
      <c r="F348" s="2" t="s">
        <v>135</v>
      </c>
      <c r="G348" s="2" t="s">
        <v>136</v>
      </c>
      <c r="H348" s="2" t="s">
        <v>3733</v>
      </c>
      <c r="I348" s="2">
        <v>309998</v>
      </c>
      <c r="J348" s="2" t="s">
        <v>137</v>
      </c>
      <c r="K348" s="2"/>
      <c r="L348" s="2" t="s">
        <v>138</v>
      </c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x14ac:dyDescent="0.25">
      <c r="A349" s="2" t="s">
        <v>3734</v>
      </c>
      <c r="B349" s="2" t="s">
        <v>134</v>
      </c>
      <c r="C349" s="1">
        <v>44285</v>
      </c>
      <c r="D349" s="2" t="s">
        <v>130</v>
      </c>
      <c r="E349" s="2" t="s">
        <v>130</v>
      </c>
      <c r="F349" s="2" t="s">
        <v>206</v>
      </c>
      <c r="G349" s="2" t="s">
        <v>3214</v>
      </c>
      <c r="H349" s="2" t="s">
        <v>3735</v>
      </c>
      <c r="I349" s="2">
        <v>1273413</v>
      </c>
      <c r="J349" s="2" t="s">
        <v>207</v>
      </c>
      <c r="K349" s="2"/>
      <c r="L349" s="2" t="s">
        <v>152</v>
      </c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x14ac:dyDescent="0.25">
      <c r="A350" s="2" t="s">
        <v>3736</v>
      </c>
      <c r="B350" s="2" t="s">
        <v>134</v>
      </c>
      <c r="C350" s="1">
        <v>44286</v>
      </c>
      <c r="D350" s="2" t="s">
        <v>130</v>
      </c>
      <c r="E350" s="2" t="s">
        <v>130</v>
      </c>
      <c r="F350" s="2" t="s">
        <v>335</v>
      </c>
      <c r="G350" s="2" t="s">
        <v>3737</v>
      </c>
      <c r="H350" s="2" t="s">
        <v>3738</v>
      </c>
      <c r="I350" s="2">
        <v>199235</v>
      </c>
      <c r="J350" s="2" t="s">
        <v>199</v>
      </c>
      <c r="K350" s="2"/>
      <c r="L350" s="2" t="s">
        <v>192</v>
      </c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x14ac:dyDescent="0.25">
      <c r="A351" s="2" t="s">
        <v>3739</v>
      </c>
      <c r="B351" s="2" t="s">
        <v>129</v>
      </c>
      <c r="C351" s="1">
        <v>44285</v>
      </c>
      <c r="D351" s="2" t="s">
        <v>130</v>
      </c>
      <c r="E351" s="2" t="s">
        <v>130</v>
      </c>
      <c r="F351" s="2" t="s">
        <v>150</v>
      </c>
      <c r="G351" s="2" t="s">
        <v>3188</v>
      </c>
      <c r="H351" s="2" t="s">
        <v>3740</v>
      </c>
      <c r="I351" s="2">
        <v>294061</v>
      </c>
      <c r="J351" s="2" t="s">
        <v>151</v>
      </c>
      <c r="K351" s="2"/>
      <c r="L351" s="2" t="s">
        <v>152</v>
      </c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x14ac:dyDescent="0.25">
      <c r="A352" s="2" t="s">
        <v>3741</v>
      </c>
      <c r="B352" s="2" t="s">
        <v>129</v>
      </c>
      <c r="C352" s="1">
        <v>44286</v>
      </c>
      <c r="D352" s="2" t="s">
        <v>130</v>
      </c>
      <c r="E352" s="2" t="s">
        <v>130</v>
      </c>
      <c r="F352" s="2" t="s">
        <v>206</v>
      </c>
      <c r="G352" s="2" t="s">
        <v>3181</v>
      </c>
      <c r="H352" s="2" t="s">
        <v>3742</v>
      </c>
      <c r="I352" s="2">
        <v>308485</v>
      </c>
      <c r="J352" s="2" t="s">
        <v>207</v>
      </c>
      <c r="K352" s="2"/>
      <c r="L352" s="2" t="s">
        <v>152</v>
      </c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x14ac:dyDescent="0.25">
      <c r="A353" s="2" t="s">
        <v>3743</v>
      </c>
      <c r="B353" s="2" t="s">
        <v>129</v>
      </c>
      <c r="C353" s="1">
        <v>44286</v>
      </c>
      <c r="D353" s="2" t="s">
        <v>130</v>
      </c>
      <c r="E353" s="2" t="s">
        <v>130</v>
      </c>
      <c r="F353" s="2" t="s">
        <v>150</v>
      </c>
      <c r="G353" s="2" t="s">
        <v>2729</v>
      </c>
      <c r="H353" s="2" t="s">
        <v>3744</v>
      </c>
      <c r="I353" s="2">
        <v>305532</v>
      </c>
      <c r="J353" s="2" t="s">
        <v>151</v>
      </c>
      <c r="K353" s="2"/>
      <c r="L353" s="2" t="s">
        <v>152</v>
      </c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x14ac:dyDescent="0.25">
      <c r="A354" s="2" t="s">
        <v>3745</v>
      </c>
      <c r="B354" s="2" t="s">
        <v>134</v>
      </c>
      <c r="C354" s="1">
        <v>44286</v>
      </c>
      <c r="D354" s="2" t="s">
        <v>130</v>
      </c>
      <c r="E354" s="2" t="s">
        <v>130</v>
      </c>
      <c r="F354" s="2" t="s">
        <v>197</v>
      </c>
      <c r="G354" s="2" t="s">
        <v>3746</v>
      </c>
      <c r="H354" s="2" t="s">
        <v>3747</v>
      </c>
      <c r="I354" s="2">
        <v>283841</v>
      </c>
      <c r="J354" s="2" t="s">
        <v>199</v>
      </c>
      <c r="K354" s="2"/>
      <c r="L354" s="2" t="s">
        <v>192</v>
      </c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x14ac:dyDescent="0.25">
      <c r="A355" s="2" t="s">
        <v>3748</v>
      </c>
      <c r="B355" s="2" t="s">
        <v>129</v>
      </c>
      <c r="C355" s="1">
        <v>44286</v>
      </c>
      <c r="D355" s="2" t="s">
        <v>130</v>
      </c>
      <c r="E355" s="2" t="s">
        <v>130</v>
      </c>
      <c r="F355" s="2" t="s">
        <v>206</v>
      </c>
      <c r="G355" s="2" t="s">
        <v>3211</v>
      </c>
      <c r="H355" s="2" t="s">
        <v>3749</v>
      </c>
      <c r="I355" s="2">
        <v>307899</v>
      </c>
      <c r="J355" s="2" t="s">
        <v>207</v>
      </c>
      <c r="K355" s="2"/>
      <c r="L355" s="2" t="s">
        <v>152</v>
      </c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x14ac:dyDescent="0.25">
      <c r="A356" s="2" t="s">
        <v>3750</v>
      </c>
      <c r="B356" s="2" t="s">
        <v>129</v>
      </c>
      <c r="C356" s="1">
        <v>44286</v>
      </c>
      <c r="D356" s="2" t="s">
        <v>130</v>
      </c>
      <c r="E356" s="2" t="s">
        <v>130</v>
      </c>
      <c r="F356" s="2" t="s">
        <v>144</v>
      </c>
      <c r="G356" s="2" t="s">
        <v>3219</v>
      </c>
      <c r="H356" s="2" t="s">
        <v>3751</v>
      </c>
      <c r="I356" s="2">
        <v>309084</v>
      </c>
      <c r="J356" s="2" t="s">
        <v>145</v>
      </c>
      <c r="K356" s="2"/>
      <c r="L356" s="2" t="s">
        <v>146</v>
      </c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x14ac:dyDescent="0.25">
      <c r="A357" s="2" t="s">
        <v>3752</v>
      </c>
      <c r="B357" s="2" t="s">
        <v>134</v>
      </c>
      <c r="C357" s="1">
        <v>44286</v>
      </c>
      <c r="D357" s="2" t="s">
        <v>130</v>
      </c>
      <c r="E357" s="2" t="s">
        <v>130</v>
      </c>
      <c r="F357" s="2" t="s">
        <v>315</v>
      </c>
      <c r="G357" s="2" t="s">
        <v>136</v>
      </c>
      <c r="H357" s="2" t="s">
        <v>3753</v>
      </c>
      <c r="I357" s="2">
        <v>1273421</v>
      </c>
      <c r="J357" s="2" t="s">
        <v>316</v>
      </c>
      <c r="K357" s="2"/>
      <c r="L357" s="2" t="s">
        <v>296</v>
      </c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x14ac:dyDescent="0.25">
      <c r="A358" s="2" t="s">
        <v>3754</v>
      </c>
      <c r="B358" s="2" t="s">
        <v>134</v>
      </c>
      <c r="C358" s="1">
        <v>44286</v>
      </c>
      <c r="D358" s="2" t="s">
        <v>130</v>
      </c>
      <c r="E358" s="2" t="s">
        <v>130</v>
      </c>
      <c r="F358" s="2" t="s">
        <v>363</v>
      </c>
      <c r="G358" s="2" t="s">
        <v>3755</v>
      </c>
      <c r="H358" s="2" t="s">
        <v>3756</v>
      </c>
      <c r="I358" s="2">
        <v>305907</v>
      </c>
      <c r="J358" s="2" t="s">
        <v>282</v>
      </c>
      <c r="K358" s="2"/>
      <c r="L358" s="2" t="s">
        <v>192</v>
      </c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x14ac:dyDescent="0.25">
      <c r="A359" s="2" t="s">
        <v>3757</v>
      </c>
      <c r="B359" s="2" t="s">
        <v>134</v>
      </c>
      <c r="C359" s="1">
        <v>44286</v>
      </c>
      <c r="D359" s="2" t="s">
        <v>130</v>
      </c>
      <c r="E359" s="2" t="s">
        <v>130</v>
      </c>
      <c r="F359" s="2" t="s">
        <v>2522</v>
      </c>
      <c r="G359" s="2" t="s">
        <v>3758</v>
      </c>
      <c r="H359" s="2" t="s">
        <v>3759</v>
      </c>
      <c r="I359" s="2">
        <v>1273462</v>
      </c>
      <c r="J359" s="2" t="s">
        <v>303</v>
      </c>
      <c r="K359" s="2"/>
      <c r="L359" s="2" t="s">
        <v>373</v>
      </c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x14ac:dyDescent="0.25">
      <c r="A360" s="2" t="s">
        <v>3760</v>
      </c>
      <c r="B360" s="2" t="s">
        <v>134</v>
      </c>
      <c r="C360" s="1">
        <v>44286</v>
      </c>
      <c r="D360" s="2" t="s">
        <v>130</v>
      </c>
      <c r="E360" s="2" t="s">
        <v>130</v>
      </c>
      <c r="F360" s="2" t="s">
        <v>186</v>
      </c>
      <c r="G360" s="2" t="s">
        <v>3761</v>
      </c>
      <c r="H360" s="2" t="s">
        <v>3762</v>
      </c>
      <c r="I360" s="2">
        <v>299348</v>
      </c>
      <c r="J360" s="2" t="s">
        <v>187</v>
      </c>
      <c r="K360" s="2"/>
      <c r="L360" s="2" t="s">
        <v>188</v>
      </c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x14ac:dyDescent="0.25">
      <c r="A361" s="2" t="s">
        <v>3763</v>
      </c>
      <c r="B361" s="2" t="s">
        <v>134</v>
      </c>
      <c r="C361" s="1">
        <v>44290</v>
      </c>
      <c r="D361" s="2" t="s">
        <v>130</v>
      </c>
      <c r="E361" s="2" t="s">
        <v>130</v>
      </c>
      <c r="F361" s="2" t="s">
        <v>248</v>
      </c>
      <c r="G361" s="2" t="s">
        <v>3764</v>
      </c>
      <c r="H361" s="2" t="s">
        <v>3765</v>
      </c>
      <c r="I361" s="2">
        <v>1273487</v>
      </c>
      <c r="J361" s="2" t="s">
        <v>161</v>
      </c>
      <c r="K361" s="2"/>
      <c r="L361" s="2" t="s">
        <v>162</v>
      </c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x14ac:dyDescent="0.25">
      <c r="A362" s="2" t="s">
        <v>3766</v>
      </c>
      <c r="B362" s="2" t="s">
        <v>129</v>
      </c>
      <c r="C362" s="1">
        <v>44286</v>
      </c>
      <c r="D362" s="2" t="s">
        <v>130</v>
      </c>
      <c r="E362" s="2" t="s">
        <v>130</v>
      </c>
      <c r="F362" s="2" t="s">
        <v>150</v>
      </c>
      <c r="G362" s="2" t="s">
        <v>2733</v>
      </c>
      <c r="H362" s="2" t="s">
        <v>3767</v>
      </c>
      <c r="I362" s="2">
        <v>309765</v>
      </c>
      <c r="J362" s="2" t="s">
        <v>151</v>
      </c>
      <c r="K362" s="2"/>
      <c r="L362" s="2" t="s">
        <v>152</v>
      </c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x14ac:dyDescent="0.25">
      <c r="A363" s="2" t="s">
        <v>3768</v>
      </c>
      <c r="B363" s="2" t="s">
        <v>134</v>
      </c>
      <c r="C363" s="1">
        <v>44286</v>
      </c>
      <c r="D363" s="2" t="s">
        <v>130</v>
      </c>
      <c r="E363" s="2" t="s">
        <v>130</v>
      </c>
      <c r="F363" s="2" t="s">
        <v>186</v>
      </c>
      <c r="G363" s="2" t="s">
        <v>3769</v>
      </c>
      <c r="H363" s="2" t="s">
        <v>3770</v>
      </c>
      <c r="I363" s="2">
        <v>1273510</v>
      </c>
      <c r="J363" s="2" t="s">
        <v>187</v>
      </c>
      <c r="K363" s="2"/>
      <c r="L363" s="2" t="s">
        <v>188</v>
      </c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x14ac:dyDescent="0.25">
      <c r="A364" s="2" t="s">
        <v>3771</v>
      </c>
      <c r="B364" s="2" t="s">
        <v>129</v>
      </c>
      <c r="C364" s="1">
        <v>44287</v>
      </c>
      <c r="D364" s="2" t="s">
        <v>130</v>
      </c>
      <c r="E364" s="2" t="s">
        <v>130</v>
      </c>
      <c r="F364" s="2" t="s">
        <v>206</v>
      </c>
      <c r="G364" s="2" t="s">
        <v>2727</v>
      </c>
      <c r="H364" s="2" t="s">
        <v>3772</v>
      </c>
      <c r="I364" s="2">
        <v>309309</v>
      </c>
      <c r="J364" s="2" t="s">
        <v>207</v>
      </c>
      <c r="K364" s="2"/>
      <c r="L364" s="2" t="s">
        <v>152</v>
      </c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x14ac:dyDescent="0.25">
      <c r="A365" s="2" t="s">
        <v>3773</v>
      </c>
      <c r="B365" s="2" t="s">
        <v>129</v>
      </c>
      <c r="C365" s="1">
        <v>44287</v>
      </c>
      <c r="D365" s="2" t="s">
        <v>130</v>
      </c>
      <c r="E365" s="2" t="s">
        <v>130</v>
      </c>
      <c r="F365" s="2" t="s">
        <v>248</v>
      </c>
      <c r="G365" s="2" t="s">
        <v>3178</v>
      </c>
      <c r="H365" s="2" t="s">
        <v>3774</v>
      </c>
      <c r="I365" s="2">
        <v>308461</v>
      </c>
      <c r="J365" s="2" t="s">
        <v>161</v>
      </c>
      <c r="K365" s="2"/>
      <c r="L365" s="2" t="s">
        <v>162</v>
      </c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x14ac:dyDescent="0.25">
      <c r="A366" s="2" t="s">
        <v>3775</v>
      </c>
      <c r="B366" s="2" t="s">
        <v>129</v>
      </c>
      <c r="C366" s="1">
        <v>44287</v>
      </c>
      <c r="D366" s="2" t="s">
        <v>130</v>
      </c>
      <c r="E366" s="2" t="s">
        <v>130</v>
      </c>
      <c r="F366" s="2" t="s">
        <v>248</v>
      </c>
      <c r="G366" s="2" t="s">
        <v>2734</v>
      </c>
      <c r="H366" s="2" t="s">
        <v>3776</v>
      </c>
      <c r="I366" s="2">
        <v>305488</v>
      </c>
      <c r="J366" s="2" t="s">
        <v>161</v>
      </c>
      <c r="K366" s="2"/>
      <c r="L366" s="2" t="s">
        <v>162</v>
      </c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x14ac:dyDescent="0.25">
      <c r="A367" s="2" t="s">
        <v>3777</v>
      </c>
      <c r="B367" s="2" t="s">
        <v>129</v>
      </c>
      <c r="C367" s="1">
        <v>44287</v>
      </c>
      <c r="D367" s="2" t="s">
        <v>130</v>
      </c>
      <c r="E367" s="2" t="s">
        <v>130</v>
      </c>
      <c r="F367" s="2" t="s">
        <v>326</v>
      </c>
      <c r="G367" s="2" t="s">
        <v>398</v>
      </c>
      <c r="H367" s="2" t="s">
        <v>3778</v>
      </c>
      <c r="I367" s="2">
        <v>1273582</v>
      </c>
      <c r="J367" s="2" t="s">
        <v>132</v>
      </c>
      <c r="K367" s="2"/>
      <c r="L367" s="2" t="s">
        <v>328</v>
      </c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x14ac:dyDescent="0.25">
      <c r="A368" s="2" t="s">
        <v>3779</v>
      </c>
      <c r="B368" s="2" t="s">
        <v>512</v>
      </c>
      <c r="C368" s="1">
        <v>44284</v>
      </c>
      <c r="D368" s="2" t="s">
        <v>130</v>
      </c>
      <c r="E368" s="2" t="s">
        <v>130</v>
      </c>
      <c r="F368" s="2" t="s">
        <v>236</v>
      </c>
      <c r="G368" s="2" t="s">
        <v>3670</v>
      </c>
      <c r="H368" s="2" t="s">
        <v>1</v>
      </c>
      <c r="I368" s="2">
        <v>309272</v>
      </c>
      <c r="J368" s="2" t="s">
        <v>238</v>
      </c>
      <c r="K368" s="2"/>
      <c r="L368" s="2" t="s">
        <v>138</v>
      </c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x14ac:dyDescent="0.25">
      <c r="A369" s="2" t="s">
        <v>3780</v>
      </c>
      <c r="B369" s="2" t="s">
        <v>129</v>
      </c>
      <c r="C369" s="1">
        <v>44287</v>
      </c>
      <c r="D369" s="2" t="s">
        <v>130</v>
      </c>
      <c r="E369" s="2" t="s">
        <v>130</v>
      </c>
      <c r="F369" s="2" t="s">
        <v>144</v>
      </c>
      <c r="G369" s="2" t="s">
        <v>3781</v>
      </c>
      <c r="H369" s="2" t="s">
        <v>3782</v>
      </c>
      <c r="I369" s="2">
        <v>1274179</v>
      </c>
      <c r="J369" s="2" t="s">
        <v>145</v>
      </c>
      <c r="K369" s="2"/>
      <c r="L369" s="2" t="s">
        <v>146</v>
      </c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x14ac:dyDescent="0.25">
      <c r="A370" s="2" t="s">
        <v>3783</v>
      </c>
      <c r="B370" s="2" t="s">
        <v>129</v>
      </c>
      <c r="C370" s="1">
        <v>44287</v>
      </c>
      <c r="D370" s="2" t="s">
        <v>130</v>
      </c>
      <c r="E370" s="2" t="s">
        <v>130</v>
      </c>
      <c r="F370" s="2" t="s">
        <v>144</v>
      </c>
      <c r="G370" s="2" t="s">
        <v>3202</v>
      </c>
      <c r="H370" s="2" t="s">
        <v>3784</v>
      </c>
      <c r="I370" s="2">
        <v>1274199</v>
      </c>
      <c r="J370" s="2" t="s">
        <v>145</v>
      </c>
      <c r="K370" s="2"/>
      <c r="L370" s="2" t="s">
        <v>146</v>
      </c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x14ac:dyDescent="0.25">
      <c r="A371" s="2" t="s">
        <v>3785</v>
      </c>
      <c r="B371" s="2" t="s">
        <v>134</v>
      </c>
      <c r="C371" s="1">
        <v>44288</v>
      </c>
      <c r="D371" s="2" t="s">
        <v>130</v>
      </c>
      <c r="E371" s="2" t="s">
        <v>130</v>
      </c>
      <c r="F371" s="2" t="s">
        <v>150</v>
      </c>
      <c r="G371" s="2" t="s">
        <v>428</v>
      </c>
      <c r="H371" s="2" t="s">
        <v>3786</v>
      </c>
      <c r="I371" s="2">
        <v>1274251</v>
      </c>
      <c r="J371" s="2" t="s">
        <v>151</v>
      </c>
      <c r="K371" s="2"/>
      <c r="L371" s="2" t="s">
        <v>152</v>
      </c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x14ac:dyDescent="0.25">
      <c r="A372" s="2" t="s">
        <v>3787</v>
      </c>
      <c r="B372" s="2" t="s">
        <v>129</v>
      </c>
      <c r="C372" s="1">
        <v>44288</v>
      </c>
      <c r="D372" s="2" t="s">
        <v>130</v>
      </c>
      <c r="E372" s="2" t="s">
        <v>130</v>
      </c>
      <c r="F372" s="2" t="s">
        <v>206</v>
      </c>
      <c r="G372" s="2" t="s">
        <v>3183</v>
      </c>
      <c r="H372" s="2" t="s">
        <v>3788</v>
      </c>
      <c r="I372" s="2">
        <v>307134</v>
      </c>
      <c r="J372" s="2" t="s">
        <v>207</v>
      </c>
      <c r="K372" s="2"/>
      <c r="L372" s="2" t="s">
        <v>152</v>
      </c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x14ac:dyDescent="0.25">
      <c r="A373" s="2" t="s">
        <v>3789</v>
      </c>
      <c r="B373" s="2" t="s">
        <v>134</v>
      </c>
      <c r="C373" s="1">
        <v>44289</v>
      </c>
      <c r="D373" s="2" t="s">
        <v>130</v>
      </c>
      <c r="E373" s="2" t="s">
        <v>130</v>
      </c>
      <c r="F373" s="2" t="s">
        <v>139</v>
      </c>
      <c r="G373" s="2" t="s">
        <v>3790</v>
      </c>
      <c r="H373" s="2" t="s">
        <v>3791</v>
      </c>
      <c r="I373" s="2">
        <v>265313</v>
      </c>
      <c r="J373" s="2" t="s">
        <v>141</v>
      </c>
      <c r="K373" s="2"/>
      <c r="L373" s="2" t="s">
        <v>142</v>
      </c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x14ac:dyDescent="0.25">
      <c r="A374" s="2" t="s">
        <v>3792</v>
      </c>
      <c r="B374" s="2" t="s">
        <v>129</v>
      </c>
      <c r="C374" s="1">
        <v>44288</v>
      </c>
      <c r="D374" s="2" t="s">
        <v>130</v>
      </c>
      <c r="E374" s="2" t="s">
        <v>130</v>
      </c>
      <c r="F374" s="2" t="s">
        <v>3381</v>
      </c>
      <c r="G374" s="2" t="s">
        <v>3382</v>
      </c>
      <c r="H374" s="2" t="s">
        <v>3793</v>
      </c>
      <c r="I374" s="2">
        <v>305482</v>
      </c>
      <c r="J374" s="2" t="s">
        <v>3185</v>
      </c>
      <c r="K374" s="2"/>
      <c r="L374" s="2" t="s">
        <v>138</v>
      </c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x14ac:dyDescent="0.25">
      <c r="A375" s="2" t="s">
        <v>3794</v>
      </c>
      <c r="B375" s="2" t="s">
        <v>129</v>
      </c>
      <c r="C375" s="1">
        <v>44288</v>
      </c>
      <c r="D375" s="2" t="s">
        <v>130</v>
      </c>
      <c r="E375" s="2" t="s">
        <v>130</v>
      </c>
      <c r="F375" s="2" t="s">
        <v>144</v>
      </c>
      <c r="G375" s="2" t="s">
        <v>3182</v>
      </c>
      <c r="H375" s="2" t="s">
        <v>3795</v>
      </c>
      <c r="I375" s="2">
        <v>1274852</v>
      </c>
      <c r="J375" s="2" t="s">
        <v>145</v>
      </c>
      <c r="K375" s="2"/>
      <c r="L375" s="2" t="s">
        <v>146</v>
      </c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x14ac:dyDescent="0.25">
      <c r="A376" s="2" t="s">
        <v>3796</v>
      </c>
      <c r="B376" s="2" t="s">
        <v>129</v>
      </c>
      <c r="C376" s="1">
        <v>44288</v>
      </c>
      <c r="D376" s="2" t="s">
        <v>130</v>
      </c>
      <c r="E376" s="2" t="s">
        <v>130</v>
      </c>
      <c r="F376" s="2" t="s">
        <v>193</v>
      </c>
      <c r="G376" s="2" t="s">
        <v>136</v>
      </c>
      <c r="H376" s="2" t="s">
        <v>3797</v>
      </c>
      <c r="I376" s="2">
        <v>311522</v>
      </c>
      <c r="J376" s="2" t="s">
        <v>194</v>
      </c>
      <c r="K376" s="2"/>
      <c r="L376" s="2" t="s">
        <v>146</v>
      </c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x14ac:dyDescent="0.25">
      <c r="A377" s="2" t="s">
        <v>3798</v>
      </c>
      <c r="B377" s="2" t="s">
        <v>134</v>
      </c>
      <c r="C377" s="1">
        <v>44288</v>
      </c>
      <c r="D377" s="2" t="s">
        <v>130</v>
      </c>
      <c r="E377" s="2" t="s">
        <v>130</v>
      </c>
      <c r="F377" s="2" t="s">
        <v>262</v>
      </c>
      <c r="G377" s="2" t="s">
        <v>136</v>
      </c>
      <c r="H377" s="2" t="s">
        <v>3799</v>
      </c>
      <c r="I377" s="2">
        <v>311601</v>
      </c>
      <c r="J377" s="2" t="s">
        <v>263</v>
      </c>
      <c r="K377" s="2"/>
      <c r="L377" s="2" t="s">
        <v>264</v>
      </c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x14ac:dyDescent="0.25">
      <c r="A378" s="2" t="s">
        <v>3800</v>
      </c>
      <c r="B378" s="2" t="s">
        <v>134</v>
      </c>
      <c r="C378" s="1">
        <v>44288</v>
      </c>
      <c r="D378" s="2" t="s">
        <v>130</v>
      </c>
      <c r="E378" s="2" t="s">
        <v>130</v>
      </c>
      <c r="F378" s="2" t="s">
        <v>262</v>
      </c>
      <c r="G378" s="2" t="s">
        <v>136</v>
      </c>
      <c r="H378" s="2" t="s">
        <v>3801</v>
      </c>
      <c r="I378" s="2">
        <v>311602</v>
      </c>
      <c r="J378" s="2" t="s">
        <v>263</v>
      </c>
      <c r="K378" s="2"/>
      <c r="L378" s="2" t="s">
        <v>264</v>
      </c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x14ac:dyDescent="0.25">
      <c r="A379" s="2" t="s">
        <v>3802</v>
      </c>
      <c r="B379" s="2" t="s">
        <v>134</v>
      </c>
      <c r="C379" s="1">
        <v>44288</v>
      </c>
      <c r="D379" s="2" t="s">
        <v>130</v>
      </c>
      <c r="E379" s="2" t="s">
        <v>130</v>
      </c>
      <c r="F379" s="2" t="s">
        <v>262</v>
      </c>
      <c r="G379" s="2" t="s">
        <v>136</v>
      </c>
      <c r="H379" s="2" t="s">
        <v>3803</v>
      </c>
      <c r="I379" s="2">
        <v>311604</v>
      </c>
      <c r="J379" s="2" t="s">
        <v>263</v>
      </c>
      <c r="K379" s="2"/>
      <c r="L379" s="2" t="s">
        <v>264</v>
      </c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x14ac:dyDescent="0.25">
      <c r="A380" s="2" t="s">
        <v>3804</v>
      </c>
      <c r="B380" s="2" t="s">
        <v>134</v>
      </c>
      <c r="C380" s="1">
        <v>44288</v>
      </c>
      <c r="D380" s="2" t="s">
        <v>130</v>
      </c>
      <c r="E380" s="2" t="s">
        <v>130</v>
      </c>
      <c r="F380" s="2" t="s">
        <v>262</v>
      </c>
      <c r="G380" s="2" t="s">
        <v>136</v>
      </c>
      <c r="H380" s="2" t="s">
        <v>3805</v>
      </c>
      <c r="I380" s="2">
        <v>311605</v>
      </c>
      <c r="J380" s="2" t="s">
        <v>263</v>
      </c>
      <c r="K380" s="2"/>
      <c r="L380" s="2" t="s">
        <v>264</v>
      </c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x14ac:dyDescent="0.25">
      <c r="A381" s="2" t="s">
        <v>3806</v>
      </c>
      <c r="B381" s="2" t="s">
        <v>134</v>
      </c>
      <c r="C381" s="1">
        <v>44288</v>
      </c>
      <c r="D381" s="2" t="s">
        <v>130</v>
      </c>
      <c r="E381" s="2" t="s">
        <v>130</v>
      </c>
      <c r="F381" s="2" t="s">
        <v>262</v>
      </c>
      <c r="G381" s="2" t="s">
        <v>136</v>
      </c>
      <c r="H381" s="2" t="s">
        <v>3807</v>
      </c>
      <c r="I381" s="2">
        <v>311606</v>
      </c>
      <c r="J381" s="2" t="s">
        <v>263</v>
      </c>
      <c r="K381" s="2"/>
      <c r="L381" s="2" t="s">
        <v>264</v>
      </c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x14ac:dyDescent="0.25">
      <c r="A382" s="2" t="s">
        <v>3808</v>
      </c>
      <c r="B382" s="2" t="s">
        <v>134</v>
      </c>
      <c r="C382" s="1">
        <v>44288</v>
      </c>
      <c r="D382" s="2" t="s">
        <v>130</v>
      </c>
      <c r="E382" s="2" t="s">
        <v>130</v>
      </c>
      <c r="F382" s="2" t="s">
        <v>262</v>
      </c>
      <c r="G382" s="2" t="s">
        <v>136</v>
      </c>
      <c r="H382" s="2" t="s">
        <v>3809</v>
      </c>
      <c r="I382" s="2">
        <v>311607</v>
      </c>
      <c r="J382" s="2" t="s">
        <v>263</v>
      </c>
      <c r="K382" s="2"/>
      <c r="L382" s="2" t="s">
        <v>264</v>
      </c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x14ac:dyDescent="0.25">
      <c r="A383" s="2" t="s">
        <v>3810</v>
      </c>
      <c r="B383" s="2" t="s">
        <v>134</v>
      </c>
      <c r="C383" s="1">
        <v>44288</v>
      </c>
      <c r="D383" s="2" t="s">
        <v>130</v>
      </c>
      <c r="E383" s="2" t="s">
        <v>130</v>
      </c>
      <c r="F383" s="2" t="s">
        <v>262</v>
      </c>
      <c r="G383" s="2" t="s">
        <v>136</v>
      </c>
      <c r="H383" s="2" t="s">
        <v>3811</v>
      </c>
      <c r="I383" s="2">
        <v>311608</v>
      </c>
      <c r="J383" s="2" t="s">
        <v>263</v>
      </c>
      <c r="K383" s="2"/>
      <c r="L383" s="2" t="s">
        <v>264</v>
      </c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x14ac:dyDescent="0.25">
      <c r="A384" s="2" t="s">
        <v>3812</v>
      </c>
      <c r="B384" s="2" t="s">
        <v>134</v>
      </c>
      <c r="C384" s="1">
        <v>44288</v>
      </c>
      <c r="D384" s="2" t="s">
        <v>130</v>
      </c>
      <c r="E384" s="2" t="s">
        <v>130</v>
      </c>
      <c r="F384" s="2" t="s">
        <v>262</v>
      </c>
      <c r="G384" s="2" t="s">
        <v>136</v>
      </c>
      <c r="H384" s="2" t="s">
        <v>3813</v>
      </c>
      <c r="I384" s="2">
        <v>311609</v>
      </c>
      <c r="J384" s="2" t="s">
        <v>263</v>
      </c>
      <c r="K384" s="2"/>
      <c r="L384" s="2" t="s">
        <v>264</v>
      </c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x14ac:dyDescent="0.25">
      <c r="A385" s="2" t="s">
        <v>3814</v>
      </c>
      <c r="B385" s="2" t="s">
        <v>134</v>
      </c>
      <c r="C385" s="1">
        <v>44288</v>
      </c>
      <c r="D385" s="2" t="s">
        <v>130</v>
      </c>
      <c r="E385" s="2" t="s">
        <v>130</v>
      </c>
      <c r="F385" s="2" t="s">
        <v>262</v>
      </c>
      <c r="G385" s="2" t="s">
        <v>136</v>
      </c>
      <c r="H385" s="2" t="s">
        <v>3815</v>
      </c>
      <c r="I385" s="2">
        <v>311610</v>
      </c>
      <c r="J385" s="2" t="s">
        <v>263</v>
      </c>
      <c r="K385" s="2"/>
      <c r="L385" s="2" t="s">
        <v>264</v>
      </c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x14ac:dyDescent="0.25">
      <c r="A386" s="2" t="s">
        <v>3816</v>
      </c>
      <c r="B386" s="2" t="s">
        <v>134</v>
      </c>
      <c r="C386" s="1">
        <v>44288</v>
      </c>
      <c r="D386" s="2" t="s">
        <v>130</v>
      </c>
      <c r="E386" s="2" t="s">
        <v>130</v>
      </c>
      <c r="F386" s="2" t="s">
        <v>262</v>
      </c>
      <c r="G386" s="2" t="s">
        <v>136</v>
      </c>
      <c r="H386" s="2" t="s">
        <v>3817</v>
      </c>
      <c r="I386" s="2">
        <v>311612</v>
      </c>
      <c r="J386" s="2" t="s">
        <v>263</v>
      </c>
      <c r="K386" s="2"/>
      <c r="L386" s="2" t="s">
        <v>264</v>
      </c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x14ac:dyDescent="0.25">
      <c r="A387" s="2" t="s">
        <v>3818</v>
      </c>
      <c r="B387" s="2" t="s">
        <v>134</v>
      </c>
      <c r="C387" s="1">
        <v>44288</v>
      </c>
      <c r="D387" s="2" t="s">
        <v>130</v>
      </c>
      <c r="E387" s="2" t="s">
        <v>130</v>
      </c>
      <c r="F387" s="2" t="s">
        <v>287</v>
      </c>
      <c r="G387" s="2" t="s">
        <v>3819</v>
      </c>
      <c r="H387" s="2" t="s">
        <v>3727</v>
      </c>
      <c r="I387" s="2">
        <v>311645</v>
      </c>
      <c r="J387" s="2" t="s">
        <v>288</v>
      </c>
      <c r="K387" s="2"/>
      <c r="L387" s="2" t="s">
        <v>289</v>
      </c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x14ac:dyDescent="0.25">
      <c r="A388" s="2" t="s">
        <v>3820</v>
      </c>
      <c r="B388" s="2" t="s">
        <v>134</v>
      </c>
      <c r="C388" s="1">
        <v>44288</v>
      </c>
      <c r="D388" s="2" t="s">
        <v>130</v>
      </c>
      <c r="E388" s="2" t="s">
        <v>130</v>
      </c>
      <c r="F388" s="2" t="s">
        <v>287</v>
      </c>
      <c r="G388" s="2" t="s">
        <v>3821</v>
      </c>
      <c r="H388" s="2" t="s">
        <v>3724</v>
      </c>
      <c r="I388" s="2">
        <v>311649</v>
      </c>
      <c r="J388" s="2" t="s">
        <v>288</v>
      </c>
      <c r="K388" s="2"/>
      <c r="L388" s="2" t="s">
        <v>289</v>
      </c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x14ac:dyDescent="0.25">
      <c r="A389" s="2" t="s">
        <v>3822</v>
      </c>
      <c r="B389" s="2" t="s">
        <v>134</v>
      </c>
      <c r="C389" s="1">
        <v>44288</v>
      </c>
      <c r="D389" s="2" t="s">
        <v>130</v>
      </c>
      <c r="E389" s="2" t="s">
        <v>130</v>
      </c>
      <c r="F389" s="2" t="s">
        <v>287</v>
      </c>
      <c r="G389" s="2" t="s">
        <v>3823</v>
      </c>
      <c r="H389" s="2" t="s">
        <v>3756</v>
      </c>
      <c r="I389" s="2">
        <v>311650</v>
      </c>
      <c r="J389" s="2" t="s">
        <v>288</v>
      </c>
      <c r="K389" s="2"/>
      <c r="L389" s="2" t="s">
        <v>289</v>
      </c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x14ac:dyDescent="0.25">
      <c r="A390" s="2" t="s">
        <v>3824</v>
      </c>
      <c r="B390" s="2" t="s">
        <v>134</v>
      </c>
      <c r="C390" s="1">
        <v>44288</v>
      </c>
      <c r="D390" s="2" t="s">
        <v>130</v>
      </c>
      <c r="E390" s="2" t="s">
        <v>130</v>
      </c>
      <c r="F390" s="2" t="s">
        <v>400</v>
      </c>
      <c r="G390" s="2" t="s">
        <v>3229</v>
      </c>
      <c r="H390" s="2" t="s">
        <v>3825</v>
      </c>
      <c r="I390" s="2">
        <v>289556</v>
      </c>
      <c r="J390" s="2" t="s">
        <v>401</v>
      </c>
      <c r="K390" s="2"/>
      <c r="L390" s="2" t="s">
        <v>142</v>
      </c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x14ac:dyDescent="0.25">
      <c r="A391" s="2" t="s">
        <v>3826</v>
      </c>
      <c r="B391" s="2" t="s">
        <v>129</v>
      </c>
      <c r="C391" s="1">
        <v>44288</v>
      </c>
      <c r="D391" s="2" t="s">
        <v>130</v>
      </c>
      <c r="E391" s="2" t="s">
        <v>130</v>
      </c>
      <c r="F391" s="2" t="s">
        <v>144</v>
      </c>
      <c r="G391" s="2" t="s">
        <v>3196</v>
      </c>
      <c r="H391" s="2" t="s">
        <v>3827</v>
      </c>
      <c r="I391" s="2">
        <v>311518</v>
      </c>
      <c r="J391" s="2" t="s">
        <v>145</v>
      </c>
      <c r="K391" s="2"/>
      <c r="L391" s="2" t="s">
        <v>146</v>
      </c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x14ac:dyDescent="0.25">
      <c r="A392" s="2" t="s">
        <v>3828</v>
      </c>
      <c r="B392" s="2" t="s">
        <v>134</v>
      </c>
      <c r="C392" s="1">
        <v>44289</v>
      </c>
      <c r="D392" s="2" t="s">
        <v>130</v>
      </c>
      <c r="E392" s="2" t="s">
        <v>130</v>
      </c>
      <c r="F392" s="2" t="s">
        <v>206</v>
      </c>
      <c r="G392" s="2" t="s">
        <v>2716</v>
      </c>
      <c r="H392" s="2" t="s">
        <v>3829</v>
      </c>
      <c r="I392" s="2">
        <v>1274940</v>
      </c>
      <c r="J392" s="2" t="s">
        <v>207</v>
      </c>
      <c r="K392" s="2"/>
      <c r="L392" s="2" t="s">
        <v>152</v>
      </c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x14ac:dyDescent="0.25">
      <c r="A393" s="2" t="s">
        <v>3830</v>
      </c>
      <c r="B393" s="2" t="s">
        <v>134</v>
      </c>
      <c r="C393" s="1">
        <v>44289</v>
      </c>
      <c r="D393" s="2" t="s">
        <v>130</v>
      </c>
      <c r="E393" s="2" t="s">
        <v>130</v>
      </c>
      <c r="F393" s="2" t="s">
        <v>206</v>
      </c>
      <c r="G393" s="2" t="s">
        <v>3201</v>
      </c>
      <c r="H393" s="2" t="s">
        <v>3831</v>
      </c>
      <c r="I393" s="2">
        <v>310770</v>
      </c>
      <c r="J393" s="2" t="s">
        <v>207</v>
      </c>
      <c r="K393" s="2"/>
      <c r="L393" s="2" t="s">
        <v>152</v>
      </c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x14ac:dyDescent="0.25">
      <c r="A394" s="2" t="s">
        <v>3832</v>
      </c>
      <c r="B394" s="2" t="s">
        <v>129</v>
      </c>
      <c r="C394" s="1">
        <v>44289</v>
      </c>
      <c r="D394" s="2" t="s">
        <v>130</v>
      </c>
      <c r="E394" s="2" t="s">
        <v>130</v>
      </c>
      <c r="F394" s="2" t="s">
        <v>144</v>
      </c>
      <c r="G394" s="2" t="s">
        <v>3833</v>
      </c>
      <c r="H394" s="2" t="s">
        <v>3834</v>
      </c>
      <c r="I394" s="2">
        <v>310998</v>
      </c>
      <c r="J394" s="2" t="s">
        <v>145</v>
      </c>
      <c r="K394" s="2"/>
      <c r="L394" s="2" t="s">
        <v>146</v>
      </c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x14ac:dyDescent="0.25">
      <c r="A395" s="2" t="s">
        <v>3835</v>
      </c>
      <c r="B395" s="2" t="s">
        <v>129</v>
      </c>
      <c r="C395" s="1">
        <v>44289</v>
      </c>
      <c r="D395" s="2" t="s">
        <v>130</v>
      </c>
      <c r="E395" s="2" t="s">
        <v>130</v>
      </c>
      <c r="F395" s="2" t="s">
        <v>144</v>
      </c>
      <c r="G395" s="2" t="s">
        <v>557</v>
      </c>
      <c r="H395" s="2" t="s">
        <v>3836</v>
      </c>
      <c r="I395" s="2">
        <v>311543</v>
      </c>
      <c r="J395" s="2" t="s">
        <v>145</v>
      </c>
      <c r="K395" s="2"/>
      <c r="L395" s="2" t="s">
        <v>146</v>
      </c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x14ac:dyDescent="0.25">
      <c r="A396" s="2" t="s">
        <v>3837</v>
      </c>
      <c r="B396" s="2" t="s">
        <v>134</v>
      </c>
      <c r="C396" s="1">
        <v>44289</v>
      </c>
      <c r="D396" s="2" t="s">
        <v>130</v>
      </c>
      <c r="E396" s="2" t="s">
        <v>130</v>
      </c>
      <c r="F396" s="2" t="s">
        <v>150</v>
      </c>
      <c r="G396" s="2" t="s">
        <v>516</v>
      </c>
      <c r="H396" s="2" t="s">
        <v>3838</v>
      </c>
      <c r="I396" s="2">
        <v>295686</v>
      </c>
      <c r="J396" s="2" t="s">
        <v>151</v>
      </c>
      <c r="K396" s="2"/>
      <c r="L396" s="2" t="s">
        <v>152</v>
      </c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x14ac:dyDescent="0.25">
      <c r="A397" s="2" t="s">
        <v>3839</v>
      </c>
      <c r="B397" s="2" t="s">
        <v>134</v>
      </c>
      <c r="C397" s="1">
        <v>44289</v>
      </c>
      <c r="D397" s="2" t="s">
        <v>130</v>
      </c>
      <c r="E397" s="2" t="s">
        <v>130</v>
      </c>
      <c r="F397" s="2" t="s">
        <v>147</v>
      </c>
      <c r="G397" s="2" t="s">
        <v>3177</v>
      </c>
      <c r="H397" s="2" t="s">
        <v>3840</v>
      </c>
      <c r="I397" s="2">
        <v>308630</v>
      </c>
      <c r="J397" s="2" t="s">
        <v>148</v>
      </c>
      <c r="K397" s="2"/>
      <c r="L397" s="2" t="s">
        <v>149</v>
      </c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x14ac:dyDescent="0.25">
      <c r="A398" s="2" t="s">
        <v>3841</v>
      </c>
      <c r="B398" s="2" t="s">
        <v>134</v>
      </c>
      <c r="C398" s="1">
        <v>44289</v>
      </c>
      <c r="D398" s="2" t="s">
        <v>130</v>
      </c>
      <c r="E398" s="2" t="s">
        <v>130</v>
      </c>
      <c r="F398" s="2" t="s">
        <v>147</v>
      </c>
      <c r="G398" s="2" t="s">
        <v>3842</v>
      </c>
      <c r="H398" s="2" t="s">
        <v>3843</v>
      </c>
      <c r="I398" s="2">
        <v>308650</v>
      </c>
      <c r="J398" s="2" t="s">
        <v>148</v>
      </c>
      <c r="K398" s="2"/>
      <c r="L398" s="2" t="s">
        <v>149</v>
      </c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x14ac:dyDescent="0.25">
      <c r="A399" s="2" t="s">
        <v>3844</v>
      </c>
      <c r="B399" s="2" t="s">
        <v>134</v>
      </c>
      <c r="C399" s="1">
        <v>44290</v>
      </c>
      <c r="D399" s="2" t="s">
        <v>130</v>
      </c>
      <c r="E399" s="2" t="s">
        <v>130</v>
      </c>
      <c r="F399" s="2" t="s">
        <v>153</v>
      </c>
      <c r="G399" s="2" t="s">
        <v>136</v>
      </c>
      <c r="H399" s="2" t="s">
        <v>3845</v>
      </c>
      <c r="I399" s="2">
        <v>312058</v>
      </c>
      <c r="J399" s="2" t="s">
        <v>154</v>
      </c>
      <c r="K399" s="2"/>
      <c r="L399" s="2" t="s">
        <v>155</v>
      </c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x14ac:dyDescent="0.25">
      <c r="A400" s="2" t="s">
        <v>3846</v>
      </c>
      <c r="B400" s="2" t="s">
        <v>134</v>
      </c>
      <c r="C400" s="1">
        <v>44289</v>
      </c>
      <c r="D400" s="2" t="s">
        <v>130</v>
      </c>
      <c r="E400" s="2" t="s">
        <v>130</v>
      </c>
      <c r="F400" s="2" t="s">
        <v>1090</v>
      </c>
      <c r="G400" s="2" t="s">
        <v>3847</v>
      </c>
      <c r="H400" s="2" t="s">
        <v>3848</v>
      </c>
      <c r="I400" s="2">
        <v>308526</v>
      </c>
      <c r="J400" s="2" t="s">
        <v>548</v>
      </c>
      <c r="K400" s="2"/>
      <c r="L400" s="2" t="s">
        <v>152</v>
      </c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x14ac:dyDescent="0.25">
      <c r="A401" s="2" t="s">
        <v>3849</v>
      </c>
      <c r="B401" s="2" t="s">
        <v>134</v>
      </c>
      <c r="C401" s="1">
        <v>44289</v>
      </c>
      <c r="D401" s="2" t="s">
        <v>130</v>
      </c>
      <c r="E401" s="2" t="s">
        <v>130</v>
      </c>
      <c r="F401" s="2" t="s">
        <v>1095</v>
      </c>
      <c r="G401" s="2" t="s">
        <v>3850</v>
      </c>
      <c r="H401" s="2" t="s">
        <v>3851</v>
      </c>
      <c r="I401" s="2">
        <v>144488</v>
      </c>
      <c r="J401" s="2" t="s">
        <v>303</v>
      </c>
      <c r="K401" s="2"/>
      <c r="L401" s="2" t="s">
        <v>152</v>
      </c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x14ac:dyDescent="0.25">
      <c r="A402" s="2" t="s">
        <v>3852</v>
      </c>
      <c r="B402" s="2" t="s">
        <v>134</v>
      </c>
      <c r="C402" s="1">
        <v>44289</v>
      </c>
      <c r="D402" s="2" t="s">
        <v>130</v>
      </c>
      <c r="E402" s="2" t="s">
        <v>130</v>
      </c>
      <c r="F402" s="2" t="s">
        <v>206</v>
      </c>
      <c r="G402" s="2" t="s">
        <v>2721</v>
      </c>
      <c r="H402" s="2" t="s">
        <v>3853</v>
      </c>
      <c r="I402" s="2">
        <v>311440</v>
      </c>
      <c r="J402" s="2" t="s">
        <v>207</v>
      </c>
      <c r="K402" s="2"/>
      <c r="L402" s="2" t="s">
        <v>152</v>
      </c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x14ac:dyDescent="0.25">
      <c r="A403" s="2" t="s">
        <v>3854</v>
      </c>
      <c r="B403" s="2" t="s">
        <v>134</v>
      </c>
      <c r="C403" s="1">
        <v>44289</v>
      </c>
      <c r="D403" s="2" t="s">
        <v>130</v>
      </c>
      <c r="E403" s="2" t="s">
        <v>130</v>
      </c>
      <c r="F403" s="2" t="s">
        <v>206</v>
      </c>
      <c r="G403" s="2" t="s">
        <v>3175</v>
      </c>
      <c r="H403" s="2" t="s">
        <v>3855</v>
      </c>
      <c r="I403" s="2">
        <v>311107</v>
      </c>
      <c r="J403" s="2" t="s">
        <v>207</v>
      </c>
      <c r="K403" s="2"/>
      <c r="L403" s="2" t="s">
        <v>152</v>
      </c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x14ac:dyDescent="0.25">
      <c r="A404" s="2" t="s">
        <v>3856</v>
      </c>
      <c r="B404" s="2" t="s">
        <v>129</v>
      </c>
      <c r="C404" s="1">
        <v>44290</v>
      </c>
      <c r="D404" s="2" t="s">
        <v>130</v>
      </c>
      <c r="E404" s="2" t="s">
        <v>130</v>
      </c>
      <c r="F404" s="2" t="s">
        <v>144</v>
      </c>
      <c r="G404" s="2" t="s">
        <v>381</v>
      </c>
      <c r="H404" s="2" t="s">
        <v>3857</v>
      </c>
      <c r="I404" s="2">
        <v>310996</v>
      </c>
      <c r="J404" s="2" t="s">
        <v>145</v>
      </c>
      <c r="K404" s="2"/>
      <c r="L404" s="2" t="s">
        <v>146</v>
      </c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x14ac:dyDescent="0.25">
      <c r="A405" s="2" t="s">
        <v>3858</v>
      </c>
      <c r="B405" s="2" t="s">
        <v>129</v>
      </c>
      <c r="C405" s="1">
        <v>44290</v>
      </c>
      <c r="D405" s="2" t="s">
        <v>130</v>
      </c>
      <c r="E405" s="2" t="s">
        <v>130</v>
      </c>
      <c r="F405" s="2" t="s">
        <v>326</v>
      </c>
      <c r="G405" s="2" t="s">
        <v>407</v>
      </c>
      <c r="H405" s="2" t="s">
        <v>3859</v>
      </c>
      <c r="I405" s="2">
        <v>310666</v>
      </c>
      <c r="J405" s="2" t="s">
        <v>132</v>
      </c>
      <c r="K405" s="2"/>
      <c r="L405" s="2" t="s">
        <v>328</v>
      </c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x14ac:dyDescent="0.25">
      <c r="A406" s="2" t="s">
        <v>3860</v>
      </c>
      <c r="B406" s="2" t="s">
        <v>134</v>
      </c>
      <c r="C406" s="1">
        <v>44290</v>
      </c>
      <c r="D406" s="2" t="s">
        <v>130</v>
      </c>
      <c r="E406" s="2" t="s">
        <v>130</v>
      </c>
      <c r="F406" s="2" t="s">
        <v>150</v>
      </c>
      <c r="G406" s="2" t="s">
        <v>240</v>
      </c>
      <c r="H406" s="2" t="s">
        <v>3861</v>
      </c>
      <c r="I406" s="2">
        <v>305074</v>
      </c>
      <c r="J406" s="2" t="s">
        <v>151</v>
      </c>
      <c r="K406" s="2"/>
      <c r="L406" s="2" t="s">
        <v>152</v>
      </c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x14ac:dyDescent="0.25">
      <c r="A407" s="2" t="s">
        <v>3862</v>
      </c>
      <c r="B407" s="2" t="s">
        <v>134</v>
      </c>
      <c r="C407" s="1">
        <v>44290</v>
      </c>
      <c r="D407" s="2" t="s">
        <v>130</v>
      </c>
      <c r="E407" s="2" t="s">
        <v>130</v>
      </c>
      <c r="F407" s="2" t="s">
        <v>204</v>
      </c>
      <c r="G407" s="2" t="s">
        <v>3863</v>
      </c>
      <c r="H407" s="2" t="s">
        <v>3864</v>
      </c>
      <c r="I407" s="2">
        <v>304055</v>
      </c>
      <c r="J407" s="2" t="s">
        <v>148</v>
      </c>
      <c r="K407" s="2"/>
      <c r="L407" s="2" t="s">
        <v>205</v>
      </c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x14ac:dyDescent="0.25">
      <c r="A408" s="2" t="s">
        <v>3865</v>
      </c>
      <c r="B408" s="2" t="s">
        <v>134</v>
      </c>
      <c r="C408" s="1">
        <v>44291</v>
      </c>
      <c r="D408" s="2" t="s">
        <v>130</v>
      </c>
      <c r="E408" s="2" t="s">
        <v>130</v>
      </c>
      <c r="F408" s="2" t="s">
        <v>370</v>
      </c>
      <c r="G408" s="2" t="s">
        <v>3866</v>
      </c>
      <c r="H408" s="2" t="s">
        <v>3867</v>
      </c>
      <c r="I408" s="2">
        <v>1275093</v>
      </c>
      <c r="J408" s="2" t="s">
        <v>2709</v>
      </c>
      <c r="K408" s="2"/>
      <c r="L408" s="2" t="s">
        <v>2710</v>
      </c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x14ac:dyDescent="0.25">
      <c r="A409" s="2" t="s">
        <v>3868</v>
      </c>
      <c r="B409" s="2" t="s">
        <v>134</v>
      </c>
      <c r="C409" s="1">
        <v>44291</v>
      </c>
      <c r="D409" s="2" t="s">
        <v>130</v>
      </c>
      <c r="E409" s="2" t="s">
        <v>130</v>
      </c>
      <c r="F409" s="2" t="s">
        <v>157</v>
      </c>
      <c r="G409" s="2" t="s">
        <v>261</v>
      </c>
      <c r="H409" s="2" t="s">
        <v>3869</v>
      </c>
      <c r="I409" s="2">
        <v>309252</v>
      </c>
      <c r="J409" s="2" t="s">
        <v>151</v>
      </c>
      <c r="K409" s="2"/>
      <c r="L409" s="2" t="s">
        <v>152</v>
      </c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x14ac:dyDescent="0.25">
      <c r="A410" s="2" t="s">
        <v>3870</v>
      </c>
      <c r="B410" s="2" t="s">
        <v>134</v>
      </c>
      <c r="C410" s="1">
        <v>44291</v>
      </c>
      <c r="D410" s="2" t="s">
        <v>130</v>
      </c>
      <c r="E410" s="2" t="s">
        <v>130</v>
      </c>
      <c r="F410" s="2" t="s">
        <v>206</v>
      </c>
      <c r="G410" s="2" t="s">
        <v>3215</v>
      </c>
      <c r="H410" s="2" t="s">
        <v>3871</v>
      </c>
      <c r="I410" s="2">
        <v>310873</v>
      </c>
      <c r="J410" s="2" t="s">
        <v>207</v>
      </c>
      <c r="K410" s="2"/>
      <c r="L410" s="2" t="s">
        <v>152</v>
      </c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x14ac:dyDescent="0.25">
      <c r="A411" s="2" t="s">
        <v>3872</v>
      </c>
      <c r="B411" s="2" t="s">
        <v>134</v>
      </c>
      <c r="C411" s="1">
        <v>44291</v>
      </c>
      <c r="D411" s="2" t="s">
        <v>130</v>
      </c>
      <c r="E411" s="2" t="s">
        <v>130</v>
      </c>
      <c r="F411" s="2" t="s">
        <v>326</v>
      </c>
      <c r="G411" s="2" t="s">
        <v>566</v>
      </c>
      <c r="H411" s="2" t="s">
        <v>3873</v>
      </c>
      <c r="I411" s="2">
        <v>310727</v>
      </c>
      <c r="J411" s="2" t="s">
        <v>132</v>
      </c>
      <c r="K411" s="2"/>
      <c r="L411" s="2" t="s">
        <v>328</v>
      </c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x14ac:dyDescent="0.25">
      <c r="A412" s="2" t="s">
        <v>3874</v>
      </c>
      <c r="B412" s="2" t="s">
        <v>134</v>
      </c>
      <c r="C412" s="1">
        <v>44291</v>
      </c>
      <c r="D412" s="2" t="s">
        <v>130</v>
      </c>
      <c r="E412" s="2" t="s">
        <v>130</v>
      </c>
      <c r="F412" s="2" t="s">
        <v>375</v>
      </c>
      <c r="G412" s="2" t="s">
        <v>3875</v>
      </c>
      <c r="H412" s="2" t="s">
        <v>3876</v>
      </c>
      <c r="I412" s="2">
        <v>1275157</v>
      </c>
      <c r="J412" s="2" t="s">
        <v>2732</v>
      </c>
      <c r="K412" s="2"/>
      <c r="L412" s="2" t="s">
        <v>269</v>
      </c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x14ac:dyDescent="0.25">
      <c r="A413" s="2" t="s">
        <v>3877</v>
      </c>
      <c r="B413" s="2" t="s">
        <v>134</v>
      </c>
      <c r="C413" s="1">
        <v>44291</v>
      </c>
      <c r="D413" s="2" t="s">
        <v>130</v>
      </c>
      <c r="E413" s="2" t="s">
        <v>130</v>
      </c>
      <c r="F413" s="2" t="s">
        <v>193</v>
      </c>
      <c r="G413" s="2" t="s">
        <v>136</v>
      </c>
      <c r="H413" s="2" t="s">
        <v>3878</v>
      </c>
      <c r="I413" s="2">
        <v>312869</v>
      </c>
      <c r="J413" s="2" t="s">
        <v>194</v>
      </c>
      <c r="K413" s="2"/>
      <c r="L413" s="2" t="s">
        <v>146</v>
      </c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x14ac:dyDescent="0.25">
      <c r="A414" s="2" t="s">
        <v>3879</v>
      </c>
      <c r="B414" s="2" t="s">
        <v>134</v>
      </c>
      <c r="C414" s="1">
        <v>44291</v>
      </c>
      <c r="D414" s="2" t="s">
        <v>130</v>
      </c>
      <c r="E414" s="2" t="s">
        <v>130</v>
      </c>
      <c r="F414" s="2" t="s">
        <v>139</v>
      </c>
      <c r="G414" s="2" t="s">
        <v>159</v>
      </c>
      <c r="H414" s="2" t="s">
        <v>3629</v>
      </c>
      <c r="I414" s="2">
        <v>312870</v>
      </c>
      <c r="J414" s="2" t="s">
        <v>141</v>
      </c>
      <c r="K414" s="2"/>
      <c r="L414" s="2" t="s">
        <v>142</v>
      </c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x14ac:dyDescent="0.25">
      <c r="A415" s="2" t="s">
        <v>3880</v>
      </c>
      <c r="B415" s="2" t="s">
        <v>134</v>
      </c>
      <c r="C415" s="1">
        <v>44291</v>
      </c>
      <c r="D415" s="2" t="s">
        <v>130</v>
      </c>
      <c r="E415" s="2" t="s">
        <v>130</v>
      </c>
      <c r="F415" s="2" t="s">
        <v>139</v>
      </c>
      <c r="G415" s="2" t="s">
        <v>140</v>
      </c>
      <c r="H415" s="2" t="s">
        <v>3825</v>
      </c>
      <c r="I415" s="2">
        <v>312871</v>
      </c>
      <c r="J415" s="2" t="s">
        <v>141</v>
      </c>
      <c r="K415" s="2"/>
      <c r="L415" s="2" t="s">
        <v>142</v>
      </c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x14ac:dyDescent="0.25">
      <c r="A416" s="2" t="s">
        <v>3881</v>
      </c>
      <c r="B416" s="2" t="s">
        <v>134</v>
      </c>
      <c r="C416" s="1">
        <v>44291</v>
      </c>
      <c r="D416" s="2" t="s">
        <v>130</v>
      </c>
      <c r="E416" s="2" t="s">
        <v>130</v>
      </c>
      <c r="F416" s="2" t="s">
        <v>3226</v>
      </c>
      <c r="G416" s="2" t="s">
        <v>3227</v>
      </c>
      <c r="H416" s="2" t="s">
        <v>3882</v>
      </c>
      <c r="I416" s="2">
        <v>267853</v>
      </c>
      <c r="J416" s="2" t="s">
        <v>3228</v>
      </c>
      <c r="K416" s="2"/>
      <c r="L416" s="2" t="s">
        <v>138</v>
      </c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x14ac:dyDescent="0.25">
      <c r="A417" s="2" t="s">
        <v>3883</v>
      </c>
      <c r="B417" s="2" t="s">
        <v>134</v>
      </c>
      <c r="C417" s="1">
        <v>44291</v>
      </c>
      <c r="D417" s="2" t="s">
        <v>130</v>
      </c>
      <c r="E417" s="2" t="s">
        <v>130</v>
      </c>
      <c r="F417" s="2" t="s">
        <v>223</v>
      </c>
      <c r="G417" s="2" t="s">
        <v>525</v>
      </c>
      <c r="H417" s="2" t="s">
        <v>3884</v>
      </c>
      <c r="I417" s="2">
        <v>297119</v>
      </c>
      <c r="J417" s="2" t="s">
        <v>225</v>
      </c>
      <c r="K417" s="2"/>
      <c r="L417" s="2" t="s">
        <v>226</v>
      </c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x14ac:dyDescent="0.25">
      <c r="A418" s="2" t="s">
        <v>3885</v>
      </c>
      <c r="B418" s="2" t="s">
        <v>134</v>
      </c>
      <c r="C418" s="1">
        <v>44291</v>
      </c>
      <c r="D418" s="2" t="s">
        <v>130</v>
      </c>
      <c r="E418" s="2" t="s">
        <v>130</v>
      </c>
      <c r="F418" s="2" t="s">
        <v>223</v>
      </c>
      <c r="G418" s="2" t="s">
        <v>350</v>
      </c>
      <c r="H418" s="2" t="s">
        <v>3886</v>
      </c>
      <c r="I418" s="2">
        <v>297131</v>
      </c>
      <c r="J418" s="2" t="s">
        <v>225</v>
      </c>
      <c r="K418" s="2"/>
      <c r="L418" s="2" t="s">
        <v>226</v>
      </c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x14ac:dyDescent="0.25">
      <c r="A419" s="2"/>
      <c r="B419" s="2"/>
      <c r="C419" s="1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x14ac:dyDescent="0.25">
      <c r="A420" s="2"/>
      <c r="B420" s="2"/>
      <c r="C420" s="1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x14ac:dyDescent="0.25">
      <c r="A421" s="2"/>
      <c r="B421" s="2"/>
      <c r="C421" s="1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x14ac:dyDescent="0.25">
      <c r="A422" s="2"/>
      <c r="B422" s="2"/>
      <c r="C422" s="1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x14ac:dyDescent="0.25">
      <c r="A423" s="2"/>
      <c r="B423" s="2"/>
      <c r="C423" s="1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x14ac:dyDescent="0.25">
      <c r="A424" s="2"/>
      <c r="B424" s="2"/>
      <c r="C424" s="1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x14ac:dyDescent="0.25">
      <c r="A425" s="2"/>
      <c r="B425" s="2"/>
      <c r="C425" s="1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x14ac:dyDescent="0.25">
      <c r="A426" s="2"/>
      <c r="B426" s="2"/>
      <c r="C426" s="1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x14ac:dyDescent="0.25">
      <c r="A427" s="2"/>
      <c r="B427" s="2"/>
      <c r="C427" s="1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x14ac:dyDescent="0.25">
      <c r="A428" s="2"/>
      <c r="B428" s="2"/>
      <c r="C428" s="1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x14ac:dyDescent="0.25">
      <c r="A429" s="2"/>
      <c r="B429" s="2"/>
      <c r="C429" s="1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x14ac:dyDescent="0.25">
      <c r="A430" s="2"/>
      <c r="B430" s="2"/>
      <c r="C430" s="1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x14ac:dyDescent="0.25">
      <c r="A431" s="2"/>
      <c r="B431" s="2"/>
      <c r="C431" s="1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x14ac:dyDescent="0.25">
      <c r="A432" s="2"/>
      <c r="B432" s="2"/>
      <c r="C432" s="1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x14ac:dyDescent="0.25">
      <c r="A433" s="2"/>
      <c r="B433" s="2"/>
      <c r="C433" s="1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x14ac:dyDescent="0.25">
      <c r="A434" s="2"/>
      <c r="B434" s="2"/>
      <c r="C434" s="1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x14ac:dyDescent="0.25">
      <c r="A435" s="2"/>
      <c r="B435" s="2"/>
      <c r="C435" s="1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x14ac:dyDescent="0.25">
      <c r="A436" s="2"/>
      <c r="B436" s="2"/>
      <c r="C436" s="1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x14ac:dyDescent="0.25">
      <c r="A437" s="2"/>
      <c r="B437" s="2"/>
      <c r="C437" s="1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x14ac:dyDescent="0.25">
      <c r="A438" s="2"/>
      <c r="B438" s="2"/>
      <c r="C438" s="1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x14ac:dyDescent="0.25">
      <c r="A439" s="2"/>
      <c r="B439" s="2"/>
      <c r="C439" s="1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x14ac:dyDescent="0.25">
      <c r="A440" s="2"/>
      <c r="B440" s="2"/>
      <c r="C440" s="1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x14ac:dyDescent="0.25">
      <c r="A441" s="2"/>
      <c r="B441" s="2"/>
      <c r="C441" s="1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x14ac:dyDescent="0.25">
      <c r="A442" s="2"/>
      <c r="B442" s="2"/>
      <c r="C442" s="1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x14ac:dyDescent="0.25">
      <c r="A443" s="2"/>
      <c r="B443" s="2"/>
      <c r="C443" s="1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x14ac:dyDescent="0.25">
      <c r="A444" s="2"/>
      <c r="B444" s="2"/>
      <c r="C444" s="1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x14ac:dyDescent="0.25">
      <c r="A445" s="2"/>
      <c r="B445" s="2"/>
      <c r="C445" s="1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x14ac:dyDescent="0.25">
      <c r="A446" s="2"/>
      <c r="B446" s="2"/>
      <c r="C446" s="1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x14ac:dyDescent="0.25">
      <c r="A447" s="2"/>
      <c r="B447" s="2"/>
      <c r="C447" s="1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x14ac:dyDescent="0.25">
      <c r="A448" s="2"/>
      <c r="B448" s="2"/>
      <c r="C448" s="1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x14ac:dyDescent="0.25">
      <c r="A449" s="2"/>
      <c r="B449" s="2"/>
      <c r="C449" s="1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x14ac:dyDescent="0.25">
      <c r="A450" s="2"/>
      <c r="B450" s="2"/>
      <c r="C450" s="1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x14ac:dyDescent="0.25">
      <c r="A451" s="2"/>
      <c r="B451" s="2"/>
      <c r="C451" s="1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x14ac:dyDescent="0.25">
      <c r="A452" s="2"/>
      <c r="B452" s="2"/>
      <c r="C452" s="1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x14ac:dyDescent="0.25">
      <c r="A453" s="2"/>
      <c r="B453" s="2"/>
      <c r="C453" s="1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x14ac:dyDescent="0.25">
      <c r="A454" s="2"/>
      <c r="B454" s="2"/>
      <c r="C454" s="1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x14ac:dyDescent="0.25">
      <c r="A455" s="2"/>
      <c r="B455" s="2"/>
      <c r="C455" s="1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x14ac:dyDescent="0.25">
      <c r="A456" s="2"/>
      <c r="B456" s="2"/>
      <c r="C456" s="1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x14ac:dyDescent="0.25">
      <c r="A457" s="2"/>
      <c r="B457" s="2"/>
      <c r="C457" s="1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x14ac:dyDescent="0.25">
      <c r="A458" s="2"/>
      <c r="B458" s="2"/>
      <c r="C458" s="1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x14ac:dyDescent="0.25">
      <c r="A459" s="2"/>
      <c r="B459" s="2"/>
      <c r="C459" s="1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x14ac:dyDescent="0.25">
      <c r="A460" s="2"/>
      <c r="B460" s="2"/>
      <c r="C460" s="1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x14ac:dyDescent="0.25">
      <c r="A461" s="2"/>
      <c r="B461" s="2"/>
      <c r="C461" s="1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x14ac:dyDescent="0.25">
      <c r="A462" s="2"/>
      <c r="B462" s="2"/>
      <c r="C462" s="1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x14ac:dyDescent="0.25">
      <c r="A463" s="2"/>
      <c r="B463" s="2"/>
      <c r="C463" s="1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x14ac:dyDescent="0.25">
      <c r="A464" s="2"/>
      <c r="B464" s="2"/>
      <c r="C464" s="1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x14ac:dyDescent="0.25">
      <c r="A465" s="2"/>
      <c r="B465" s="2"/>
      <c r="C465" s="1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x14ac:dyDescent="0.25">
      <c r="A466" s="2"/>
      <c r="B466" s="2"/>
      <c r="C466" s="1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x14ac:dyDescent="0.25">
      <c r="A467" s="2"/>
      <c r="B467" s="2"/>
      <c r="C467" s="1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x14ac:dyDescent="0.25">
      <c r="A468" s="2"/>
      <c r="B468" s="2"/>
      <c r="C468" s="1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x14ac:dyDescent="0.25">
      <c r="A469" s="2"/>
      <c r="B469" s="2"/>
      <c r="C469" s="1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x14ac:dyDescent="0.25">
      <c r="A470" s="2"/>
      <c r="B470" s="2"/>
      <c r="C470" s="1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x14ac:dyDescent="0.25">
      <c r="A471" s="2"/>
      <c r="B471" s="2"/>
      <c r="C471" s="1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x14ac:dyDescent="0.25">
      <c r="A472" s="2"/>
      <c r="B472" s="2"/>
      <c r="C472" s="1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x14ac:dyDescent="0.25">
      <c r="A473" s="2"/>
      <c r="B473" s="2"/>
      <c r="C473" s="1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x14ac:dyDescent="0.25">
      <c r="A474" s="2"/>
      <c r="B474" s="2"/>
      <c r="C474" s="1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x14ac:dyDescent="0.25">
      <c r="A475" s="2"/>
      <c r="B475" s="2"/>
      <c r="C475" s="1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x14ac:dyDescent="0.25">
      <c r="A476" s="2"/>
      <c r="B476" s="2"/>
      <c r="C476" s="1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x14ac:dyDescent="0.25">
      <c r="A477" s="2"/>
      <c r="B477" s="2"/>
      <c r="C477" s="1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x14ac:dyDescent="0.25">
      <c r="A478" s="2"/>
      <c r="B478" s="2"/>
      <c r="C478" s="1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x14ac:dyDescent="0.25">
      <c r="A479" s="2"/>
      <c r="B479" s="2"/>
      <c r="C479" s="1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x14ac:dyDescent="0.25">
      <c r="A480" s="2"/>
      <c r="B480" s="2"/>
      <c r="C480" s="1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x14ac:dyDescent="0.25">
      <c r="A481" s="2"/>
      <c r="B481" s="2"/>
      <c r="C481" s="1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x14ac:dyDescent="0.25">
      <c r="A482" s="2"/>
      <c r="B482" s="2"/>
      <c r="C482" s="1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x14ac:dyDescent="0.25">
      <c r="A483" s="2"/>
      <c r="B483" s="2"/>
      <c r="C483" s="1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x14ac:dyDescent="0.25">
      <c r="A484" s="2"/>
      <c r="B484" s="2"/>
      <c r="C484" s="1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x14ac:dyDescent="0.25">
      <c r="A485" s="2"/>
      <c r="B485" s="2"/>
      <c r="C485" s="1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x14ac:dyDescent="0.25">
      <c r="A486" s="2"/>
      <c r="B486" s="2"/>
      <c r="C486" s="1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x14ac:dyDescent="0.25">
      <c r="A487" s="2"/>
      <c r="B487" s="2"/>
      <c r="C487" s="1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x14ac:dyDescent="0.25">
      <c r="A488" s="2"/>
      <c r="B488" s="2"/>
      <c r="C488" s="1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x14ac:dyDescent="0.25">
      <c r="A489" s="2"/>
      <c r="B489" s="2"/>
      <c r="C489" s="1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x14ac:dyDescent="0.25">
      <c r="A490" s="2"/>
      <c r="B490" s="2"/>
      <c r="C490" s="1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x14ac:dyDescent="0.25">
      <c r="A491" s="2"/>
      <c r="B491" s="2"/>
      <c r="C491" s="1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x14ac:dyDescent="0.25">
      <c r="A492" s="2"/>
      <c r="B492" s="2"/>
      <c r="C492" s="1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x14ac:dyDescent="0.25">
      <c r="A493" s="2"/>
      <c r="B493" s="2"/>
      <c r="C493" s="1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x14ac:dyDescent="0.25">
      <c r="A494" s="2"/>
      <c r="B494" s="2"/>
      <c r="C494" s="1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x14ac:dyDescent="0.25">
      <c r="A495" s="2"/>
      <c r="B495" s="2"/>
      <c r="C495" s="1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x14ac:dyDescent="0.25">
      <c r="A496" s="2"/>
      <c r="B496" s="2"/>
      <c r="C496" s="1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x14ac:dyDescent="0.25">
      <c r="A497" s="2"/>
      <c r="B497" s="2"/>
      <c r="C497" s="1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x14ac:dyDescent="0.25">
      <c r="A498" s="2"/>
      <c r="B498" s="2"/>
      <c r="C498" s="1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x14ac:dyDescent="0.25">
      <c r="A499" s="2"/>
      <c r="B499" s="2"/>
      <c r="C499" s="1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x14ac:dyDescent="0.25">
      <c r="A500" s="2"/>
      <c r="B500" s="2"/>
      <c r="C500" s="1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x14ac:dyDescent="0.25">
      <c r="A501" s="2"/>
      <c r="B501" s="2"/>
      <c r="C501" s="1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x14ac:dyDescent="0.25">
      <c r="A502" s="2"/>
      <c r="B502" s="2"/>
      <c r="C502" s="1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x14ac:dyDescent="0.25">
      <c r="A503" s="2"/>
      <c r="B503" s="2"/>
      <c r="C503" s="1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x14ac:dyDescent="0.25">
      <c r="A504" s="2"/>
      <c r="B504" s="2"/>
      <c r="C504" s="1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x14ac:dyDescent="0.25">
      <c r="A505" s="2"/>
      <c r="B505" s="2"/>
      <c r="C505" s="1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x14ac:dyDescent="0.25">
      <c r="A506" s="2"/>
      <c r="B506" s="2"/>
      <c r="C506" s="1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x14ac:dyDescent="0.25">
      <c r="A507" s="2"/>
      <c r="B507" s="2"/>
      <c r="C507" s="1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x14ac:dyDescent="0.25">
      <c r="A508" s="2"/>
      <c r="B508" s="2"/>
      <c r="C508" s="1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x14ac:dyDescent="0.25">
      <c r="A509" s="2"/>
      <c r="B509" s="2"/>
      <c r="C509" s="1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x14ac:dyDescent="0.25">
      <c r="A510" s="2"/>
      <c r="B510" s="2"/>
      <c r="C510" s="1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x14ac:dyDescent="0.25">
      <c r="A511" s="2"/>
      <c r="B511" s="2"/>
      <c r="C511" s="1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x14ac:dyDescent="0.25">
      <c r="A512" s="2"/>
      <c r="B512" s="2"/>
      <c r="C512" s="1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x14ac:dyDescent="0.25">
      <c r="A513" s="2"/>
      <c r="B513" s="2"/>
      <c r="C513" s="1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x14ac:dyDescent="0.25">
      <c r="A514" s="2"/>
      <c r="B514" s="2"/>
      <c r="C514" s="1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x14ac:dyDescent="0.25">
      <c r="A515" s="2"/>
      <c r="B515" s="2"/>
      <c r="C515" s="1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x14ac:dyDescent="0.25">
      <c r="A516" s="2"/>
      <c r="B516" s="2"/>
      <c r="C516" s="1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x14ac:dyDescent="0.25">
      <c r="A517" s="2"/>
      <c r="B517" s="2"/>
      <c r="C517" s="1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x14ac:dyDescent="0.25">
      <c r="A518" s="2"/>
      <c r="B518" s="2"/>
      <c r="C518" s="1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x14ac:dyDescent="0.25">
      <c r="A519" s="2"/>
      <c r="B519" s="2"/>
      <c r="C519" s="1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x14ac:dyDescent="0.25">
      <c r="A520" s="2"/>
      <c r="B520" s="2"/>
      <c r="C520" s="1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x14ac:dyDescent="0.25">
      <c r="A521" s="2"/>
      <c r="B521" s="2"/>
      <c r="C521" s="1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x14ac:dyDescent="0.25">
      <c r="A522" s="2"/>
      <c r="B522" s="2"/>
      <c r="C522" s="1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x14ac:dyDescent="0.25">
      <c r="A523" s="2"/>
      <c r="B523" s="2"/>
      <c r="C523" s="1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x14ac:dyDescent="0.25">
      <c r="A524" s="2"/>
      <c r="B524" s="2"/>
      <c r="C524" s="1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x14ac:dyDescent="0.25">
      <c r="A525" s="2"/>
      <c r="B525" s="2"/>
      <c r="C525" s="1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x14ac:dyDescent="0.25">
      <c r="A526" s="2"/>
      <c r="B526" s="2"/>
      <c r="C526" s="1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x14ac:dyDescent="0.25">
      <c r="A527" s="2"/>
      <c r="B527" s="2"/>
      <c r="C527" s="1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x14ac:dyDescent="0.25">
      <c r="A528" s="2"/>
      <c r="B528" s="2"/>
      <c r="C528" s="1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x14ac:dyDescent="0.25">
      <c r="A529" s="2"/>
      <c r="B529" s="2"/>
      <c r="C529" s="1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x14ac:dyDescent="0.25">
      <c r="A530" s="2"/>
      <c r="B530" s="2"/>
      <c r="C530" s="1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x14ac:dyDescent="0.25">
      <c r="A531" s="2"/>
      <c r="B531" s="2"/>
      <c r="C531" s="1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x14ac:dyDescent="0.25">
      <c r="A532" s="2"/>
      <c r="B532" s="2"/>
      <c r="C532" s="1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x14ac:dyDescent="0.25">
      <c r="A533" s="2"/>
      <c r="B533" s="2"/>
      <c r="C533" s="1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x14ac:dyDescent="0.25">
      <c r="A534" s="2"/>
      <c r="B534" s="2"/>
      <c r="C534" s="1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x14ac:dyDescent="0.25">
      <c r="A535" s="2"/>
      <c r="B535" s="2"/>
      <c r="C535" s="1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x14ac:dyDescent="0.25">
      <c r="A536" s="2"/>
      <c r="B536" s="2"/>
      <c r="C536" s="1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x14ac:dyDescent="0.25">
      <c r="A537" s="2"/>
      <c r="B537" s="2"/>
      <c r="C537" s="1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x14ac:dyDescent="0.25">
      <c r="A538" s="2"/>
      <c r="B538" s="2"/>
      <c r="C538" s="1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x14ac:dyDescent="0.25">
      <c r="A539" s="2"/>
      <c r="B539" s="2"/>
      <c r="C539" s="1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x14ac:dyDescent="0.25">
      <c r="A540" s="2"/>
      <c r="B540" s="2"/>
      <c r="C540" s="1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x14ac:dyDescent="0.25">
      <c r="A541" s="2"/>
      <c r="B541" s="2"/>
      <c r="C541" s="1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x14ac:dyDescent="0.25">
      <c r="A542" s="2"/>
      <c r="B542" s="2"/>
      <c r="C542" s="1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x14ac:dyDescent="0.25">
      <c r="A543" s="2"/>
      <c r="B543" s="2"/>
      <c r="C543" s="1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x14ac:dyDescent="0.25">
      <c r="A544" s="2"/>
      <c r="B544" s="2"/>
      <c r="C544" s="1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x14ac:dyDescent="0.25">
      <c r="A545" s="2"/>
      <c r="B545" s="2"/>
      <c r="C545" s="1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x14ac:dyDescent="0.25">
      <c r="A546" s="2"/>
      <c r="B546" s="2"/>
      <c r="C546" s="1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x14ac:dyDescent="0.25">
      <c r="A547" s="2"/>
      <c r="B547" s="2"/>
      <c r="C547" s="1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x14ac:dyDescent="0.25">
      <c r="A548" s="2"/>
      <c r="B548" s="2"/>
      <c r="C548" s="1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x14ac:dyDescent="0.25">
      <c r="A549" s="2"/>
      <c r="B549" s="2"/>
      <c r="C549" s="1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x14ac:dyDescent="0.25">
      <c r="A550" s="2"/>
      <c r="B550" s="2"/>
      <c r="C550" s="1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x14ac:dyDescent="0.25">
      <c r="A551" s="2"/>
      <c r="B551" s="2"/>
      <c r="C551" s="1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x14ac:dyDescent="0.25">
      <c r="A552" s="2"/>
      <c r="B552" s="2"/>
      <c r="C552" s="1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x14ac:dyDescent="0.25">
      <c r="A553" s="2"/>
      <c r="B553" s="2"/>
      <c r="C553" s="1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x14ac:dyDescent="0.25">
      <c r="A554" s="2"/>
      <c r="B554" s="2"/>
      <c r="C554" s="1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x14ac:dyDescent="0.25">
      <c r="A555" s="2"/>
      <c r="B555" s="2"/>
      <c r="C555" s="1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x14ac:dyDescent="0.25">
      <c r="A556" s="2"/>
      <c r="B556" s="2"/>
      <c r="C556" s="1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x14ac:dyDescent="0.25">
      <c r="A557" s="2"/>
      <c r="B557" s="2"/>
      <c r="C557" s="1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x14ac:dyDescent="0.25">
      <c r="A558" s="2"/>
      <c r="B558" s="2"/>
      <c r="C558" s="1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x14ac:dyDescent="0.25">
      <c r="A559" s="2"/>
      <c r="B559" s="2"/>
      <c r="C559" s="1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x14ac:dyDescent="0.25">
      <c r="A560" s="2"/>
      <c r="B560" s="2"/>
      <c r="C560" s="1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x14ac:dyDescent="0.25">
      <c r="A561" s="2"/>
      <c r="B561" s="2"/>
      <c r="C561" s="1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x14ac:dyDescent="0.25">
      <c r="A562" s="2"/>
      <c r="B562" s="2"/>
      <c r="C562" s="1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x14ac:dyDescent="0.25">
      <c r="A563" s="2"/>
      <c r="B563" s="2"/>
      <c r="C563" s="1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x14ac:dyDescent="0.25">
      <c r="A564" s="2"/>
      <c r="B564" s="2"/>
      <c r="C564" s="1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x14ac:dyDescent="0.25">
      <c r="A565" s="2"/>
      <c r="B565" s="2"/>
      <c r="C565" s="1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x14ac:dyDescent="0.25">
      <c r="A566" s="2"/>
      <c r="B566" s="2"/>
      <c r="C566" s="1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x14ac:dyDescent="0.25">
      <c r="A567" s="2"/>
      <c r="B567" s="2"/>
      <c r="C567" s="1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x14ac:dyDescent="0.25">
      <c r="A568" s="2"/>
      <c r="B568" s="2"/>
      <c r="C568" s="1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x14ac:dyDescent="0.25">
      <c r="A569" s="2"/>
      <c r="B569" s="2"/>
      <c r="C569" s="1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x14ac:dyDescent="0.25">
      <c r="A570" s="2"/>
      <c r="B570" s="2"/>
      <c r="C570" s="1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x14ac:dyDescent="0.25">
      <c r="A571" s="2"/>
      <c r="B571" s="2"/>
      <c r="C571" s="1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x14ac:dyDescent="0.25">
      <c r="A572" s="2"/>
      <c r="B572" s="2"/>
      <c r="C572" s="1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x14ac:dyDescent="0.25">
      <c r="A573" s="2"/>
      <c r="B573" s="2"/>
      <c r="C573" s="1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x14ac:dyDescent="0.25">
      <c r="A574" s="2"/>
      <c r="B574" s="2"/>
      <c r="C574" s="1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x14ac:dyDescent="0.25">
      <c r="A575" s="2"/>
      <c r="B575" s="2"/>
      <c r="C575" s="1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x14ac:dyDescent="0.25">
      <c r="A576" s="2"/>
      <c r="B576" s="2"/>
      <c r="C576" s="1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x14ac:dyDescent="0.25">
      <c r="A577" s="2"/>
      <c r="B577" s="2"/>
      <c r="C577" s="1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x14ac:dyDescent="0.25">
      <c r="A578" s="2"/>
      <c r="B578" s="2"/>
      <c r="C578" s="1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x14ac:dyDescent="0.25">
      <c r="A579" s="2"/>
      <c r="B579" s="2"/>
      <c r="C579" s="1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x14ac:dyDescent="0.25">
      <c r="A580" s="2"/>
      <c r="B580" s="2"/>
      <c r="C580" s="1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x14ac:dyDescent="0.25">
      <c r="A581" s="2"/>
      <c r="B581" s="2"/>
      <c r="C581" s="1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x14ac:dyDescent="0.25">
      <c r="A582" s="2"/>
      <c r="B582" s="2"/>
      <c r="C582" s="1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x14ac:dyDescent="0.25">
      <c r="A583" s="2"/>
      <c r="B583" s="2"/>
      <c r="C583" s="1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x14ac:dyDescent="0.25">
      <c r="A584" s="2"/>
      <c r="B584" s="2"/>
      <c r="C584" s="1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x14ac:dyDescent="0.25">
      <c r="A585" s="2"/>
      <c r="B585" s="2"/>
      <c r="C585" s="1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x14ac:dyDescent="0.25">
      <c r="A586" s="2"/>
      <c r="B586" s="2"/>
      <c r="C586" s="1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x14ac:dyDescent="0.25">
      <c r="A587" s="2"/>
      <c r="B587" s="2"/>
      <c r="C587" s="1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x14ac:dyDescent="0.25">
      <c r="A588" s="2"/>
      <c r="B588" s="2"/>
      <c r="C588" s="1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x14ac:dyDescent="0.25">
      <c r="A589" s="2"/>
      <c r="B589" s="2"/>
      <c r="C589" s="1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x14ac:dyDescent="0.25">
      <c r="A590" s="2"/>
      <c r="B590" s="2"/>
      <c r="C590" s="1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x14ac:dyDescent="0.25">
      <c r="A591" s="2"/>
      <c r="B591" s="2"/>
      <c r="C591" s="1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x14ac:dyDescent="0.25">
      <c r="A592" s="2"/>
      <c r="B592" s="2"/>
      <c r="C592" s="1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x14ac:dyDescent="0.25">
      <c r="A593" s="2"/>
      <c r="B593" s="2"/>
      <c r="C593" s="1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x14ac:dyDescent="0.25">
      <c r="A594" s="2"/>
      <c r="B594" s="2"/>
      <c r="C594" s="1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x14ac:dyDescent="0.25">
      <c r="A595" s="2"/>
      <c r="B595" s="2"/>
      <c r="C595" s="1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x14ac:dyDescent="0.25">
      <c r="A596" s="2"/>
      <c r="B596" s="2"/>
      <c r="C596" s="1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x14ac:dyDescent="0.25">
      <c r="A597" s="2"/>
      <c r="B597" s="2"/>
      <c r="C597" s="1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x14ac:dyDescent="0.25">
      <c r="A598" s="2"/>
      <c r="B598" s="2"/>
      <c r="C598" s="1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x14ac:dyDescent="0.25">
      <c r="A599" s="2"/>
      <c r="B599" s="2"/>
      <c r="C599" s="1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x14ac:dyDescent="0.25">
      <c r="A600" s="2"/>
      <c r="B600" s="2"/>
      <c r="C600" s="1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x14ac:dyDescent="0.25">
      <c r="A601" s="2"/>
      <c r="B601" s="2"/>
      <c r="C601" s="1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x14ac:dyDescent="0.25">
      <c r="A602" s="2"/>
      <c r="B602" s="2"/>
      <c r="C602" s="1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x14ac:dyDescent="0.25">
      <c r="A603" s="2"/>
      <c r="B603" s="2"/>
      <c r="C603" s="1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x14ac:dyDescent="0.25">
      <c r="A604" s="2"/>
      <c r="B604" s="2"/>
      <c r="C604" s="1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x14ac:dyDescent="0.25">
      <c r="A605" s="2"/>
      <c r="B605" s="2"/>
      <c r="C605" s="1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x14ac:dyDescent="0.25">
      <c r="A606" s="2"/>
      <c r="B606" s="2"/>
      <c r="C606" s="1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x14ac:dyDescent="0.25">
      <c r="A607" s="2"/>
      <c r="B607" s="2"/>
      <c r="C607" s="1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x14ac:dyDescent="0.25">
      <c r="A608" s="2"/>
      <c r="B608" s="2"/>
      <c r="C608" s="1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x14ac:dyDescent="0.25">
      <c r="A609" s="2"/>
      <c r="B609" s="2"/>
      <c r="C609" s="1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x14ac:dyDescent="0.25">
      <c r="A610" s="2"/>
      <c r="B610" s="2"/>
      <c r="C610" s="1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x14ac:dyDescent="0.25">
      <c r="A611" s="2"/>
      <c r="B611" s="2"/>
      <c r="C611" s="1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x14ac:dyDescent="0.25">
      <c r="A612" s="2"/>
      <c r="B612" s="2"/>
      <c r="C612" s="1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x14ac:dyDescent="0.25">
      <c r="A613" s="2"/>
      <c r="B613" s="2"/>
      <c r="C613" s="1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x14ac:dyDescent="0.25">
      <c r="A614" s="2"/>
      <c r="B614" s="2"/>
      <c r="C614" s="1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x14ac:dyDescent="0.25">
      <c r="A615" s="2"/>
      <c r="B615" s="2"/>
      <c r="C615" s="1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x14ac:dyDescent="0.25">
      <c r="A616" s="2"/>
      <c r="B616" s="2"/>
      <c r="C616" s="1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x14ac:dyDescent="0.25">
      <c r="A617" s="2"/>
      <c r="B617" s="2"/>
      <c r="C617" s="1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x14ac:dyDescent="0.25">
      <c r="A618" s="2"/>
      <c r="B618" s="2"/>
      <c r="C618" s="1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x14ac:dyDescent="0.25">
      <c r="A619" s="2"/>
      <c r="B619" s="2"/>
      <c r="C619" s="1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x14ac:dyDescent="0.25">
      <c r="A620" s="2"/>
      <c r="B620" s="2"/>
      <c r="C620" s="1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x14ac:dyDescent="0.25">
      <c r="A621" s="2"/>
      <c r="B621" s="2"/>
      <c r="C621" s="1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x14ac:dyDescent="0.25">
      <c r="A622" s="2"/>
      <c r="B622" s="2"/>
      <c r="C622" s="1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x14ac:dyDescent="0.25">
      <c r="A623" s="2"/>
      <c r="B623" s="2"/>
      <c r="C623" s="1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x14ac:dyDescent="0.25">
      <c r="A624" s="2"/>
      <c r="B624" s="2"/>
      <c r="C624" s="1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x14ac:dyDescent="0.25">
      <c r="A625" s="2"/>
      <c r="B625" s="2"/>
      <c r="C625" s="1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x14ac:dyDescent="0.25">
      <c r="A626" s="2"/>
      <c r="B626" s="2"/>
      <c r="C626" s="1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x14ac:dyDescent="0.25">
      <c r="A627" s="2"/>
      <c r="B627" s="2"/>
      <c r="C627" s="1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x14ac:dyDescent="0.25">
      <c r="A628" s="2"/>
      <c r="B628" s="2"/>
      <c r="C628" s="1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x14ac:dyDescent="0.25">
      <c r="A629" s="2"/>
      <c r="B629" s="2"/>
      <c r="C629" s="1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x14ac:dyDescent="0.25">
      <c r="A630" s="2"/>
      <c r="B630" s="2"/>
      <c r="C630" s="1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x14ac:dyDescent="0.25">
      <c r="A631" s="2"/>
      <c r="B631" s="2"/>
      <c r="C631" s="1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x14ac:dyDescent="0.25">
      <c r="A632" s="2"/>
      <c r="B632" s="2"/>
      <c r="C632" s="1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x14ac:dyDescent="0.25">
      <c r="A633" s="2"/>
      <c r="B633" s="2"/>
      <c r="C633" s="1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x14ac:dyDescent="0.25">
      <c r="A634" s="2"/>
      <c r="B634" s="2"/>
      <c r="C634" s="1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x14ac:dyDescent="0.25">
      <c r="A635" s="2"/>
      <c r="B635" s="2"/>
      <c r="C635" s="1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x14ac:dyDescent="0.25">
      <c r="A636" s="2"/>
      <c r="B636" s="2"/>
      <c r="C636" s="1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x14ac:dyDescent="0.25">
      <c r="A637" s="2"/>
      <c r="B637" s="2"/>
      <c r="C637" s="1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x14ac:dyDescent="0.25">
      <c r="A638" s="2"/>
      <c r="B638" s="2"/>
      <c r="C638" s="1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x14ac:dyDescent="0.25">
      <c r="A639" s="2"/>
      <c r="B639" s="2"/>
      <c r="C639" s="1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x14ac:dyDescent="0.25">
      <c r="A640" s="2"/>
      <c r="B640" s="2"/>
      <c r="C640" s="1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x14ac:dyDescent="0.25">
      <c r="A641" s="2"/>
      <c r="B641" s="2"/>
      <c r="C641" s="1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x14ac:dyDescent="0.25">
      <c r="A642" s="2"/>
      <c r="B642" s="2"/>
      <c r="C642" s="1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x14ac:dyDescent="0.25">
      <c r="A643" s="2"/>
      <c r="B643" s="2"/>
      <c r="C643" s="1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x14ac:dyDescent="0.25">
      <c r="A644" s="2"/>
      <c r="B644" s="2"/>
      <c r="C644" s="1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x14ac:dyDescent="0.25">
      <c r="A645" s="2"/>
      <c r="B645" s="2"/>
      <c r="C645" s="1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x14ac:dyDescent="0.25">
      <c r="A646" s="2"/>
      <c r="B646" s="2"/>
      <c r="C646" s="1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x14ac:dyDescent="0.25">
      <c r="A647" s="2"/>
      <c r="B647" s="2"/>
      <c r="C647" s="1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x14ac:dyDescent="0.25">
      <c r="A648" s="2"/>
      <c r="B648" s="2"/>
      <c r="C648" s="1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x14ac:dyDescent="0.25">
      <c r="A649" s="2"/>
      <c r="B649" s="2"/>
      <c r="C649" s="1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x14ac:dyDescent="0.25">
      <c r="A650" s="2"/>
      <c r="B650" s="2"/>
      <c r="C650" s="1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x14ac:dyDescent="0.25">
      <c r="A651" s="2"/>
      <c r="B651" s="2"/>
      <c r="C651" s="1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x14ac:dyDescent="0.25">
      <c r="A652" s="2"/>
      <c r="B652" s="2"/>
      <c r="C652" s="1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x14ac:dyDescent="0.25">
      <c r="A653" s="2"/>
      <c r="B653" s="2"/>
      <c r="C653" s="1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x14ac:dyDescent="0.25">
      <c r="A654" s="2"/>
      <c r="B654" s="2"/>
      <c r="C654" s="1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x14ac:dyDescent="0.25">
      <c r="A655" s="2"/>
      <c r="B655" s="2"/>
      <c r="C655" s="1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x14ac:dyDescent="0.25">
      <c r="A656" s="2"/>
      <c r="B656" s="2"/>
      <c r="C656" s="1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x14ac:dyDescent="0.25">
      <c r="A657" s="2"/>
      <c r="B657" s="2"/>
      <c r="C657" s="1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x14ac:dyDescent="0.25">
      <c r="A658" s="2"/>
      <c r="B658" s="2"/>
      <c r="C658" s="1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x14ac:dyDescent="0.25">
      <c r="A659" s="2"/>
      <c r="B659" s="2"/>
      <c r="C659" s="1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x14ac:dyDescent="0.25">
      <c r="A660" s="2"/>
      <c r="B660" s="2"/>
      <c r="C660" s="1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x14ac:dyDescent="0.25">
      <c r="A661" s="2"/>
      <c r="B661" s="2"/>
      <c r="C661" s="1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x14ac:dyDescent="0.25">
      <c r="A662" s="2"/>
      <c r="B662" s="2"/>
      <c r="C662" s="1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x14ac:dyDescent="0.25">
      <c r="A663" s="2"/>
      <c r="B663" s="2"/>
      <c r="C663" s="1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x14ac:dyDescent="0.25">
      <c r="A664" s="2"/>
      <c r="B664" s="2"/>
      <c r="C664" s="1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x14ac:dyDescent="0.25">
      <c r="A665" s="2"/>
      <c r="B665" s="2"/>
      <c r="C665" s="1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x14ac:dyDescent="0.25">
      <c r="A666" s="2"/>
      <c r="B666" s="2"/>
      <c r="C666" s="1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x14ac:dyDescent="0.25">
      <c r="A667" s="2"/>
      <c r="B667" s="2"/>
      <c r="C667" s="1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x14ac:dyDescent="0.25">
      <c r="A668" s="2"/>
      <c r="B668" s="2"/>
      <c r="C668" s="1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x14ac:dyDescent="0.25">
      <c r="A669" s="2"/>
      <c r="B669" s="2"/>
      <c r="C669" s="1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x14ac:dyDescent="0.25">
      <c r="A670" s="2"/>
      <c r="B670" s="2"/>
      <c r="C670" s="1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x14ac:dyDescent="0.25">
      <c r="A671" s="2"/>
      <c r="B671" s="2"/>
      <c r="C671" s="1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x14ac:dyDescent="0.25">
      <c r="A672" s="2"/>
      <c r="B672" s="2"/>
      <c r="C672" s="1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x14ac:dyDescent="0.25">
      <c r="A673" s="2"/>
      <c r="B673" s="2"/>
      <c r="C673" s="1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x14ac:dyDescent="0.25">
      <c r="A674" s="2"/>
      <c r="B674" s="2"/>
      <c r="C674" s="1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x14ac:dyDescent="0.25">
      <c r="A675" s="2"/>
      <c r="B675" s="2"/>
      <c r="C675" s="1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x14ac:dyDescent="0.25">
      <c r="A676" s="2"/>
      <c r="B676" s="2"/>
      <c r="C676" s="1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x14ac:dyDescent="0.25">
      <c r="A677" s="2"/>
      <c r="B677" s="2"/>
      <c r="C677" s="1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x14ac:dyDescent="0.25">
      <c r="A678" s="2"/>
      <c r="B678" s="2"/>
      <c r="C678" s="1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x14ac:dyDescent="0.25">
      <c r="A679" s="2"/>
      <c r="B679" s="2"/>
      <c r="C679" s="1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x14ac:dyDescent="0.25">
      <c r="A680" s="2"/>
      <c r="B680" s="2"/>
      <c r="C680" s="1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x14ac:dyDescent="0.25">
      <c r="A681" s="2"/>
      <c r="B681" s="2"/>
      <c r="C681" s="1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x14ac:dyDescent="0.25">
      <c r="A682" s="2"/>
      <c r="B682" s="2"/>
      <c r="C682" s="1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x14ac:dyDescent="0.25">
      <c r="A683" s="2"/>
      <c r="B683" s="2"/>
      <c r="C683" s="1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x14ac:dyDescent="0.25">
      <c r="A684" s="2"/>
      <c r="B684" s="2"/>
      <c r="C684" s="1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x14ac:dyDescent="0.25">
      <c r="A685" s="2"/>
      <c r="B685" s="2"/>
      <c r="C685" s="1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x14ac:dyDescent="0.25">
      <c r="A686" s="2"/>
      <c r="B686" s="2"/>
      <c r="C686" s="1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x14ac:dyDescent="0.25">
      <c r="A687" s="2"/>
      <c r="B687" s="2"/>
      <c r="C687" s="1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x14ac:dyDescent="0.25">
      <c r="A688" s="2"/>
      <c r="B688" s="2"/>
      <c r="C688" s="1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x14ac:dyDescent="0.25">
      <c r="A689" s="2"/>
      <c r="B689" s="2"/>
      <c r="C689" s="1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x14ac:dyDescent="0.25">
      <c r="A690" s="2"/>
      <c r="B690" s="2"/>
      <c r="C690" s="1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x14ac:dyDescent="0.25">
      <c r="A691" s="2"/>
      <c r="B691" s="2"/>
      <c r="C691" s="1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x14ac:dyDescent="0.25">
      <c r="A692" s="2"/>
      <c r="B692" s="2"/>
      <c r="C692" s="1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x14ac:dyDescent="0.25">
      <c r="A693" s="2"/>
      <c r="B693" s="2"/>
      <c r="C693" s="1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x14ac:dyDescent="0.25">
      <c r="A694" s="2"/>
      <c r="B694" s="2"/>
      <c r="C694" s="1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x14ac:dyDescent="0.25">
      <c r="A695" s="2"/>
      <c r="B695" s="2"/>
      <c r="C695" s="1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x14ac:dyDescent="0.25">
      <c r="A696" s="2"/>
      <c r="B696" s="2"/>
      <c r="C696" s="1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x14ac:dyDescent="0.25">
      <c r="A697" s="2"/>
      <c r="B697" s="2"/>
      <c r="C697" s="1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x14ac:dyDescent="0.25">
      <c r="A698" s="2"/>
      <c r="B698" s="2"/>
      <c r="C698" s="1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x14ac:dyDescent="0.25">
      <c r="A699" s="2"/>
      <c r="B699" s="2"/>
      <c r="C699" s="1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x14ac:dyDescent="0.25">
      <c r="A700" s="2"/>
      <c r="B700" s="2"/>
      <c r="C700" s="1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x14ac:dyDescent="0.25">
      <c r="A701" s="2"/>
      <c r="B701" s="2"/>
      <c r="C701" s="1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x14ac:dyDescent="0.25">
      <c r="A702" s="2"/>
      <c r="B702" s="2"/>
      <c r="C702" s="1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x14ac:dyDescent="0.25">
      <c r="A703" s="2"/>
      <c r="B703" s="2"/>
      <c r="C703" s="1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x14ac:dyDescent="0.25">
      <c r="A704" s="2"/>
      <c r="B704" s="2"/>
      <c r="C704" s="1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x14ac:dyDescent="0.25">
      <c r="A705" s="2"/>
      <c r="B705" s="2"/>
      <c r="C705" s="1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x14ac:dyDescent="0.25">
      <c r="A706" s="2"/>
      <c r="B706" s="2"/>
      <c r="C706" s="1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x14ac:dyDescent="0.25">
      <c r="A707" s="2"/>
      <c r="B707" s="2"/>
      <c r="C707" s="1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x14ac:dyDescent="0.25">
      <c r="A708" s="2"/>
      <c r="B708" s="2"/>
      <c r="C708" s="1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x14ac:dyDescent="0.25">
      <c r="A709" s="2"/>
      <c r="B709" s="2"/>
      <c r="C709" s="1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x14ac:dyDescent="0.25">
      <c r="A710" s="2"/>
      <c r="B710" s="2"/>
      <c r="C710" s="1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x14ac:dyDescent="0.25">
      <c r="A711" s="2"/>
      <c r="B711" s="2"/>
      <c r="C711" s="1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x14ac:dyDescent="0.25">
      <c r="A712" s="2"/>
      <c r="B712" s="2"/>
      <c r="C712" s="1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x14ac:dyDescent="0.25">
      <c r="A713" s="2"/>
      <c r="B713" s="2"/>
      <c r="C713" s="1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x14ac:dyDescent="0.25">
      <c r="A714" s="2"/>
      <c r="B714" s="2"/>
      <c r="C714" s="1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x14ac:dyDescent="0.25">
      <c r="A715" s="2"/>
      <c r="B715" s="2"/>
      <c r="C715" s="1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x14ac:dyDescent="0.25">
      <c r="A716" s="2"/>
      <c r="B716" s="2"/>
      <c r="C716" s="1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x14ac:dyDescent="0.25">
      <c r="A717" s="2"/>
      <c r="B717" s="2"/>
      <c r="C717" s="1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x14ac:dyDescent="0.25">
      <c r="A718" s="2"/>
      <c r="B718" s="2"/>
      <c r="C718" s="1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x14ac:dyDescent="0.25">
      <c r="A719" s="2"/>
      <c r="B719" s="2"/>
      <c r="C719" s="1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x14ac:dyDescent="0.25">
      <c r="A720" s="2"/>
      <c r="B720" s="2"/>
      <c r="C720" s="1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x14ac:dyDescent="0.25">
      <c r="A721" s="2"/>
      <c r="B721" s="2"/>
      <c r="C721" s="1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x14ac:dyDescent="0.25">
      <c r="A722" s="2"/>
      <c r="B722" s="2"/>
      <c r="C722" s="1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x14ac:dyDescent="0.25">
      <c r="A723" s="2"/>
      <c r="B723" s="2"/>
      <c r="C723" s="1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x14ac:dyDescent="0.25">
      <c r="A724" s="2"/>
      <c r="B724" s="2"/>
      <c r="C724" s="1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x14ac:dyDescent="0.25">
      <c r="A725" s="2"/>
      <c r="B725" s="2"/>
      <c r="C725" s="1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x14ac:dyDescent="0.25">
      <c r="A726" s="2"/>
      <c r="B726" s="2"/>
      <c r="C726" s="1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x14ac:dyDescent="0.25">
      <c r="A727" s="2"/>
      <c r="B727" s="2"/>
      <c r="C727" s="1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x14ac:dyDescent="0.25">
      <c r="A728" s="2"/>
      <c r="B728" s="2"/>
      <c r="C728" s="1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x14ac:dyDescent="0.25">
      <c r="A729" s="2"/>
      <c r="B729" s="2"/>
      <c r="C729" s="1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x14ac:dyDescent="0.25">
      <c r="A730" s="2"/>
      <c r="B730" s="2"/>
      <c r="C730" s="1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x14ac:dyDescent="0.25">
      <c r="A731" s="2"/>
      <c r="B731" s="2"/>
      <c r="C731" s="1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x14ac:dyDescent="0.25">
      <c r="A732" s="2"/>
      <c r="B732" s="2"/>
      <c r="C732" s="1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x14ac:dyDescent="0.25">
      <c r="A733" s="2"/>
      <c r="B733" s="2"/>
      <c r="C733" s="1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x14ac:dyDescent="0.25">
      <c r="A734" s="2"/>
      <c r="B734" s="2"/>
      <c r="C734" s="1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x14ac:dyDescent="0.25">
      <c r="A735" s="2"/>
      <c r="B735" s="2"/>
      <c r="C735" s="1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x14ac:dyDescent="0.25">
      <c r="A736" s="2"/>
      <c r="B736" s="2"/>
      <c r="C736" s="1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x14ac:dyDescent="0.25">
      <c r="A737" s="2"/>
      <c r="B737" s="2"/>
      <c r="C737" s="1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x14ac:dyDescent="0.25">
      <c r="A738" s="2"/>
      <c r="B738" s="2"/>
      <c r="C738" s="1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x14ac:dyDescent="0.25">
      <c r="A739" s="2"/>
      <c r="B739" s="2"/>
      <c r="C739" s="1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x14ac:dyDescent="0.25">
      <c r="A740" s="2"/>
      <c r="B740" s="2"/>
      <c r="C740" s="1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x14ac:dyDescent="0.25">
      <c r="A741" s="2"/>
      <c r="B741" s="2"/>
      <c r="C741" s="1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x14ac:dyDescent="0.25">
      <c r="A742" s="2"/>
      <c r="B742" s="2"/>
      <c r="C742" s="1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x14ac:dyDescent="0.25">
      <c r="A743" s="2"/>
      <c r="B743" s="2"/>
      <c r="C743" s="1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x14ac:dyDescent="0.25">
      <c r="A744" s="2"/>
      <c r="B744" s="2"/>
      <c r="C744" s="1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x14ac:dyDescent="0.25">
      <c r="A745" s="2"/>
      <c r="B745" s="2"/>
      <c r="C745" s="1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x14ac:dyDescent="0.25">
      <c r="A746" s="2"/>
      <c r="B746" s="2"/>
      <c r="C746" s="1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x14ac:dyDescent="0.25">
      <c r="A747" s="2"/>
      <c r="B747" s="2"/>
      <c r="C747" s="1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x14ac:dyDescent="0.25">
      <c r="A748" s="2"/>
      <c r="B748" s="2"/>
      <c r="C748" s="1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x14ac:dyDescent="0.25">
      <c r="A749" s="2"/>
      <c r="B749" s="2"/>
      <c r="C749" s="1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x14ac:dyDescent="0.25">
      <c r="A750" s="2"/>
      <c r="B750" s="2"/>
      <c r="C750" s="1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x14ac:dyDescent="0.25">
      <c r="A751" s="2"/>
      <c r="B751" s="2"/>
      <c r="C751" s="1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x14ac:dyDescent="0.25">
      <c r="A752" s="2"/>
      <c r="B752" s="2"/>
      <c r="C752" s="1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x14ac:dyDescent="0.25">
      <c r="A753" s="2"/>
      <c r="B753" s="2"/>
      <c r="C753" s="1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x14ac:dyDescent="0.25">
      <c r="A754" s="2"/>
      <c r="B754" s="2"/>
      <c r="C754" s="1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x14ac:dyDescent="0.25">
      <c r="A755" s="2"/>
      <c r="B755" s="2"/>
      <c r="C755" s="1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x14ac:dyDescent="0.25">
      <c r="A756" s="2"/>
      <c r="B756" s="2"/>
      <c r="C756" s="1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x14ac:dyDescent="0.25">
      <c r="A757" s="2"/>
      <c r="B757" s="2"/>
      <c r="C757" s="1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x14ac:dyDescent="0.25">
      <c r="A758" s="2"/>
      <c r="B758" s="2"/>
      <c r="C758" s="1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x14ac:dyDescent="0.25">
      <c r="A759" s="2"/>
      <c r="B759" s="2"/>
      <c r="C759" s="1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x14ac:dyDescent="0.25">
      <c r="A760" s="2"/>
      <c r="B760" s="2"/>
      <c r="C760" s="1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x14ac:dyDescent="0.25">
      <c r="A761" s="2"/>
      <c r="B761" s="2"/>
      <c r="C761" s="1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x14ac:dyDescent="0.25">
      <c r="A762" s="2"/>
      <c r="B762" s="2"/>
      <c r="C762" s="1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x14ac:dyDescent="0.25">
      <c r="A763" s="2"/>
      <c r="B763" s="2"/>
      <c r="C763" s="1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x14ac:dyDescent="0.25">
      <c r="A764" s="2"/>
      <c r="B764" s="2"/>
      <c r="C764" s="1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x14ac:dyDescent="0.25">
      <c r="A765" s="2"/>
      <c r="B765" s="2"/>
      <c r="C765" s="1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x14ac:dyDescent="0.25">
      <c r="A766" s="2"/>
      <c r="B766" s="2"/>
      <c r="C766" s="1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x14ac:dyDescent="0.25">
      <c r="A767" s="2"/>
      <c r="B767" s="2"/>
      <c r="C767" s="1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x14ac:dyDescent="0.25">
      <c r="A768" s="2"/>
      <c r="B768" s="2"/>
      <c r="C768" s="1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x14ac:dyDescent="0.25">
      <c r="A769" s="2"/>
      <c r="B769" s="2"/>
      <c r="C769" s="1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x14ac:dyDescent="0.25">
      <c r="A770" s="2"/>
      <c r="B770" s="2"/>
      <c r="C770" s="1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x14ac:dyDescent="0.25">
      <c r="A771" s="2"/>
      <c r="B771" s="2"/>
      <c r="C771" s="1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x14ac:dyDescent="0.25">
      <c r="A772" s="2"/>
      <c r="B772" s="2"/>
      <c r="C772" s="1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x14ac:dyDescent="0.25">
      <c r="A773" s="2"/>
      <c r="B773" s="2"/>
      <c r="C773" s="1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x14ac:dyDescent="0.25">
      <c r="A774" s="2"/>
      <c r="B774" s="2"/>
      <c r="C774" s="1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x14ac:dyDescent="0.25">
      <c r="A775" s="2"/>
      <c r="B775" s="2"/>
      <c r="C775" s="1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x14ac:dyDescent="0.25">
      <c r="A776" s="2"/>
      <c r="B776" s="2"/>
      <c r="C776" s="1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x14ac:dyDescent="0.25">
      <c r="A777" s="2"/>
      <c r="B777" s="2"/>
      <c r="C777" s="1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x14ac:dyDescent="0.25">
      <c r="A778" s="2"/>
      <c r="B778" s="2"/>
      <c r="C778" s="1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x14ac:dyDescent="0.25">
      <c r="A779" s="2"/>
      <c r="B779" s="2"/>
      <c r="C779" s="1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x14ac:dyDescent="0.25">
      <c r="A780" s="2"/>
      <c r="B780" s="2"/>
      <c r="C780" s="1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x14ac:dyDescent="0.25">
      <c r="A781" s="2"/>
      <c r="B781" s="2"/>
      <c r="C781" s="1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x14ac:dyDescent="0.25">
      <c r="A782" s="2"/>
      <c r="B782" s="2"/>
      <c r="C782" s="1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x14ac:dyDescent="0.25">
      <c r="A783" s="2"/>
      <c r="B783" s="2"/>
      <c r="C783" s="1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x14ac:dyDescent="0.25">
      <c r="A784" s="2"/>
      <c r="B784" s="2"/>
      <c r="C784" s="1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x14ac:dyDescent="0.25">
      <c r="A785" s="2"/>
      <c r="B785" s="2"/>
      <c r="C785" s="1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x14ac:dyDescent="0.25">
      <c r="A786" s="2"/>
      <c r="B786" s="2"/>
      <c r="C786" s="1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x14ac:dyDescent="0.25">
      <c r="A787" s="2"/>
      <c r="B787" s="2"/>
      <c r="C787" s="1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x14ac:dyDescent="0.25">
      <c r="A788" s="2"/>
      <c r="B788" s="2"/>
      <c r="C788" s="1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x14ac:dyDescent="0.25">
      <c r="A789" s="2"/>
      <c r="B789" s="2"/>
      <c r="C789" s="1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x14ac:dyDescent="0.25">
      <c r="A790" s="2"/>
      <c r="B790" s="2"/>
      <c r="C790" s="1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x14ac:dyDescent="0.25">
      <c r="A791" s="2"/>
      <c r="B791" s="2"/>
      <c r="C791" s="1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x14ac:dyDescent="0.25">
      <c r="A792" s="2"/>
      <c r="B792" s="2"/>
      <c r="C792" s="1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x14ac:dyDescent="0.25">
      <c r="A793" s="2"/>
      <c r="B793" s="2"/>
      <c r="C793" s="1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x14ac:dyDescent="0.25">
      <c r="A794" s="2"/>
      <c r="B794" s="2"/>
      <c r="C794" s="1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x14ac:dyDescent="0.25">
      <c r="A795" s="2"/>
      <c r="B795" s="2"/>
      <c r="C795" s="1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x14ac:dyDescent="0.25">
      <c r="A796" s="2"/>
      <c r="B796" s="2"/>
      <c r="C796" s="1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x14ac:dyDescent="0.25">
      <c r="A797" s="2"/>
      <c r="B797" s="2"/>
      <c r="C797" s="1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x14ac:dyDescent="0.25">
      <c r="A798" s="2"/>
      <c r="B798" s="2"/>
      <c r="C798" s="1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x14ac:dyDescent="0.25">
      <c r="A799" s="2"/>
      <c r="B799" s="2"/>
      <c r="C799" s="1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x14ac:dyDescent="0.25">
      <c r="A800" s="2"/>
      <c r="B800" s="2"/>
      <c r="C800" s="1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x14ac:dyDescent="0.25">
      <c r="A801" s="2"/>
      <c r="B801" s="2"/>
      <c r="C801" s="1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x14ac:dyDescent="0.25">
      <c r="A802" s="2"/>
      <c r="B802" s="2"/>
      <c r="C802" s="1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x14ac:dyDescent="0.25">
      <c r="A803" s="2"/>
      <c r="B803" s="2"/>
      <c r="C803" s="1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x14ac:dyDescent="0.25">
      <c r="A804" s="2"/>
      <c r="B804" s="2"/>
      <c r="C804" s="1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x14ac:dyDescent="0.25">
      <c r="A805" s="2"/>
      <c r="B805" s="2"/>
      <c r="C805" s="1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x14ac:dyDescent="0.25">
      <c r="A806" s="2"/>
      <c r="B806" s="2"/>
      <c r="C806" s="1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x14ac:dyDescent="0.25">
      <c r="A807" s="2"/>
      <c r="B807" s="2"/>
      <c r="C807" s="1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x14ac:dyDescent="0.25">
      <c r="A808" s="2"/>
      <c r="B808" s="2"/>
      <c r="C808" s="1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x14ac:dyDescent="0.25">
      <c r="A809" s="2"/>
      <c r="B809" s="2"/>
      <c r="C809" s="1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x14ac:dyDescent="0.25">
      <c r="A810" s="2"/>
      <c r="B810" s="2"/>
      <c r="C810" s="1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x14ac:dyDescent="0.25">
      <c r="A811" s="2"/>
      <c r="B811" s="2"/>
      <c r="C811" s="1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x14ac:dyDescent="0.25">
      <c r="A812" s="2"/>
      <c r="B812" s="2"/>
      <c r="C812" s="1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x14ac:dyDescent="0.25">
      <c r="A813" s="2"/>
      <c r="B813" s="2"/>
      <c r="C813" s="1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x14ac:dyDescent="0.25">
      <c r="A814" s="2"/>
      <c r="B814" s="2"/>
      <c r="C814" s="1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x14ac:dyDescent="0.25">
      <c r="A815" s="2"/>
      <c r="B815" s="2"/>
      <c r="C815" s="1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x14ac:dyDescent="0.25">
      <c r="A816" s="2"/>
      <c r="B816" s="2"/>
      <c r="C816" s="1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x14ac:dyDescent="0.25">
      <c r="A817" s="2"/>
      <c r="B817" s="2"/>
      <c r="C817" s="1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x14ac:dyDescent="0.25">
      <c r="A818" s="2"/>
      <c r="B818" s="2"/>
      <c r="C818" s="1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x14ac:dyDescent="0.25">
      <c r="A819" s="2"/>
      <c r="B819" s="2"/>
      <c r="C819" s="1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x14ac:dyDescent="0.25">
      <c r="A820" s="2"/>
      <c r="B820" s="2"/>
      <c r="C820" s="1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x14ac:dyDescent="0.25">
      <c r="A821" s="2"/>
      <c r="B821" s="2"/>
      <c r="C821" s="1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x14ac:dyDescent="0.25">
      <c r="A822" s="2"/>
      <c r="B822" s="2"/>
      <c r="C822" s="1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x14ac:dyDescent="0.25">
      <c r="A823" s="2"/>
      <c r="B823" s="2"/>
      <c r="C823" s="1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x14ac:dyDescent="0.25">
      <c r="A824" s="2"/>
      <c r="B824" s="2"/>
      <c r="C824" s="1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x14ac:dyDescent="0.25">
      <c r="A825" s="2"/>
      <c r="B825" s="2"/>
      <c r="C825" s="1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x14ac:dyDescent="0.25">
      <c r="A826" s="2"/>
      <c r="B826" s="2"/>
      <c r="C826" s="1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x14ac:dyDescent="0.25">
      <c r="A827" s="2"/>
      <c r="B827" s="2"/>
      <c r="C827" s="1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x14ac:dyDescent="0.25">
      <c r="A828" s="2"/>
      <c r="B828" s="2"/>
      <c r="C828" s="1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x14ac:dyDescent="0.25">
      <c r="A829" s="2"/>
      <c r="B829" s="2"/>
      <c r="C829" s="1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x14ac:dyDescent="0.25">
      <c r="A830" s="2"/>
      <c r="B830" s="2"/>
      <c r="C830" s="1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x14ac:dyDescent="0.25">
      <c r="A831" s="2"/>
      <c r="B831" s="2"/>
      <c r="C831" s="1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x14ac:dyDescent="0.25">
      <c r="A832" s="2"/>
      <c r="B832" s="2"/>
      <c r="C832" s="1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x14ac:dyDescent="0.25">
      <c r="A833" s="2"/>
      <c r="B833" s="2"/>
      <c r="C833" s="1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x14ac:dyDescent="0.25">
      <c r="A834" s="2"/>
      <c r="B834" s="2"/>
      <c r="C834" s="1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x14ac:dyDescent="0.25">
      <c r="A835" s="2"/>
      <c r="B835" s="2"/>
      <c r="C835" s="1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x14ac:dyDescent="0.25">
      <c r="A836" s="2"/>
      <c r="B836" s="2"/>
      <c r="C836" s="1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x14ac:dyDescent="0.25">
      <c r="A837" s="2"/>
      <c r="B837" s="2"/>
      <c r="C837" s="1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x14ac:dyDescent="0.25">
      <c r="A838" s="2"/>
      <c r="B838" s="2"/>
      <c r="C838" s="1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x14ac:dyDescent="0.25">
      <c r="A839" s="2"/>
      <c r="B839" s="2"/>
      <c r="C839" s="1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x14ac:dyDescent="0.25">
      <c r="A840" s="2"/>
      <c r="B840" s="2"/>
      <c r="C840" s="1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x14ac:dyDescent="0.25">
      <c r="A841" s="2"/>
      <c r="B841" s="2"/>
      <c r="C841" s="1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x14ac:dyDescent="0.25">
      <c r="A842" s="2"/>
      <c r="B842" s="2"/>
      <c r="C842" s="1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x14ac:dyDescent="0.25">
      <c r="A843" s="2"/>
      <c r="B843" s="2"/>
      <c r="C843" s="1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x14ac:dyDescent="0.25">
      <c r="A844" s="2"/>
      <c r="B844" s="2"/>
      <c r="C844" s="1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x14ac:dyDescent="0.25">
      <c r="A845" s="2"/>
      <c r="B845" s="2"/>
      <c r="C845" s="1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x14ac:dyDescent="0.25">
      <c r="A846" s="2"/>
      <c r="B846" s="2"/>
      <c r="C846" s="1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x14ac:dyDescent="0.25">
      <c r="A847" s="2"/>
      <c r="B847" s="2"/>
      <c r="C847" s="1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x14ac:dyDescent="0.25">
      <c r="A848" s="2"/>
      <c r="B848" s="2"/>
      <c r="C848" s="1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x14ac:dyDescent="0.25">
      <c r="A849" s="2"/>
      <c r="B849" s="2"/>
      <c r="C849" s="1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x14ac:dyDescent="0.25">
      <c r="A850" s="2"/>
      <c r="B850" s="2"/>
      <c r="C850" s="1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x14ac:dyDescent="0.25">
      <c r="A851" s="2"/>
      <c r="B851" s="2"/>
      <c r="C851" s="1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x14ac:dyDescent="0.25">
      <c r="A852" s="2"/>
      <c r="B852" s="2"/>
      <c r="C852" s="1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x14ac:dyDescent="0.25">
      <c r="A853" s="2"/>
      <c r="B853" s="2"/>
      <c r="C853" s="1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x14ac:dyDescent="0.25">
      <c r="A854" s="2"/>
      <c r="B854" s="2"/>
      <c r="C854" s="1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x14ac:dyDescent="0.25">
      <c r="A855" s="2"/>
      <c r="B855" s="2"/>
      <c r="C855" s="1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x14ac:dyDescent="0.25">
      <c r="A856" s="2"/>
      <c r="B856" s="2"/>
      <c r="C856" s="1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x14ac:dyDescent="0.25">
      <c r="A857" s="2"/>
      <c r="B857" s="2"/>
      <c r="C857" s="1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x14ac:dyDescent="0.25">
      <c r="A858" s="2"/>
      <c r="B858" s="2"/>
      <c r="C858" s="1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x14ac:dyDescent="0.25">
      <c r="A859" s="2"/>
      <c r="B859" s="2"/>
      <c r="C859" s="1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x14ac:dyDescent="0.25">
      <c r="A860" s="2"/>
      <c r="B860" s="2"/>
      <c r="C860" s="1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x14ac:dyDescent="0.25">
      <c r="A861" s="2"/>
      <c r="B861" s="2"/>
      <c r="C861" s="1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x14ac:dyDescent="0.25">
      <c r="A862" s="2"/>
      <c r="B862" s="2"/>
      <c r="C862" s="1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x14ac:dyDescent="0.25">
      <c r="A863" s="2"/>
      <c r="B863" s="2"/>
      <c r="C863" s="1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x14ac:dyDescent="0.25">
      <c r="A864" s="2"/>
      <c r="B864" s="2"/>
      <c r="C864" s="1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x14ac:dyDescent="0.25">
      <c r="A865" s="2"/>
      <c r="B865" s="2"/>
      <c r="C865" s="1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x14ac:dyDescent="0.25">
      <c r="A866" s="2"/>
      <c r="B866" s="2"/>
      <c r="C866" s="1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x14ac:dyDescent="0.25">
      <c r="A867" s="2"/>
      <c r="B867" s="2"/>
      <c r="C867" s="1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x14ac:dyDescent="0.25">
      <c r="A868" s="2"/>
      <c r="B868" s="2"/>
      <c r="C868" s="1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x14ac:dyDescent="0.25">
      <c r="A869" s="2"/>
      <c r="B869" s="2"/>
      <c r="C869" s="1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x14ac:dyDescent="0.25">
      <c r="A870" s="2"/>
      <c r="B870" s="2"/>
      <c r="C870" s="1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x14ac:dyDescent="0.25">
      <c r="A871" s="2"/>
      <c r="B871" s="2"/>
      <c r="C871" s="1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x14ac:dyDescent="0.25">
      <c r="A872" s="2"/>
      <c r="B872" s="2"/>
      <c r="C872" s="1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x14ac:dyDescent="0.25">
      <c r="A873" s="2"/>
      <c r="B873" s="2"/>
      <c r="C873" s="1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x14ac:dyDescent="0.25">
      <c r="A874" s="2"/>
      <c r="B874" s="2"/>
      <c r="C874" s="1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x14ac:dyDescent="0.25">
      <c r="A875" s="2"/>
      <c r="B875" s="2"/>
      <c r="C875" s="1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x14ac:dyDescent="0.25">
      <c r="A876" s="2"/>
      <c r="B876" s="2"/>
      <c r="C876" s="1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x14ac:dyDescent="0.25">
      <c r="A877" s="2"/>
      <c r="B877" s="2"/>
      <c r="C877" s="1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x14ac:dyDescent="0.25">
      <c r="A878" s="2"/>
      <c r="B878" s="2"/>
      <c r="C878" s="1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x14ac:dyDescent="0.25">
      <c r="A879" s="2"/>
      <c r="B879" s="2"/>
      <c r="C879" s="1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x14ac:dyDescent="0.25">
      <c r="A880" s="2"/>
      <c r="B880" s="2"/>
      <c r="C880" s="1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x14ac:dyDescent="0.25">
      <c r="A881" s="2"/>
      <c r="B881" s="2"/>
      <c r="C881" s="1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x14ac:dyDescent="0.25">
      <c r="A882" s="2"/>
      <c r="B882" s="2"/>
      <c r="C882" s="1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x14ac:dyDescent="0.25">
      <c r="A883" s="2"/>
      <c r="B883" s="2"/>
      <c r="C883" s="1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x14ac:dyDescent="0.25">
      <c r="A884" s="2"/>
      <c r="B884" s="2"/>
      <c r="C884" s="1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x14ac:dyDescent="0.25">
      <c r="A885" s="2"/>
      <c r="B885" s="2"/>
      <c r="C885" s="1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x14ac:dyDescent="0.25">
      <c r="A886" s="2"/>
      <c r="B886" s="2"/>
      <c r="C886" s="1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x14ac:dyDescent="0.25">
      <c r="A887" s="2"/>
      <c r="B887" s="2"/>
      <c r="C887" s="1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x14ac:dyDescent="0.25">
      <c r="A888" s="2"/>
      <c r="B888" s="2"/>
      <c r="C888" s="1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x14ac:dyDescent="0.25">
      <c r="A889" s="2"/>
      <c r="B889" s="2"/>
      <c r="C889" s="1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x14ac:dyDescent="0.25">
      <c r="A890" s="2"/>
      <c r="B890" s="2"/>
      <c r="C890" s="1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x14ac:dyDescent="0.25">
      <c r="A891" s="2"/>
      <c r="B891" s="2"/>
      <c r="C891" s="1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x14ac:dyDescent="0.25">
      <c r="A892" s="2"/>
      <c r="B892" s="2"/>
      <c r="C892" s="1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x14ac:dyDescent="0.25">
      <c r="A893" s="2"/>
      <c r="B893" s="2"/>
      <c r="C893" s="1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x14ac:dyDescent="0.25">
      <c r="A894" s="2"/>
      <c r="B894" s="2"/>
      <c r="C894" s="1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x14ac:dyDescent="0.25">
      <c r="A895" s="2"/>
      <c r="B895" s="2"/>
      <c r="C895" s="1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x14ac:dyDescent="0.25">
      <c r="A896" s="2"/>
      <c r="B896" s="2"/>
      <c r="C896" s="1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x14ac:dyDescent="0.25">
      <c r="A897" s="2"/>
      <c r="B897" s="2"/>
      <c r="C897" s="1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x14ac:dyDescent="0.25">
      <c r="A898" s="2"/>
      <c r="B898" s="2"/>
      <c r="C898" s="1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x14ac:dyDescent="0.25">
      <c r="A899" s="2"/>
      <c r="B899" s="2"/>
      <c r="C899" s="1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x14ac:dyDescent="0.25">
      <c r="A900" s="2"/>
      <c r="B900" s="2"/>
      <c r="C900" s="1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x14ac:dyDescent="0.25">
      <c r="A901" s="2"/>
      <c r="B901" s="2"/>
      <c r="C901" s="1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x14ac:dyDescent="0.25">
      <c r="A902" s="2"/>
      <c r="B902" s="2"/>
      <c r="C902" s="1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x14ac:dyDescent="0.25">
      <c r="A903" s="2"/>
      <c r="B903" s="2"/>
      <c r="C903" s="1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x14ac:dyDescent="0.25">
      <c r="A904" s="2"/>
      <c r="B904" s="2"/>
      <c r="C904" s="1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x14ac:dyDescent="0.25">
      <c r="A905" s="2"/>
      <c r="B905" s="2"/>
      <c r="C905" s="1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x14ac:dyDescent="0.25">
      <c r="A906" s="2"/>
      <c r="B906" s="2"/>
      <c r="C906" s="1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x14ac:dyDescent="0.25">
      <c r="A907" s="2"/>
      <c r="B907" s="2"/>
      <c r="C907" s="1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x14ac:dyDescent="0.25">
      <c r="A908" s="2"/>
      <c r="B908" s="2"/>
      <c r="C908" s="1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x14ac:dyDescent="0.25">
      <c r="A909" s="2"/>
      <c r="B909" s="2"/>
      <c r="C909" s="1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x14ac:dyDescent="0.25">
      <c r="A910" s="2"/>
      <c r="B910" s="2"/>
      <c r="C910" s="1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x14ac:dyDescent="0.25">
      <c r="A911" s="2"/>
      <c r="B911" s="2"/>
      <c r="C911" s="1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x14ac:dyDescent="0.25">
      <c r="A912" s="2"/>
      <c r="B912" s="2"/>
      <c r="C912" s="1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x14ac:dyDescent="0.25">
      <c r="A913" s="2"/>
      <c r="B913" s="2"/>
      <c r="C913" s="1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x14ac:dyDescent="0.25">
      <c r="A914" s="2"/>
      <c r="B914" s="2"/>
      <c r="C914" s="1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x14ac:dyDescent="0.25">
      <c r="A915" s="2"/>
      <c r="B915" s="2"/>
      <c r="C915" s="1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x14ac:dyDescent="0.25">
      <c r="A916" s="2"/>
      <c r="B916" s="2"/>
      <c r="C916" s="1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x14ac:dyDescent="0.25">
      <c r="A917" s="2"/>
      <c r="B917" s="2"/>
      <c r="C917" s="1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x14ac:dyDescent="0.25">
      <c r="A918" s="2"/>
      <c r="B918" s="2"/>
      <c r="C918" s="1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x14ac:dyDescent="0.25">
      <c r="A919" s="2"/>
      <c r="B919" s="2"/>
      <c r="C919" s="1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x14ac:dyDescent="0.25">
      <c r="A920" s="2"/>
      <c r="B920" s="2"/>
      <c r="C920" s="1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x14ac:dyDescent="0.25">
      <c r="A921" s="2"/>
      <c r="B921" s="2"/>
      <c r="C921" s="1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x14ac:dyDescent="0.25">
      <c r="A922" s="2"/>
      <c r="B922" s="2"/>
      <c r="C922" s="1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x14ac:dyDescent="0.25">
      <c r="A923" s="2"/>
      <c r="B923" s="2"/>
      <c r="C923" s="1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x14ac:dyDescent="0.25">
      <c r="A924" s="2"/>
      <c r="B924" s="2"/>
      <c r="C924" s="1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x14ac:dyDescent="0.25">
      <c r="A925" s="2"/>
      <c r="B925" s="2"/>
      <c r="C925" s="1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x14ac:dyDescent="0.25">
      <c r="A926" s="2"/>
      <c r="B926" s="2"/>
      <c r="C926" s="1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x14ac:dyDescent="0.25">
      <c r="A927" s="2"/>
      <c r="B927" s="2"/>
      <c r="C927" s="1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x14ac:dyDescent="0.25">
      <c r="A928" s="2"/>
      <c r="B928" s="2"/>
      <c r="C928" s="1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x14ac:dyDescent="0.25">
      <c r="A929" s="2"/>
      <c r="B929" s="2"/>
      <c r="C929" s="1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x14ac:dyDescent="0.25">
      <c r="A930" s="2"/>
      <c r="B930" s="2"/>
      <c r="C930" s="1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x14ac:dyDescent="0.25">
      <c r="A931" s="2"/>
      <c r="B931" s="2"/>
      <c r="C931" s="1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x14ac:dyDescent="0.25">
      <c r="A932" s="2"/>
      <c r="B932" s="2"/>
      <c r="C932" s="1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x14ac:dyDescent="0.25">
      <c r="A933" s="2"/>
      <c r="B933" s="2"/>
      <c r="C933" s="1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x14ac:dyDescent="0.25">
      <c r="A934" s="2"/>
      <c r="B934" s="2"/>
      <c r="C934" s="1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x14ac:dyDescent="0.25">
      <c r="A935" s="2"/>
      <c r="B935" s="2"/>
      <c r="C935" s="1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x14ac:dyDescent="0.25">
      <c r="A936" s="2"/>
      <c r="B936" s="2"/>
      <c r="C936" s="1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x14ac:dyDescent="0.25">
      <c r="A937" s="2"/>
      <c r="B937" s="2"/>
      <c r="C937" s="1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x14ac:dyDescent="0.25">
      <c r="A938" s="2"/>
      <c r="B938" s="2"/>
      <c r="C938" s="1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x14ac:dyDescent="0.25">
      <c r="A939" s="2"/>
      <c r="B939" s="2"/>
      <c r="C939" s="1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x14ac:dyDescent="0.25">
      <c r="A940" s="2"/>
      <c r="B940" s="2"/>
      <c r="C940" s="1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x14ac:dyDescent="0.25">
      <c r="A941" s="2"/>
      <c r="B941" s="2"/>
      <c r="C941" s="1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x14ac:dyDescent="0.25">
      <c r="A942" s="2"/>
      <c r="B942" s="2"/>
      <c r="C942" s="1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x14ac:dyDescent="0.25">
      <c r="A943" s="2"/>
      <c r="B943" s="2"/>
      <c r="C943" s="1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x14ac:dyDescent="0.25">
      <c r="A944" s="2"/>
      <c r="B944" s="2"/>
      <c r="C944" s="1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x14ac:dyDescent="0.25">
      <c r="A945" s="2"/>
      <c r="B945" s="2"/>
      <c r="C945" s="1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x14ac:dyDescent="0.25">
      <c r="A946" s="2"/>
      <c r="B946" s="2"/>
      <c r="C946" s="1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x14ac:dyDescent="0.25">
      <c r="A947" s="2"/>
      <c r="B947" s="2"/>
      <c r="C947" s="1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x14ac:dyDescent="0.25">
      <c r="A948" s="2"/>
      <c r="B948" s="2"/>
      <c r="C948" s="1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x14ac:dyDescent="0.25">
      <c r="A949" s="2"/>
      <c r="B949" s="2"/>
      <c r="C949" s="1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x14ac:dyDescent="0.25">
      <c r="A950" s="2"/>
      <c r="B950" s="2"/>
      <c r="C950" s="1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x14ac:dyDescent="0.25">
      <c r="A951" s="2"/>
      <c r="B951" s="2"/>
      <c r="C951" s="1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x14ac:dyDescent="0.25">
      <c r="A952" s="2"/>
      <c r="B952" s="2"/>
      <c r="C952" s="1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x14ac:dyDescent="0.25">
      <c r="A953" s="2"/>
      <c r="B953" s="2"/>
      <c r="C953" s="1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x14ac:dyDescent="0.25">
      <c r="A954" s="2"/>
      <c r="B954" s="2"/>
      <c r="C954" s="1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x14ac:dyDescent="0.25">
      <c r="A955" s="2"/>
      <c r="B955" s="2"/>
      <c r="C955" s="1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x14ac:dyDescent="0.25">
      <c r="A956" s="2"/>
      <c r="B956" s="2"/>
      <c r="C956" s="1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x14ac:dyDescent="0.25">
      <c r="A957" s="2"/>
      <c r="B957" s="2"/>
      <c r="C957" s="1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x14ac:dyDescent="0.25">
      <c r="A958" s="2"/>
      <c r="B958" s="2"/>
      <c r="C958" s="1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x14ac:dyDescent="0.25">
      <c r="A959" s="2"/>
      <c r="B959" s="2"/>
      <c r="C959" s="1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x14ac:dyDescent="0.25">
      <c r="A960" s="2"/>
      <c r="B960" s="2"/>
      <c r="C960" s="1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x14ac:dyDescent="0.25">
      <c r="A961" s="2"/>
      <c r="B961" s="2"/>
      <c r="C961" s="1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x14ac:dyDescent="0.25">
      <c r="A962" s="2"/>
      <c r="B962" s="2"/>
      <c r="C962" s="1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x14ac:dyDescent="0.25">
      <c r="A963" s="2"/>
      <c r="B963" s="2"/>
      <c r="C963" s="1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x14ac:dyDescent="0.25">
      <c r="A964" s="2"/>
      <c r="B964" s="2"/>
      <c r="C964" s="1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x14ac:dyDescent="0.25">
      <c r="A965" s="2"/>
      <c r="B965" s="2"/>
      <c r="C965" s="1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x14ac:dyDescent="0.25">
      <c r="A966" s="2"/>
      <c r="B966" s="2"/>
      <c r="C966" s="1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x14ac:dyDescent="0.25">
      <c r="A967" s="2"/>
      <c r="B967" s="2"/>
      <c r="C967" s="1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x14ac:dyDescent="0.25">
      <c r="A968" s="2"/>
      <c r="B968" s="2"/>
      <c r="C968" s="1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x14ac:dyDescent="0.25">
      <c r="A969" s="2"/>
      <c r="B969" s="2"/>
      <c r="C969" s="1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x14ac:dyDescent="0.25">
      <c r="A970" s="2"/>
      <c r="B970" s="2"/>
      <c r="C970" s="1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x14ac:dyDescent="0.25">
      <c r="A971" s="2"/>
      <c r="B971" s="2"/>
      <c r="C971" s="1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x14ac:dyDescent="0.25">
      <c r="A972" s="2"/>
      <c r="B972" s="2"/>
      <c r="C972" s="1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x14ac:dyDescent="0.25">
      <c r="A973" s="2"/>
      <c r="B973" s="2"/>
      <c r="C973" s="1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x14ac:dyDescent="0.25">
      <c r="A974" s="2"/>
      <c r="B974" s="2"/>
      <c r="C974" s="1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x14ac:dyDescent="0.25">
      <c r="A975" s="2"/>
      <c r="B975" s="2"/>
      <c r="C975" s="1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x14ac:dyDescent="0.25">
      <c r="A976" s="2"/>
      <c r="B976" s="2"/>
      <c r="C976" s="1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x14ac:dyDescent="0.25">
      <c r="A977" s="2"/>
      <c r="B977" s="2"/>
      <c r="C977" s="1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x14ac:dyDescent="0.25">
      <c r="A978" s="2"/>
      <c r="B978" s="2"/>
      <c r="C978" s="1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x14ac:dyDescent="0.25">
      <c r="A979" s="2"/>
      <c r="B979" s="2"/>
      <c r="C979" s="1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x14ac:dyDescent="0.25">
      <c r="A980" s="2"/>
      <c r="B980" s="2"/>
      <c r="C980" s="1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x14ac:dyDescent="0.25">
      <c r="A981" s="2"/>
      <c r="B981" s="2"/>
      <c r="C981" s="1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x14ac:dyDescent="0.25">
      <c r="A982" s="2"/>
      <c r="B982" s="2"/>
      <c r="C982" s="1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x14ac:dyDescent="0.25">
      <c r="A983" s="2"/>
      <c r="B983" s="2"/>
      <c r="C983" s="1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x14ac:dyDescent="0.25">
      <c r="A984" s="2"/>
      <c r="B984" s="2"/>
      <c r="C984" s="1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x14ac:dyDescent="0.25">
      <c r="A985" s="2"/>
      <c r="B985" s="2"/>
      <c r="C985" s="1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x14ac:dyDescent="0.25">
      <c r="A986" s="2"/>
      <c r="B986" s="2"/>
      <c r="C986" s="1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x14ac:dyDescent="0.25">
      <c r="A987" s="2"/>
      <c r="B987" s="2"/>
      <c r="C987" s="1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x14ac:dyDescent="0.25">
      <c r="A988" s="2"/>
      <c r="B988" s="2"/>
      <c r="C988" s="1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x14ac:dyDescent="0.25">
      <c r="A989" s="2"/>
      <c r="B989" s="2"/>
      <c r="C989" s="1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x14ac:dyDescent="0.25">
      <c r="A990" s="2"/>
      <c r="B990" s="2"/>
      <c r="C990" s="1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x14ac:dyDescent="0.25">
      <c r="A991" s="2"/>
      <c r="B991" s="2"/>
      <c r="C991" s="1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x14ac:dyDescent="0.25">
      <c r="A992" s="2"/>
      <c r="B992" s="2"/>
      <c r="C992" s="1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x14ac:dyDescent="0.25">
      <c r="A993" s="2"/>
      <c r="B993" s="2"/>
      <c r="C993" s="1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x14ac:dyDescent="0.25">
      <c r="A994" s="2"/>
      <c r="B994" s="2"/>
      <c r="C994" s="1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x14ac:dyDescent="0.25">
      <c r="A995" s="2"/>
      <c r="B995" s="2"/>
      <c r="C995" s="1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x14ac:dyDescent="0.25">
      <c r="A996" s="2"/>
      <c r="B996" s="2"/>
      <c r="C996" s="1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x14ac:dyDescent="0.25">
      <c r="A997" s="2"/>
      <c r="B997" s="2"/>
      <c r="C997" s="1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x14ac:dyDescent="0.25">
      <c r="A998" s="2"/>
      <c r="B998" s="2"/>
      <c r="C998" s="1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x14ac:dyDescent="0.25">
      <c r="A999" s="2"/>
      <c r="B999" s="2"/>
      <c r="C999" s="1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x14ac:dyDescent="0.25">
      <c r="A1000" s="2"/>
      <c r="B1000" s="2"/>
      <c r="C1000" s="1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  <row r="1001" spans="1:23" x14ac:dyDescent="0.25">
      <c r="A1001" s="2"/>
      <c r="B1001" s="2"/>
      <c r="C1001" s="1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</row>
    <row r="1002" spans="1:23" x14ac:dyDescent="0.25">
      <c r="A1002" s="2"/>
      <c r="B1002" s="2"/>
      <c r="C1002" s="1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</row>
    <row r="1003" spans="1:23" x14ac:dyDescent="0.25">
      <c r="A1003" s="2"/>
      <c r="B1003" s="2"/>
      <c r="C1003" s="1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</row>
    <row r="1004" spans="1:23" x14ac:dyDescent="0.25">
      <c r="A1004" s="2"/>
      <c r="B1004" s="2"/>
      <c r="C1004" s="1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</row>
    <row r="1005" spans="1:23" x14ac:dyDescent="0.25">
      <c r="A1005" s="2"/>
      <c r="B1005" s="2"/>
      <c r="C1005" s="1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</row>
    <row r="1006" spans="1:23" x14ac:dyDescent="0.25">
      <c r="A1006" s="2"/>
      <c r="B1006" s="2"/>
      <c r="C1006" s="1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</row>
    <row r="1007" spans="1:23" x14ac:dyDescent="0.25">
      <c r="A1007" s="2"/>
      <c r="B1007" s="2"/>
      <c r="C1007" s="1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</row>
    <row r="1008" spans="1:23" x14ac:dyDescent="0.25">
      <c r="A1008" s="2"/>
      <c r="B1008" s="2"/>
      <c r="C1008" s="1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</row>
    <row r="1009" spans="1:23" x14ac:dyDescent="0.25">
      <c r="A1009" s="2"/>
      <c r="B1009" s="2"/>
      <c r="C1009" s="1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</row>
    <row r="1010" spans="1:23" x14ac:dyDescent="0.25">
      <c r="A1010" s="2"/>
      <c r="B1010" s="2"/>
      <c r="C1010" s="1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</row>
    <row r="1011" spans="1:23" x14ac:dyDescent="0.25">
      <c r="A1011" s="2"/>
      <c r="B1011" s="2"/>
      <c r="C1011" s="1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</row>
    <row r="1012" spans="1:23" x14ac:dyDescent="0.25">
      <c r="A1012" s="2"/>
      <c r="B1012" s="2"/>
      <c r="C1012" s="1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</row>
    <row r="1013" spans="1:23" x14ac:dyDescent="0.25">
      <c r="A1013" s="2"/>
      <c r="B1013" s="2"/>
      <c r="C1013" s="1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</row>
    <row r="1014" spans="1:23" x14ac:dyDescent="0.25">
      <c r="A1014" s="2"/>
      <c r="B1014" s="2"/>
      <c r="C1014" s="1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</row>
    <row r="1015" spans="1:23" x14ac:dyDescent="0.25">
      <c r="A1015" s="2"/>
      <c r="B1015" s="2"/>
      <c r="C1015" s="1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</row>
    <row r="1016" spans="1:23" x14ac:dyDescent="0.25">
      <c r="A1016" s="2"/>
      <c r="B1016" s="2"/>
      <c r="C1016" s="1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</row>
    <row r="1017" spans="1:23" x14ac:dyDescent="0.25">
      <c r="A1017" s="2"/>
      <c r="B1017" s="2"/>
      <c r="C1017" s="1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</row>
    <row r="1018" spans="1:23" x14ac:dyDescent="0.25">
      <c r="A1018" s="2"/>
      <c r="B1018" s="2"/>
      <c r="C1018" s="1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</row>
    <row r="1019" spans="1:23" x14ac:dyDescent="0.25">
      <c r="A1019" s="2"/>
      <c r="B1019" s="2"/>
      <c r="C1019" s="1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</row>
    <row r="1020" spans="1:23" x14ac:dyDescent="0.25">
      <c r="A1020" s="2"/>
      <c r="B1020" s="2"/>
      <c r="C1020" s="1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</row>
    <row r="1021" spans="1:23" x14ac:dyDescent="0.25">
      <c r="A1021" s="2"/>
      <c r="B1021" s="2"/>
      <c r="C1021" s="1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</row>
    <row r="1022" spans="1:23" x14ac:dyDescent="0.25">
      <c r="A1022" s="2"/>
      <c r="B1022" s="2"/>
      <c r="C1022" s="1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</row>
    <row r="1023" spans="1:23" x14ac:dyDescent="0.25">
      <c r="A1023" s="2"/>
      <c r="B1023" s="2"/>
      <c r="C1023" s="1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</row>
    <row r="1024" spans="1:23" x14ac:dyDescent="0.25">
      <c r="A1024" s="2"/>
      <c r="B1024" s="2"/>
      <c r="C1024" s="1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</row>
    <row r="1025" spans="1:23" x14ac:dyDescent="0.25">
      <c r="A1025" s="2"/>
      <c r="B1025" s="2"/>
      <c r="C1025" s="1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</row>
    <row r="1026" spans="1:23" x14ac:dyDescent="0.25">
      <c r="A1026" s="2"/>
      <c r="B1026" s="2"/>
      <c r="C1026" s="1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</row>
    <row r="1027" spans="1:23" x14ac:dyDescent="0.25">
      <c r="A1027" s="2"/>
      <c r="B1027" s="2"/>
      <c r="C1027" s="1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</row>
    <row r="1028" spans="1:23" x14ac:dyDescent="0.25">
      <c r="A1028" s="2"/>
      <c r="B1028" s="2"/>
      <c r="C1028" s="1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</row>
    <row r="1029" spans="1:23" x14ac:dyDescent="0.25">
      <c r="A1029" s="2"/>
      <c r="B1029" s="2"/>
      <c r="C1029" s="1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</row>
    <row r="1030" spans="1:23" x14ac:dyDescent="0.25">
      <c r="A1030" s="2"/>
      <c r="B1030" s="2"/>
      <c r="C1030" s="1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</row>
    <row r="1031" spans="1:23" x14ac:dyDescent="0.25">
      <c r="A1031" s="2"/>
      <c r="B1031" s="2"/>
      <c r="C1031" s="1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</row>
    <row r="1032" spans="1:23" x14ac:dyDescent="0.25">
      <c r="A1032" s="2"/>
      <c r="B1032" s="2"/>
      <c r="C1032" s="1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</row>
    <row r="1033" spans="1:23" x14ac:dyDescent="0.25">
      <c r="A1033" s="2"/>
      <c r="B1033" s="2"/>
      <c r="C1033" s="1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</row>
    <row r="1034" spans="1:23" x14ac:dyDescent="0.25">
      <c r="A1034" s="2"/>
      <c r="B1034" s="2"/>
      <c r="C1034" s="1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</row>
    <row r="1035" spans="1:23" x14ac:dyDescent="0.25">
      <c r="A1035" s="2"/>
      <c r="B1035" s="2"/>
      <c r="C1035" s="1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</row>
    <row r="1036" spans="1:23" x14ac:dyDescent="0.25">
      <c r="A1036" s="2"/>
      <c r="B1036" s="2"/>
      <c r="C1036" s="1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</row>
    <row r="1037" spans="1:23" x14ac:dyDescent="0.25">
      <c r="A1037" s="2"/>
      <c r="B1037" s="2"/>
      <c r="C1037" s="1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</row>
    <row r="1038" spans="1:23" x14ac:dyDescent="0.25">
      <c r="A1038" s="2"/>
      <c r="B1038" s="2"/>
      <c r="C1038" s="1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</row>
    <row r="1039" spans="1:23" x14ac:dyDescent="0.25">
      <c r="A1039" s="2"/>
      <c r="B1039" s="2"/>
      <c r="C1039" s="1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</row>
    <row r="1040" spans="1:23" x14ac:dyDescent="0.25">
      <c r="A1040" s="2"/>
      <c r="B1040" s="2"/>
      <c r="C1040" s="1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</row>
    <row r="1041" spans="1:23" x14ac:dyDescent="0.25">
      <c r="A1041" s="2"/>
      <c r="B1041" s="2"/>
      <c r="C1041" s="1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</row>
    <row r="1042" spans="1:23" x14ac:dyDescent="0.25">
      <c r="A1042" s="2"/>
      <c r="B1042" s="2"/>
      <c r="C1042" s="1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</row>
    <row r="1043" spans="1:23" x14ac:dyDescent="0.25">
      <c r="A1043" s="2"/>
      <c r="B1043" s="2"/>
      <c r="C1043" s="1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</row>
    <row r="1044" spans="1:23" x14ac:dyDescent="0.25">
      <c r="A1044" s="2"/>
      <c r="B1044" s="2"/>
      <c r="C1044" s="1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</row>
    <row r="1045" spans="1:23" x14ac:dyDescent="0.25">
      <c r="A1045" s="2"/>
      <c r="B1045" s="2"/>
      <c r="C1045" s="1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</row>
    <row r="1046" spans="1:23" x14ac:dyDescent="0.25">
      <c r="A1046" s="2"/>
      <c r="B1046" s="2"/>
      <c r="C1046" s="1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</row>
    <row r="1047" spans="1:23" x14ac:dyDescent="0.25">
      <c r="A1047" s="2"/>
      <c r="B1047" s="2"/>
      <c r="C1047" s="1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</row>
    <row r="1048" spans="1:23" x14ac:dyDescent="0.25">
      <c r="A1048" s="2"/>
      <c r="B1048" s="2"/>
      <c r="C1048" s="1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</row>
    <row r="1049" spans="1:23" x14ac:dyDescent="0.25">
      <c r="A1049" s="2"/>
      <c r="B1049" s="2"/>
      <c r="C1049" s="1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</row>
    <row r="1050" spans="1:23" x14ac:dyDescent="0.25">
      <c r="A1050" s="2"/>
      <c r="B1050" s="2"/>
      <c r="C1050" s="1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</row>
    <row r="1051" spans="1:23" x14ac:dyDescent="0.25">
      <c r="A1051" s="2"/>
      <c r="B1051" s="2"/>
      <c r="C1051" s="1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</row>
    <row r="1052" spans="1:23" x14ac:dyDescent="0.25">
      <c r="A1052" s="2"/>
      <c r="B1052" s="2"/>
      <c r="C1052" s="1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</row>
    <row r="1053" spans="1:23" x14ac:dyDescent="0.25">
      <c r="A1053" s="2"/>
      <c r="B1053" s="2"/>
      <c r="C1053" s="1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</row>
    <row r="1054" spans="1:23" x14ac:dyDescent="0.25">
      <c r="A1054" s="2"/>
      <c r="B1054" s="2"/>
      <c r="C1054" s="1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</row>
    <row r="1055" spans="1:23" x14ac:dyDescent="0.25">
      <c r="A1055" s="2"/>
      <c r="B1055" s="2"/>
      <c r="C1055" s="1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</row>
    <row r="1056" spans="1:23" x14ac:dyDescent="0.25">
      <c r="A1056" s="2"/>
      <c r="B1056" s="2"/>
      <c r="C1056" s="1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</row>
    <row r="1057" spans="1:23" x14ac:dyDescent="0.25">
      <c r="A1057" s="2"/>
      <c r="B1057" s="2"/>
      <c r="C1057" s="1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</row>
    <row r="1058" spans="1:23" x14ac:dyDescent="0.25">
      <c r="A1058" s="2"/>
      <c r="B1058" s="2"/>
      <c r="C1058" s="1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</row>
    <row r="1059" spans="1:23" x14ac:dyDescent="0.25">
      <c r="A1059" s="2"/>
      <c r="B1059" s="2"/>
      <c r="C1059" s="1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</row>
    <row r="1060" spans="1:23" x14ac:dyDescent="0.25">
      <c r="A1060" s="2"/>
      <c r="B1060" s="2"/>
      <c r="C1060" s="1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</row>
    <row r="1061" spans="1:23" x14ac:dyDescent="0.25">
      <c r="A1061" s="2"/>
      <c r="B1061" s="2"/>
      <c r="C1061" s="1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</row>
    <row r="1062" spans="1:23" x14ac:dyDescent="0.25">
      <c r="A1062" s="2"/>
      <c r="B1062" s="2"/>
      <c r="C1062" s="1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</row>
    <row r="1063" spans="1:23" x14ac:dyDescent="0.25">
      <c r="A1063" s="2"/>
      <c r="B1063" s="2"/>
      <c r="C1063" s="1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</row>
    <row r="1064" spans="1:23" x14ac:dyDescent="0.25">
      <c r="A1064" s="2"/>
      <c r="B1064" s="2"/>
      <c r="C1064" s="1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</row>
    <row r="1065" spans="1:23" x14ac:dyDescent="0.25">
      <c r="A1065" s="2"/>
      <c r="B1065" s="2"/>
      <c r="C1065" s="1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</row>
    <row r="1066" spans="1:23" x14ac:dyDescent="0.25">
      <c r="A1066" s="2"/>
      <c r="B1066" s="2"/>
      <c r="C1066" s="1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</row>
    <row r="1067" spans="1:23" x14ac:dyDescent="0.25">
      <c r="A1067" s="2"/>
      <c r="B1067" s="2"/>
      <c r="C1067" s="1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</row>
    <row r="1068" spans="1:23" x14ac:dyDescent="0.25">
      <c r="A1068" s="2"/>
      <c r="B1068" s="2"/>
      <c r="C1068" s="1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</row>
    <row r="1069" spans="1:23" x14ac:dyDescent="0.25">
      <c r="A1069" s="2"/>
      <c r="B1069" s="2"/>
      <c r="C1069" s="1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</row>
    <row r="1070" spans="1:23" x14ac:dyDescent="0.25">
      <c r="A1070" s="2"/>
      <c r="B1070" s="2"/>
      <c r="C1070" s="1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</row>
    <row r="1071" spans="1:23" x14ac:dyDescent="0.25">
      <c r="A1071" s="2"/>
      <c r="B1071" s="2"/>
      <c r="C1071" s="1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</row>
    <row r="1072" spans="1:23" x14ac:dyDescent="0.25">
      <c r="A1072" s="2"/>
      <c r="B1072" s="2"/>
      <c r="C1072" s="1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</row>
    <row r="1073" spans="1:23" x14ac:dyDescent="0.25">
      <c r="A1073" s="2"/>
      <c r="B1073" s="2"/>
      <c r="C1073" s="1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</row>
    <row r="1074" spans="1:23" x14ac:dyDescent="0.25">
      <c r="A1074" s="2"/>
      <c r="B1074" s="2"/>
      <c r="C1074" s="1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</row>
    <row r="1075" spans="1:23" x14ac:dyDescent="0.25">
      <c r="A1075" s="2"/>
      <c r="B1075" s="2"/>
      <c r="C1075" s="1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</row>
    <row r="1076" spans="1:23" x14ac:dyDescent="0.25">
      <c r="A1076" s="2"/>
      <c r="B1076" s="2"/>
      <c r="C1076" s="1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</row>
    <row r="1077" spans="1:23" x14ac:dyDescent="0.25">
      <c r="A1077" s="2"/>
      <c r="B1077" s="2"/>
      <c r="C1077" s="1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</row>
    <row r="1078" spans="1:23" x14ac:dyDescent="0.25">
      <c r="A1078" s="2"/>
      <c r="B1078" s="2"/>
      <c r="C1078" s="1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</row>
    <row r="1079" spans="1:23" x14ac:dyDescent="0.25">
      <c r="A1079" s="2"/>
      <c r="B1079" s="2"/>
      <c r="C1079" s="1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</row>
    <row r="1080" spans="1:23" x14ac:dyDescent="0.25">
      <c r="A1080" s="2"/>
      <c r="B1080" s="2"/>
      <c r="C1080" s="1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</row>
    <row r="1081" spans="1:23" x14ac:dyDescent="0.25">
      <c r="A1081" s="2"/>
      <c r="B1081" s="2"/>
      <c r="C1081" s="1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</row>
    <row r="1082" spans="1:23" x14ac:dyDescent="0.25">
      <c r="A1082" s="2"/>
      <c r="B1082" s="2"/>
      <c r="C1082" s="1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</row>
    <row r="1083" spans="1:23" x14ac:dyDescent="0.25">
      <c r="A1083" s="2"/>
      <c r="B1083" s="2"/>
      <c r="C1083" s="1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</row>
    <row r="1084" spans="1:23" x14ac:dyDescent="0.25">
      <c r="A1084" s="2"/>
      <c r="B1084" s="2"/>
      <c r="C1084" s="1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</row>
    <row r="1085" spans="1:23" x14ac:dyDescent="0.25">
      <c r="A1085" s="2"/>
      <c r="B1085" s="2"/>
      <c r="C1085" s="1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</row>
    <row r="1086" spans="1:23" x14ac:dyDescent="0.25">
      <c r="A1086" s="2"/>
      <c r="B1086" s="2"/>
      <c r="C1086" s="1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</row>
    <row r="1087" spans="1:23" x14ac:dyDescent="0.25">
      <c r="A1087" s="2"/>
      <c r="B1087" s="2"/>
      <c r="C1087" s="1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</row>
    <row r="1088" spans="1:23" x14ac:dyDescent="0.25">
      <c r="A1088" s="2"/>
      <c r="B1088" s="2"/>
      <c r="C1088" s="1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</row>
    <row r="1089" spans="1:23" x14ac:dyDescent="0.25">
      <c r="A1089" s="2"/>
      <c r="B1089" s="2"/>
      <c r="C1089" s="1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</row>
    <row r="1090" spans="1:23" x14ac:dyDescent="0.25">
      <c r="A1090" s="2"/>
      <c r="B1090" s="2"/>
      <c r="C1090" s="1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</row>
    <row r="1091" spans="1:23" x14ac:dyDescent="0.25">
      <c r="A1091" s="2"/>
      <c r="B1091" s="2"/>
      <c r="C1091" s="1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</row>
    <row r="1092" spans="1:23" x14ac:dyDescent="0.25">
      <c r="A1092" s="2"/>
      <c r="B1092" s="2"/>
      <c r="C1092" s="1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</row>
    <row r="1093" spans="1:23" x14ac:dyDescent="0.25">
      <c r="A1093" s="2"/>
      <c r="B1093" s="2"/>
      <c r="C1093" s="1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</row>
    <row r="1094" spans="1:23" x14ac:dyDescent="0.25">
      <c r="A1094" s="2"/>
      <c r="B1094" s="2"/>
      <c r="C1094" s="1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</row>
    <row r="1095" spans="1:23" x14ac:dyDescent="0.25">
      <c r="A1095" s="2"/>
      <c r="B1095" s="2"/>
      <c r="C1095" s="1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</row>
    <row r="1096" spans="1:23" x14ac:dyDescent="0.25">
      <c r="A1096" s="2"/>
      <c r="B1096" s="2"/>
      <c r="C1096" s="1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</row>
    <row r="1097" spans="1:23" x14ac:dyDescent="0.25">
      <c r="A1097" s="2"/>
      <c r="B1097" s="2"/>
      <c r="C1097" s="1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</row>
    <row r="1098" spans="1:23" x14ac:dyDescent="0.25">
      <c r="A1098" s="2"/>
      <c r="B1098" s="2"/>
      <c r="C1098" s="1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</row>
    <row r="1099" spans="1:23" x14ac:dyDescent="0.25">
      <c r="A1099" s="2"/>
      <c r="B1099" s="2"/>
      <c r="C1099" s="1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</row>
    <row r="1100" spans="1:23" x14ac:dyDescent="0.25">
      <c r="A1100" s="2"/>
      <c r="B1100" s="2"/>
      <c r="C1100" s="1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</row>
    <row r="1101" spans="1:23" x14ac:dyDescent="0.25">
      <c r="A1101" s="2"/>
      <c r="B1101" s="2"/>
      <c r="C1101" s="1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</row>
    <row r="1102" spans="1:23" x14ac:dyDescent="0.25">
      <c r="A1102" s="2"/>
      <c r="B1102" s="2"/>
      <c r="C1102" s="1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</row>
    <row r="1103" spans="1:23" x14ac:dyDescent="0.25">
      <c r="A1103" s="2"/>
      <c r="B1103" s="2"/>
      <c r="C1103" s="1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</row>
    <row r="1104" spans="1:23" x14ac:dyDescent="0.25">
      <c r="A1104" s="2"/>
      <c r="B1104" s="2"/>
      <c r="C1104" s="1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</row>
    <row r="1105" spans="1:23" x14ac:dyDescent="0.25">
      <c r="A1105" s="2"/>
      <c r="B1105" s="2"/>
      <c r="C1105" s="1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</row>
    <row r="1106" spans="1:23" x14ac:dyDescent="0.25">
      <c r="A1106" s="2"/>
      <c r="B1106" s="2"/>
      <c r="C1106" s="1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</row>
    <row r="1107" spans="1:23" x14ac:dyDescent="0.25">
      <c r="A1107" s="2"/>
      <c r="B1107" s="2"/>
      <c r="C1107" s="1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</row>
    <row r="1108" spans="1:23" x14ac:dyDescent="0.25">
      <c r="A1108" s="2"/>
      <c r="B1108" s="2"/>
      <c r="C1108" s="1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</row>
    <row r="1109" spans="1:23" x14ac:dyDescent="0.25">
      <c r="A1109" s="2"/>
      <c r="B1109" s="2"/>
      <c r="C1109" s="1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</row>
    <row r="1110" spans="1:23" x14ac:dyDescent="0.25">
      <c r="A1110" s="2"/>
      <c r="B1110" s="2"/>
      <c r="C1110" s="1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</row>
    <row r="1111" spans="1:23" x14ac:dyDescent="0.25">
      <c r="A1111" s="2"/>
      <c r="B1111" s="2"/>
      <c r="C1111" s="1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</row>
    <row r="1112" spans="1:23" x14ac:dyDescent="0.25">
      <c r="A1112" s="2"/>
      <c r="B1112" s="2"/>
      <c r="C1112" s="1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</row>
    <row r="1113" spans="1:23" x14ac:dyDescent="0.25">
      <c r="A1113" s="2"/>
      <c r="B1113" s="2"/>
      <c r="C1113" s="1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</row>
    <row r="1114" spans="1:23" x14ac:dyDescent="0.25">
      <c r="A1114" s="2"/>
      <c r="B1114" s="2"/>
      <c r="C1114" s="1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</row>
    <row r="1115" spans="1:23" x14ac:dyDescent="0.25">
      <c r="A1115" s="2"/>
      <c r="B1115" s="2"/>
      <c r="C1115" s="1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</row>
    <row r="1116" spans="1:23" x14ac:dyDescent="0.25">
      <c r="A1116" s="2"/>
      <c r="B1116" s="2"/>
      <c r="C1116" s="1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</row>
    <row r="1117" spans="1:23" x14ac:dyDescent="0.25">
      <c r="A1117" s="2"/>
      <c r="B1117" s="2"/>
      <c r="C1117" s="1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</row>
    <row r="1118" spans="1:23" x14ac:dyDescent="0.25">
      <c r="A1118" s="2"/>
      <c r="B1118" s="2"/>
      <c r="C1118" s="1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</row>
    <row r="1119" spans="1:23" x14ac:dyDescent="0.25">
      <c r="A1119" s="2"/>
      <c r="B1119" s="2"/>
      <c r="C1119" s="1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</row>
    <row r="1120" spans="1:23" x14ac:dyDescent="0.25">
      <c r="A1120" s="2"/>
      <c r="B1120" s="2"/>
      <c r="C1120" s="1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</row>
    <row r="1121" spans="1:23" x14ac:dyDescent="0.25">
      <c r="A1121" s="2"/>
      <c r="B1121" s="2"/>
      <c r="C1121" s="1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</row>
    <row r="1122" spans="1:23" x14ac:dyDescent="0.25">
      <c r="A1122" s="2"/>
      <c r="B1122" s="2"/>
      <c r="C1122" s="1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</row>
    <row r="1123" spans="1:23" x14ac:dyDescent="0.25">
      <c r="A1123" s="2"/>
      <c r="B1123" s="2"/>
      <c r="C1123" s="1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</row>
    <row r="1124" spans="1:23" x14ac:dyDescent="0.25">
      <c r="A1124" s="2"/>
      <c r="B1124" s="2"/>
      <c r="C1124" s="1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</row>
    <row r="1125" spans="1:23" x14ac:dyDescent="0.25">
      <c r="A1125" s="2"/>
      <c r="B1125" s="2"/>
      <c r="C1125" s="1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</row>
    <row r="1126" spans="1:23" x14ac:dyDescent="0.25">
      <c r="A1126" s="2"/>
      <c r="B1126" s="2"/>
      <c r="C1126" s="1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</row>
    <row r="1127" spans="1:23" x14ac:dyDescent="0.25">
      <c r="A1127" s="2"/>
      <c r="B1127" s="2"/>
      <c r="C1127" s="1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</row>
    <row r="1128" spans="1:23" x14ac:dyDescent="0.25">
      <c r="A1128" s="2"/>
      <c r="B1128" s="2"/>
      <c r="C1128" s="1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</row>
    <row r="1129" spans="1:23" x14ac:dyDescent="0.25">
      <c r="A1129" s="2"/>
      <c r="B1129" s="2"/>
      <c r="C1129" s="1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</row>
    <row r="1130" spans="1:23" x14ac:dyDescent="0.25">
      <c r="A1130" s="2"/>
      <c r="B1130" s="2"/>
      <c r="C1130" s="1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</row>
    <row r="1131" spans="1:23" x14ac:dyDescent="0.25">
      <c r="A1131" s="2"/>
      <c r="B1131" s="2"/>
      <c r="C1131" s="1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</row>
    <row r="1132" spans="1:23" x14ac:dyDescent="0.25">
      <c r="A1132" s="2"/>
      <c r="B1132" s="2"/>
      <c r="C1132" s="1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</row>
    <row r="1133" spans="1:23" x14ac:dyDescent="0.25">
      <c r="A1133" s="2"/>
      <c r="B1133" s="2"/>
      <c r="C1133" s="1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</row>
    <row r="1134" spans="1:23" x14ac:dyDescent="0.25">
      <c r="A1134" s="2"/>
      <c r="B1134" s="2"/>
      <c r="C1134" s="1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</row>
    <row r="1135" spans="1:23" x14ac:dyDescent="0.25">
      <c r="A1135" s="2"/>
      <c r="B1135" s="2"/>
      <c r="C1135" s="1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</row>
    <row r="1136" spans="1:23" x14ac:dyDescent="0.25">
      <c r="A1136" s="2"/>
      <c r="B1136" s="2"/>
      <c r="C1136" s="1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</row>
    <row r="1137" spans="1:23" x14ac:dyDescent="0.25">
      <c r="A1137" s="2"/>
      <c r="B1137" s="2"/>
      <c r="C1137" s="1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</row>
    <row r="1138" spans="1:23" x14ac:dyDescent="0.25">
      <c r="A1138" s="2"/>
      <c r="B1138" s="2"/>
      <c r="C1138" s="1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</row>
    <row r="1139" spans="1:23" x14ac:dyDescent="0.25">
      <c r="A1139" s="2"/>
      <c r="B1139" s="2"/>
      <c r="C1139" s="1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</row>
    <row r="1140" spans="1:23" x14ac:dyDescent="0.25">
      <c r="A1140" s="2"/>
      <c r="B1140" s="2"/>
      <c r="C1140" s="1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</row>
    <row r="1141" spans="1:23" x14ac:dyDescent="0.25">
      <c r="A1141" s="2"/>
      <c r="B1141" s="2"/>
      <c r="C1141" s="1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</row>
    <row r="1142" spans="1:23" x14ac:dyDescent="0.25">
      <c r="A1142" s="2"/>
      <c r="B1142" s="2"/>
      <c r="C1142" s="1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</row>
    <row r="1143" spans="1:23" x14ac:dyDescent="0.25">
      <c r="A1143" s="2"/>
      <c r="B1143" s="2"/>
      <c r="C1143" s="1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</row>
    <row r="1144" spans="1:23" x14ac:dyDescent="0.25">
      <c r="A1144" s="2"/>
      <c r="B1144" s="2"/>
      <c r="C1144" s="1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</row>
    <row r="1145" spans="1:23" x14ac:dyDescent="0.25">
      <c r="A1145" s="2"/>
      <c r="B1145" s="2"/>
      <c r="C1145" s="1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</row>
    <row r="1146" spans="1:23" x14ac:dyDescent="0.25">
      <c r="A1146" s="2"/>
      <c r="B1146" s="2"/>
      <c r="C1146" s="1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</row>
    <row r="1147" spans="1:23" x14ac:dyDescent="0.25">
      <c r="A1147" s="2"/>
      <c r="B1147" s="2"/>
      <c r="C1147" s="1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</row>
    <row r="1148" spans="1:23" x14ac:dyDescent="0.25">
      <c r="A1148" s="2"/>
      <c r="B1148" s="2"/>
      <c r="C1148" s="1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</row>
    <row r="1149" spans="1:23" x14ac:dyDescent="0.25">
      <c r="A1149" s="2"/>
      <c r="B1149" s="2"/>
      <c r="C1149" s="1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</row>
    <row r="1150" spans="1:23" x14ac:dyDescent="0.25">
      <c r="A1150" s="2"/>
      <c r="B1150" s="2"/>
      <c r="C1150" s="1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</row>
    <row r="1151" spans="1:23" x14ac:dyDescent="0.25">
      <c r="A1151" s="2"/>
      <c r="B1151" s="2"/>
      <c r="C1151" s="1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</row>
    <row r="1152" spans="1:23" x14ac:dyDescent="0.25">
      <c r="A1152" s="2"/>
      <c r="B1152" s="2"/>
      <c r="C1152" s="1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</row>
    <row r="1153" spans="1:23" x14ac:dyDescent="0.25">
      <c r="A1153" s="2"/>
      <c r="B1153" s="2"/>
      <c r="C1153" s="1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</row>
    <row r="1154" spans="1:23" x14ac:dyDescent="0.25">
      <c r="A1154" s="2"/>
      <c r="B1154" s="2"/>
      <c r="C1154" s="1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</row>
    <row r="1155" spans="1:23" x14ac:dyDescent="0.25">
      <c r="A1155" s="2"/>
      <c r="B1155" s="2"/>
      <c r="C1155" s="1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</row>
    <row r="1156" spans="1:23" x14ac:dyDescent="0.25">
      <c r="A1156" s="2"/>
      <c r="B1156" s="2"/>
      <c r="C1156" s="1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</row>
    <row r="1157" spans="1:23" x14ac:dyDescent="0.25">
      <c r="A1157" s="2"/>
      <c r="B1157" s="2"/>
      <c r="C1157" s="1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</row>
    <row r="1158" spans="1:23" x14ac:dyDescent="0.25">
      <c r="A1158" s="2"/>
      <c r="B1158" s="2"/>
      <c r="C1158" s="1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</row>
    <row r="1159" spans="1:23" x14ac:dyDescent="0.25">
      <c r="A1159" s="2"/>
      <c r="B1159" s="2"/>
      <c r="C1159" s="1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</row>
    <row r="1160" spans="1:23" x14ac:dyDescent="0.25">
      <c r="A1160" s="2"/>
      <c r="B1160" s="2"/>
      <c r="C1160" s="1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</row>
    <row r="1161" spans="1:23" x14ac:dyDescent="0.25">
      <c r="A1161" s="2"/>
      <c r="B1161" s="2"/>
      <c r="C1161" s="1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</row>
    <row r="1162" spans="1:23" x14ac:dyDescent="0.25">
      <c r="A1162" s="2"/>
      <c r="B1162" s="2"/>
      <c r="C1162" s="1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</row>
    <row r="1163" spans="1:23" x14ac:dyDescent="0.25">
      <c r="A1163" s="2"/>
      <c r="B1163" s="2"/>
      <c r="C1163" s="1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</row>
    <row r="1164" spans="1:23" x14ac:dyDescent="0.25">
      <c r="A1164" s="2"/>
      <c r="B1164" s="2"/>
      <c r="C1164" s="1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</row>
    <row r="1165" spans="1:23" x14ac:dyDescent="0.25">
      <c r="A1165" s="2"/>
      <c r="B1165" s="2"/>
      <c r="C1165" s="1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</row>
    <row r="1166" spans="1:23" x14ac:dyDescent="0.25">
      <c r="A1166" s="2"/>
      <c r="B1166" s="2"/>
      <c r="C1166" s="1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</row>
    <row r="1167" spans="1:23" x14ac:dyDescent="0.25">
      <c r="A1167" s="2"/>
      <c r="B1167" s="2"/>
      <c r="C1167" s="1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</row>
    <row r="1168" spans="1:23" x14ac:dyDescent="0.25">
      <c r="A1168" s="2"/>
      <c r="B1168" s="2"/>
      <c r="C1168" s="1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</row>
    <row r="1169" spans="1:23" x14ac:dyDescent="0.25">
      <c r="A1169" s="2"/>
      <c r="B1169" s="2"/>
      <c r="C1169" s="1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</row>
    <row r="1170" spans="1:23" x14ac:dyDescent="0.25">
      <c r="A1170" s="2"/>
      <c r="B1170" s="2"/>
      <c r="C1170" s="1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</row>
    <row r="1171" spans="1:23" x14ac:dyDescent="0.25">
      <c r="A1171" s="2"/>
      <c r="B1171" s="2"/>
      <c r="C1171" s="1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</row>
    <row r="1172" spans="1:23" x14ac:dyDescent="0.25">
      <c r="A1172" s="2"/>
      <c r="B1172" s="2"/>
      <c r="C1172" s="1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</row>
    <row r="1173" spans="1:23" x14ac:dyDescent="0.25">
      <c r="A1173" s="2"/>
      <c r="B1173" s="2"/>
      <c r="C1173" s="1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</row>
    <row r="1174" spans="1:23" x14ac:dyDescent="0.25">
      <c r="A1174" s="2"/>
      <c r="B1174" s="2"/>
      <c r="C1174" s="1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</row>
    <row r="1175" spans="1:23" x14ac:dyDescent="0.25">
      <c r="A1175" s="2"/>
      <c r="B1175" s="2"/>
      <c r="C1175" s="1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</row>
    <row r="1176" spans="1:23" x14ac:dyDescent="0.25">
      <c r="A1176" s="2"/>
      <c r="B1176" s="2"/>
      <c r="C1176" s="1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</row>
    <row r="1177" spans="1:23" x14ac:dyDescent="0.25">
      <c r="A1177" s="2"/>
      <c r="B1177" s="2"/>
      <c r="C1177" s="1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</row>
    <row r="1178" spans="1:23" x14ac:dyDescent="0.25">
      <c r="A1178" s="2"/>
      <c r="B1178" s="2"/>
      <c r="C1178" s="1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</row>
    <row r="1179" spans="1:23" x14ac:dyDescent="0.25">
      <c r="A1179" s="2"/>
      <c r="B1179" s="2"/>
      <c r="C1179" s="1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</row>
    <row r="1180" spans="1:23" x14ac:dyDescent="0.25">
      <c r="A1180" s="2"/>
      <c r="B1180" s="2"/>
      <c r="C1180" s="1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</row>
    <row r="1181" spans="1:23" x14ac:dyDescent="0.25">
      <c r="A1181" s="2"/>
      <c r="B1181" s="2"/>
      <c r="C1181" s="1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</row>
    <row r="1182" spans="1:23" x14ac:dyDescent="0.25">
      <c r="A1182" s="2"/>
      <c r="B1182" s="2"/>
      <c r="C1182" s="1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</row>
    <row r="1183" spans="1:23" x14ac:dyDescent="0.25">
      <c r="A1183" s="2"/>
      <c r="B1183" s="2"/>
      <c r="C1183" s="1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</row>
    <row r="1184" spans="1:23" x14ac:dyDescent="0.25">
      <c r="A1184" s="2"/>
      <c r="B1184" s="2"/>
      <c r="C1184" s="1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</row>
    <row r="1185" spans="1:23" x14ac:dyDescent="0.25">
      <c r="A1185" s="2"/>
      <c r="B1185" s="2"/>
      <c r="C1185" s="1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</row>
    <row r="1186" spans="1:23" x14ac:dyDescent="0.25">
      <c r="A1186" s="2"/>
      <c r="B1186" s="2"/>
      <c r="C1186" s="1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</row>
    <row r="1187" spans="1:23" x14ac:dyDescent="0.25">
      <c r="A1187" s="2"/>
      <c r="B1187" s="2"/>
      <c r="C1187" s="1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</row>
    <row r="1188" spans="1:23" x14ac:dyDescent="0.25">
      <c r="A1188" s="2"/>
      <c r="B1188" s="2"/>
      <c r="C1188" s="1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</row>
    <row r="1189" spans="1:23" x14ac:dyDescent="0.25">
      <c r="A1189" s="2"/>
      <c r="B1189" s="2"/>
      <c r="C1189" s="1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</row>
    <row r="1190" spans="1:23" x14ac:dyDescent="0.25">
      <c r="A1190" s="2"/>
      <c r="B1190" s="2"/>
      <c r="C1190" s="1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</row>
    <row r="1191" spans="1:23" x14ac:dyDescent="0.25">
      <c r="A1191" s="2"/>
      <c r="B1191" s="2"/>
      <c r="C1191" s="1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</row>
    <row r="1192" spans="1:23" x14ac:dyDescent="0.25">
      <c r="A1192" s="2"/>
      <c r="B1192" s="2"/>
      <c r="C1192" s="1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</row>
    <row r="1193" spans="1:23" x14ac:dyDescent="0.25">
      <c r="A1193" s="2"/>
      <c r="B1193" s="2"/>
      <c r="C1193" s="1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</row>
    <row r="1194" spans="1:23" x14ac:dyDescent="0.25">
      <c r="A1194" s="2"/>
      <c r="B1194" s="2"/>
      <c r="C1194" s="1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</row>
    <row r="1195" spans="1:23" x14ac:dyDescent="0.25">
      <c r="A1195" s="2"/>
      <c r="B1195" s="2"/>
      <c r="C1195" s="1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</row>
    <row r="1196" spans="1:23" x14ac:dyDescent="0.25">
      <c r="A1196" s="2"/>
      <c r="B1196" s="2"/>
      <c r="C1196" s="1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</row>
    <row r="1197" spans="1:23" x14ac:dyDescent="0.25">
      <c r="A1197" s="2"/>
      <c r="B1197" s="2"/>
      <c r="C1197" s="1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</row>
    <row r="1198" spans="1:23" x14ac:dyDescent="0.25">
      <c r="A1198" s="2"/>
      <c r="B1198" s="2"/>
      <c r="C1198" s="1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</row>
    <row r="1199" spans="1:23" x14ac:dyDescent="0.25">
      <c r="A1199" s="2"/>
      <c r="B1199" s="2"/>
      <c r="C1199" s="1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</row>
    <row r="1200" spans="1:23" x14ac:dyDescent="0.25">
      <c r="A1200" s="2"/>
      <c r="B1200" s="2"/>
      <c r="C1200" s="1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</row>
    <row r="1201" spans="1:23" x14ac:dyDescent="0.25">
      <c r="A1201" s="2"/>
      <c r="B1201" s="2"/>
      <c r="C1201" s="1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</row>
    <row r="1202" spans="1:23" x14ac:dyDescent="0.25">
      <c r="A1202" s="2"/>
      <c r="B1202" s="2"/>
      <c r="C1202" s="1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</row>
    <row r="1203" spans="1:23" x14ac:dyDescent="0.25">
      <c r="A1203" s="2"/>
      <c r="B1203" s="2"/>
      <c r="C1203" s="1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</row>
    <row r="1204" spans="1:23" x14ac:dyDescent="0.25">
      <c r="A1204" s="2"/>
      <c r="B1204" s="2"/>
      <c r="C1204" s="1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</row>
    <row r="1205" spans="1:23" x14ac:dyDescent="0.25">
      <c r="A1205" s="2"/>
      <c r="B1205" s="2"/>
      <c r="C1205" s="1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</row>
    <row r="1206" spans="1:23" x14ac:dyDescent="0.25">
      <c r="A1206" s="2"/>
      <c r="B1206" s="2"/>
      <c r="C1206" s="1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</row>
    <row r="1207" spans="1:23" x14ac:dyDescent="0.25">
      <c r="A1207" s="2"/>
      <c r="B1207" s="2"/>
      <c r="C1207" s="1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</row>
    <row r="1208" spans="1:23" x14ac:dyDescent="0.25">
      <c r="A1208" s="2"/>
      <c r="B1208" s="2"/>
      <c r="C1208" s="1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</row>
    <row r="1209" spans="1:23" x14ac:dyDescent="0.25">
      <c r="A1209" s="2"/>
      <c r="B1209" s="2"/>
      <c r="C1209" s="1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</row>
    <row r="1210" spans="1:23" x14ac:dyDescent="0.25">
      <c r="A1210" s="2"/>
      <c r="B1210" s="2"/>
      <c r="C1210" s="1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</row>
    <row r="1211" spans="1:23" x14ac:dyDescent="0.25">
      <c r="A1211" s="2"/>
      <c r="B1211" s="2"/>
      <c r="C1211" s="1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</row>
    <row r="1212" spans="1:23" x14ac:dyDescent="0.25">
      <c r="A1212" s="2"/>
      <c r="B1212" s="2"/>
      <c r="C1212" s="1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</row>
    <row r="1213" spans="1:23" x14ac:dyDescent="0.25">
      <c r="A1213" s="2"/>
      <c r="B1213" s="2"/>
      <c r="C1213" s="1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</row>
    <row r="1214" spans="1:23" x14ac:dyDescent="0.25">
      <c r="A1214" s="2"/>
      <c r="B1214" s="2"/>
      <c r="C1214" s="1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</row>
    <row r="1215" spans="1:23" x14ac:dyDescent="0.25">
      <c r="A1215" s="2"/>
      <c r="B1215" s="2"/>
      <c r="C1215" s="1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</row>
    <row r="1216" spans="1:23" x14ac:dyDescent="0.25">
      <c r="A1216" s="2"/>
      <c r="B1216" s="2"/>
      <c r="C1216" s="1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</row>
    <row r="1217" spans="1:23" x14ac:dyDescent="0.25">
      <c r="A1217" s="2"/>
      <c r="B1217" s="2"/>
      <c r="C1217" s="1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</row>
    <row r="1218" spans="1:23" x14ac:dyDescent="0.25">
      <c r="A1218" s="2"/>
      <c r="B1218" s="2"/>
      <c r="C1218" s="1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</row>
    <row r="1219" spans="1:23" x14ac:dyDescent="0.25">
      <c r="A1219" s="2"/>
      <c r="B1219" s="2"/>
      <c r="C1219" s="1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</row>
    <row r="1220" spans="1:23" x14ac:dyDescent="0.25">
      <c r="A1220" s="2"/>
      <c r="B1220" s="2"/>
      <c r="C1220" s="1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</row>
    <row r="1221" spans="1:23" x14ac:dyDescent="0.25">
      <c r="A1221" s="2"/>
      <c r="B1221" s="2"/>
      <c r="C1221" s="1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</row>
    <row r="1222" spans="1:23" x14ac:dyDescent="0.25">
      <c r="A1222" s="2"/>
      <c r="B1222" s="2"/>
      <c r="C1222" s="1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</row>
    <row r="1223" spans="1:23" x14ac:dyDescent="0.25">
      <c r="A1223" s="2"/>
      <c r="B1223" s="2"/>
      <c r="C1223" s="1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</row>
    <row r="1224" spans="1:23" x14ac:dyDescent="0.25">
      <c r="A1224" s="2"/>
      <c r="B1224" s="2"/>
      <c r="C1224" s="1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</row>
    <row r="1225" spans="1:23" x14ac:dyDescent="0.25">
      <c r="A1225" s="2"/>
      <c r="B1225" s="2"/>
      <c r="C1225" s="1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</row>
    <row r="1226" spans="1:23" x14ac:dyDescent="0.25">
      <c r="A1226" s="2"/>
      <c r="B1226" s="2"/>
      <c r="C1226" s="1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</row>
    <row r="1227" spans="1:23" x14ac:dyDescent="0.25">
      <c r="A1227" s="2"/>
      <c r="B1227" s="2"/>
      <c r="C1227" s="1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</row>
    <row r="1228" spans="1:23" x14ac:dyDescent="0.25">
      <c r="A1228" s="2"/>
      <c r="B1228" s="2"/>
      <c r="C1228" s="1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</row>
    <row r="1229" spans="1:23" x14ac:dyDescent="0.25">
      <c r="A1229" s="2"/>
      <c r="B1229" s="2"/>
      <c r="C1229" s="1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</row>
    <row r="1230" spans="1:23" x14ac:dyDescent="0.25">
      <c r="A1230" s="2"/>
      <c r="B1230" s="2"/>
      <c r="C1230" s="1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</row>
    <row r="1231" spans="1:23" x14ac:dyDescent="0.25">
      <c r="A1231" s="2"/>
      <c r="B1231" s="2"/>
      <c r="C1231" s="1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</row>
    <row r="1232" spans="1:23" x14ac:dyDescent="0.25">
      <c r="A1232" s="2"/>
      <c r="B1232" s="2"/>
      <c r="C1232" s="1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</row>
    <row r="1233" spans="1:23" x14ac:dyDescent="0.25">
      <c r="A1233" s="2"/>
      <c r="B1233" s="2"/>
      <c r="C1233" s="1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</row>
    <row r="1234" spans="1:23" x14ac:dyDescent="0.25">
      <c r="A1234" s="2"/>
      <c r="B1234" s="2"/>
      <c r="C1234" s="1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</row>
    <row r="1235" spans="1:23" x14ac:dyDescent="0.25">
      <c r="A1235" s="2"/>
      <c r="B1235" s="2"/>
      <c r="C1235" s="1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</row>
    <row r="1236" spans="1:23" x14ac:dyDescent="0.25">
      <c r="A1236" s="2"/>
      <c r="B1236" s="2"/>
      <c r="C1236" s="1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</row>
    <row r="1237" spans="1:23" x14ac:dyDescent="0.25">
      <c r="A1237" s="2"/>
      <c r="B1237" s="2"/>
      <c r="C1237" s="1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</row>
    <row r="1238" spans="1:23" x14ac:dyDescent="0.25">
      <c r="A1238" s="2"/>
      <c r="B1238" s="2"/>
      <c r="C1238" s="1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</row>
    <row r="1239" spans="1:23" x14ac:dyDescent="0.25">
      <c r="A1239" s="2"/>
      <c r="B1239" s="2"/>
      <c r="C1239" s="1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</row>
    <row r="1240" spans="1:23" x14ac:dyDescent="0.25">
      <c r="A1240" s="2"/>
      <c r="B1240" s="2"/>
      <c r="C1240" s="1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</row>
    <row r="1241" spans="1:23" x14ac:dyDescent="0.25">
      <c r="A1241" s="2"/>
      <c r="B1241" s="2"/>
      <c r="C1241" s="1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</row>
    <row r="1242" spans="1:23" x14ac:dyDescent="0.25">
      <c r="A1242" s="2"/>
      <c r="B1242" s="2"/>
      <c r="C1242" s="1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</row>
    <row r="1243" spans="1:23" x14ac:dyDescent="0.25">
      <c r="A1243" s="2"/>
      <c r="B1243" s="2"/>
      <c r="C1243" s="1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</row>
    <row r="1244" spans="1:23" x14ac:dyDescent="0.25">
      <c r="A1244" s="2"/>
      <c r="B1244" s="2"/>
      <c r="C1244" s="1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</row>
    <row r="1245" spans="1:23" x14ac:dyDescent="0.25">
      <c r="A1245" s="2"/>
      <c r="B1245" s="2"/>
      <c r="C1245" s="1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</row>
    <row r="1246" spans="1:23" x14ac:dyDescent="0.25">
      <c r="A1246" s="2"/>
      <c r="B1246" s="2"/>
      <c r="C1246" s="1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</row>
    <row r="1247" spans="1:23" x14ac:dyDescent="0.25">
      <c r="A1247" s="2"/>
      <c r="B1247" s="2"/>
      <c r="C1247" s="1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</row>
    <row r="1248" spans="1:23" x14ac:dyDescent="0.25">
      <c r="A1248" s="2"/>
      <c r="B1248" s="2"/>
      <c r="C1248" s="1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</row>
    <row r="1249" spans="1:23" x14ac:dyDescent="0.25">
      <c r="A1249" s="2"/>
      <c r="B1249" s="2"/>
      <c r="C1249" s="1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</row>
    <row r="1250" spans="1:23" x14ac:dyDescent="0.25">
      <c r="A1250" s="2"/>
      <c r="B1250" s="2"/>
      <c r="C1250" s="1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</row>
    <row r="1251" spans="1:23" x14ac:dyDescent="0.25">
      <c r="A1251" s="2"/>
      <c r="B1251" s="2"/>
      <c r="C1251" s="1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</row>
    <row r="1252" spans="1:23" x14ac:dyDescent="0.25">
      <c r="A1252" s="2"/>
      <c r="B1252" s="2"/>
      <c r="C1252" s="1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</row>
    <row r="1253" spans="1:23" x14ac:dyDescent="0.25">
      <c r="A1253" s="2"/>
      <c r="B1253" s="2"/>
      <c r="C1253" s="1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</row>
    <row r="1254" spans="1:23" x14ac:dyDescent="0.25">
      <c r="A1254" s="2"/>
      <c r="B1254" s="2"/>
      <c r="C1254" s="1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</row>
    <row r="1255" spans="1:23" x14ac:dyDescent="0.25">
      <c r="A1255" s="2"/>
      <c r="B1255" s="2"/>
      <c r="C1255" s="1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</row>
    <row r="1256" spans="1:23" x14ac:dyDescent="0.25">
      <c r="A1256" s="2"/>
      <c r="B1256" s="2"/>
      <c r="C1256" s="1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</row>
    <row r="1257" spans="1:23" x14ac:dyDescent="0.25">
      <c r="A1257" s="2"/>
      <c r="B1257" s="2"/>
      <c r="C1257" s="1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</row>
    <row r="1258" spans="1:23" x14ac:dyDescent="0.25">
      <c r="A1258" s="2"/>
      <c r="B1258" s="2"/>
      <c r="C1258" s="1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</row>
    <row r="1259" spans="1:23" x14ac:dyDescent="0.25">
      <c r="A1259" s="2"/>
      <c r="B1259" s="2"/>
      <c r="C1259" s="1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</row>
    <row r="1260" spans="1:23" x14ac:dyDescent="0.25">
      <c r="A1260" s="2"/>
      <c r="B1260" s="2"/>
      <c r="C1260" s="1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</row>
    <row r="1261" spans="1:23" x14ac:dyDescent="0.25">
      <c r="A1261" s="2"/>
      <c r="B1261" s="2"/>
      <c r="C1261" s="1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</row>
    <row r="1262" spans="1:23" x14ac:dyDescent="0.25">
      <c r="A1262" s="2"/>
      <c r="B1262" s="2"/>
      <c r="C1262" s="1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</row>
    <row r="1263" spans="1:23" x14ac:dyDescent="0.25">
      <c r="A1263" s="2"/>
      <c r="B1263" s="2"/>
      <c r="C1263" s="1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</row>
    <row r="1264" spans="1:23" x14ac:dyDescent="0.25">
      <c r="A1264" s="2"/>
      <c r="B1264" s="2"/>
      <c r="C1264" s="1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</row>
    <row r="1265" spans="1:23" x14ac:dyDescent="0.25">
      <c r="A1265" s="2"/>
      <c r="B1265" s="2"/>
      <c r="C1265" s="1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</row>
    <row r="1266" spans="1:23" x14ac:dyDescent="0.25">
      <c r="A1266" s="2"/>
      <c r="B1266" s="2"/>
      <c r="C1266" s="1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</row>
    <row r="1267" spans="1:23" x14ac:dyDescent="0.25">
      <c r="A1267" s="2"/>
      <c r="B1267" s="2"/>
      <c r="C1267" s="1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</row>
    <row r="1268" spans="1:23" x14ac:dyDescent="0.25">
      <c r="A1268" s="2"/>
      <c r="B1268" s="2"/>
      <c r="C1268" s="1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</row>
    <row r="1269" spans="1:23" x14ac:dyDescent="0.25">
      <c r="A1269" s="2"/>
      <c r="B1269" s="2"/>
      <c r="C1269" s="1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</row>
    <row r="1270" spans="1:23" x14ac:dyDescent="0.25">
      <c r="A1270" s="2"/>
      <c r="B1270" s="2"/>
      <c r="C1270" s="1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</row>
    <row r="1271" spans="1:23" x14ac:dyDescent="0.25">
      <c r="A1271" s="2"/>
      <c r="B1271" s="2"/>
      <c r="C1271" s="1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</row>
    <row r="1272" spans="1:23" x14ac:dyDescent="0.25">
      <c r="A1272" s="2"/>
      <c r="B1272" s="2"/>
      <c r="C1272" s="1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</row>
    <row r="1273" spans="1:23" x14ac:dyDescent="0.25">
      <c r="A1273" s="2"/>
      <c r="B1273" s="2"/>
      <c r="C1273" s="1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</row>
    <row r="1274" spans="1:23" x14ac:dyDescent="0.25">
      <c r="A1274" s="2"/>
      <c r="B1274" s="2"/>
      <c r="C1274" s="1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</row>
    <row r="1275" spans="1:23" x14ac:dyDescent="0.25">
      <c r="A1275" s="2"/>
      <c r="B1275" s="2"/>
      <c r="C1275" s="1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</row>
    <row r="1276" spans="1:23" x14ac:dyDescent="0.25">
      <c r="A1276" s="2"/>
      <c r="B1276" s="2"/>
      <c r="C1276" s="1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</row>
    <row r="1277" spans="1:23" x14ac:dyDescent="0.25">
      <c r="A1277" s="2"/>
      <c r="B1277" s="2"/>
      <c r="C1277" s="1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</row>
    <row r="1278" spans="1:23" x14ac:dyDescent="0.25">
      <c r="A1278" s="2"/>
      <c r="B1278" s="2"/>
      <c r="C1278" s="1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</row>
    <row r="1279" spans="1:23" x14ac:dyDescent="0.25">
      <c r="A1279" s="2"/>
      <c r="B1279" s="2"/>
      <c r="C1279" s="1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</row>
    <row r="1280" spans="1:23" x14ac:dyDescent="0.25">
      <c r="A1280" s="2"/>
      <c r="B1280" s="2"/>
      <c r="C1280" s="1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</row>
    <row r="1281" spans="1:23" x14ac:dyDescent="0.25">
      <c r="A1281" s="2"/>
      <c r="B1281" s="2"/>
      <c r="C1281" s="1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</row>
    <row r="1282" spans="1:23" x14ac:dyDescent="0.25">
      <c r="A1282" s="2"/>
      <c r="B1282" s="2"/>
      <c r="C1282" s="1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</row>
    <row r="1283" spans="1:23" x14ac:dyDescent="0.25">
      <c r="A1283" s="2"/>
      <c r="B1283" s="2"/>
      <c r="C1283" s="1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</row>
    <row r="1284" spans="1:23" x14ac:dyDescent="0.25">
      <c r="A1284" s="2"/>
      <c r="B1284" s="2"/>
      <c r="C1284" s="1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</row>
    <row r="1285" spans="1:23" x14ac:dyDescent="0.25">
      <c r="A1285" s="2"/>
      <c r="B1285" s="2"/>
      <c r="C1285" s="1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</row>
    <row r="1286" spans="1:23" x14ac:dyDescent="0.25">
      <c r="A1286" s="2"/>
      <c r="B1286" s="2"/>
      <c r="C1286" s="1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</row>
    <row r="1287" spans="1:23" x14ac:dyDescent="0.25">
      <c r="A1287" s="2"/>
      <c r="B1287" s="2"/>
      <c r="C1287" s="1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</row>
    <row r="1288" spans="1:23" x14ac:dyDescent="0.25">
      <c r="A1288" s="2"/>
      <c r="B1288" s="2"/>
      <c r="C1288" s="1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</row>
    <row r="1289" spans="1:23" x14ac:dyDescent="0.25">
      <c r="A1289" s="2"/>
      <c r="B1289" s="2"/>
      <c r="C1289" s="1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</row>
    <row r="1290" spans="1:23" x14ac:dyDescent="0.25">
      <c r="A1290" s="2"/>
      <c r="B1290" s="2"/>
      <c r="C1290" s="1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</row>
    <row r="1291" spans="1:23" x14ac:dyDescent="0.25">
      <c r="A1291" s="2"/>
      <c r="B1291" s="2"/>
      <c r="C1291" s="1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</row>
    <row r="1292" spans="1:23" x14ac:dyDescent="0.25">
      <c r="A1292" s="2"/>
      <c r="B1292" s="2"/>
      <c r="C1292" s="1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</row>
    <row r="1293" spans="1:23" x14ac:dyDescent="0.25">
      <c r="A1293" s="2"/>
      <c r="B1293" s="2"/>
      <c r="C1293" s="1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</row>
    <row r="1294" spans="1:23" x14ac:dyDescent="0.25">
      <c r="A1294" s="2"/>
      <c r="B1294" s="2"/>
      <c r="C1294" s="1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</row>
    <row r="1295" spans="1:23" x14ac:dyDescent="0.25">
      <c r="A1295" s="2"/>
      <c r="B1295" s="2"/>
      <c r="C1295" s="1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</row>
    <row r="1296" spans="1:23" x14ac:dyDescent="0.25">
      <c r="A1296" s="2"/>
      <c r="B1296" s="2"/>
      <c r="C1296" s="1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</row>
    <row r="1297" spans="1:23" x14ac:dyDescent="0.25">
      <c r="A1297" s="2"/>
      <c r="B1297" s="2"/>
      <c r="C1297" s="1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</row>
    <row r="1298" spans="1:23" x14ac:dyDescent="0.25">
      <c r="A1298" s="2"/>
      <c r="B1298" s="2"/>
      <c r="C1298" s="1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</row>
    <row r="1299" spans="1:23" x14ac:dyDescent="0.25">
      <c r="A1299" s="2"/>
      <c r="B1299" s="2"/>
      <c r="C1299" s="1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</row>
    <row r="1300" spans="1:23" x14ac:dyDescent="0.25">
      <c r="A1300" s="2"/>
      <c r="B1300" s="2"/>
      <c r="C1300" s="1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</row>
    <row r="1301" spans="1:23" x14ac:dyDescent="0.25">
      <c r="A1301" s="2"/>
      <c r="B1301" s="2"/>
      <c r="C1301" s="1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</row>
    <row r="1302" spans="1:23" x14ac:dyDescent="0.25">
      <c r="A1302" s="2"/>
      <c r="B1302" s="2"/>
      <c r="C1302" s="1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</row>
    <row r="1303" spans="1:23" x14ac:dyDescent="0.25">
      <c r="A1303" s="2"/>
      <c r="B1303" s="2"/>
      <c r="C1303" s="1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</row>
    <row r="1304" spans="1:23" x14ac:dyDescent="0.25">
      <c r="A1304" s="2"/>
      <c r="B1304" s="2"/>
      <c r="C1304" s="1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</row>
    <row r="1305" spans="1:23" x14ac:dyDescent="0.25">
      <c r="A1305" s="2"/>
      <c r="B1305" s="2"/>
      <c r="C1305" s="1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</row>
    <row r="1306" spans="1:23" x14ac:dyDescent="0.25">
      <c r="A1306" s="2"/>
      <c r="B1306" s="2"/>
      <c r="C1306" s="1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</row>
    <row r="1307" spans="1:23" x14ac:dyDescent="0.25">
      <c r="A1307" s="2"/>
      <c r="B1307" s="2"/>
      <c r="C1307" s="1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</row>
    <row r="1308" spans="1:23" x14ac:dyDescent="0.25">
      <c r="A1308" s="2"/>
      <c r="B1308" s="2"/>
      <c r="C1308" s="1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</row>
    <row r="1309" spans="1:23" x14ac:dyDescent="0.25">
      <c r="A1309" s="2"/>
      <c r="B1309" s="2"/>
      <c r="C1309" s="1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</row>
    <row r="1310" spans="1:23" x14ac:dyDescent="0.25">
      <c r="A1310" s="2"/>
      <c r="B1310" s="2"/>
      <c r="C1310" s="1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</row>
    <row r="1311" spans="1:23" x14ac:dyDescent="0.25">
      <c r="A1311" s="2"/>
      <c r="B1311" s="2"/>
      <c r="C1311" s="1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</row>
    <row r="1312" spans="1:23" x14ac:dyDescent="0.25">
      <c r="A1312" s="2"/>
      <c r="B1312" s="2"/>
      <c r="C1312" s="1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</row>
    <row r="1313" spans="1:23" x14ac:dyDescent="0.25">
      <c r="A1313" s="2"/>
      <c r="B1313" s="2"/>
      <c r="C1313" s="1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</row>
    <row r="1314" spans="1:23" x14ac:dyDescent="0.25">
      <c r="A1314" s="2"/>
      <c r="B1314" s="2"/>
      <c r="C1314" s="1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</row>
    <row r="1315" spans="1:23" x14ac:dyDescent="0.25">
      <c r="A1315" s="2"/>
      <c r="B1315" s="2"/>
      <c r="C1315" s="1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</row>
    <row r="1316" spans="1:23" x14ac:dyDescent="0.25">
      <c r="A1316" s="2"/>
      <c r="B1316" s="2"/>
      <c r="C1316" s="1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</row>
    <row r="1317" spans="1:23" x14ac:dyDescent="0.25">
      <c r="A1317" s="2"/>
      <c r="B1317" s="2"/>
      <c r="C1317" s="1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</row>
    <row r="1318" spans="1:23" x14ac:dyDescent="0.25">
      <c r="A1318" s="2"/>
      <c r="B1318" s="2"/>
      <c r="C1318" s="1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</row>
    <row r="1319" spans="1:23" x14ac:dyDescent="0.25">
      <c r="A1319" s="2"/>
      <c r="B1319" s="2"/>
      <c r="C1319" s="1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</row>
    <row r="1320" spans="1:23" x14ac:dyDescent="0.25">
      <c r="A1320" s="2"/>
      <c r="B1320" s="2"/>
      <c r="C1320" s="1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</row>
    <row r="1321" spans="1:23" x14ac:dyDescent="0.25">
      <c r="A1321" s="2"/>
      <c r="B1321" s="2"/>
      <c r="C1321" s="1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</row>
    <row r="1322" spans="1:23" x14ac:dyDescent="0.25">
      <c r="A1322" s="2"/>
      <c r="B1322" s="2"/>
      <c r="C1322" s="1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</row>
    <row r="1323" spans="1:23" x14ac:dyDescent="0.25">
      <c r="A1323" s="2"/>
      <c r="B1323" s="2"/>
      <c r="C1323" s="1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</row>
    <row r="1324" spans="1:23" x14ac:dyDescent="0.25">
      <c r="A1324" s="2"/>
      <c r="B1324" s="2"/>
      <c r="C1324" s="1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</row>
    <row r="1325" spans="1:23" x14ac:dyDescent="0.25">
      <c r="A1325" s="2"/>
      <c r="B1325" s="2"/>
      <c r="C1325" s="1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</row>
    <row r="1326" spans="1:23" x14ac:dyDescent="0.25">
      <c r="A1326" s="2"/>
      <c r="B1326" s="2"/>
      <c r="C1326" s="1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</row>
    <row r="1327" spans="1:23" x14ac:dyDescent="0.25">
      <c r="A1327" s="2"/>
      <c r="B1327" s="2"/>
      <c r="C1327" s="1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</row>
    <row r="1328" spans="1:23" x14ac:dyDescent="0.25">
      <c r="A1328" s="2"/>
      <c r="B1328" s="2"/>
      <c r="C1328" s="1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</row>
    <row r="1329" spans="1:23" x14ac:dyDescent="0.25">
      <c r="A1329" s="2"/>
      <c r="B1329" s="2"/>
      <c r="C1329" s="1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</row>
    <row r="1330" spans="1:23" x14ac:dyDescent="0.25">
      <c r="A1330" s="2"/>
      <c r="B1330" s="2"/>
      <c r="C1330" s="1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</row>
    <row r="1331" spans="1:23" x14ac:dyDescent="0.25">
      <c r="A1331" s="2"/>
      <c r="B1331" s="2"/>
      <c r="C1331" s="1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</row>
    <row r="1332" spans="1:23" x14ac:dyDescent="0.25">
      <c r="A1332" s="2"/>
      <c r="B1332" s="2"/>
      <c r="C1332" s="1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</row>
    <row r="1333" spans="1:23" x14ac:dyDescent="0.25">
      <c r="A1333" s="2"/>
      <c r="B1333" s="2"/>
      <c r="C1333" s="1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</row>
    <row r="1334" spans="1:23" x14ac:dyDescent="0.25">
      <c r="A1334" s="2"/>
      <c r="B1334" s="2"/>
      <c r="C1334" s="1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</row>
    <row r="1335" spans="1:23" x14ac:dyDescent="0.25">
      <c r="A1335" s="2"/>
      <c r="B1335" s="2"/>
      <c r="C1335" s="1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</row>
    <row r="1336" spans="1:23" x14ac:dyDescent="0.25">
      <c r="A1336" s="2"/>
      <c r="B1336" s="2"/>
      <c r="C1336" s="1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</row>
    <row r="1337" spans="1:23" x14ac:dyDescent="0.25">
      <c r="A1337" s="2"/>
      <c r="B1337" s="2"/>
      <c r="C1337" s="1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</row>
    <row r="1338" spans="1:23" x14ac:dyDescent="0.25">
      <c r="A1338" s="2"/>
      <c r="B1338" s="2"/>
      <c r="C1338" s="1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</row>
    <row r="1339" spans="1:23" x14ac:dyDescent="0.25">
      <c r="A1339" s="2"/>
      <c r="B1339" s="2"/>
      <c r="C1339" s="1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</row>
    <row r="1340" spans="1:23" x14ac:dyDescent="0.25">
      <c r="A1340" s="2"/>
      <c r="B1340" s="2"/>
      <c r="C1340" s="1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</row>
    <row r="1341" spans="1:23" x14ac:dyDescent="0.25">
      <c r="A1341" s="2"/>
      <c r="B1341" s="2"/>
      <c r="C1341" s="1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</row>
    <row r="1342" spans="1:23" x14ac:dyDescent="0.25">
      <c r="A1342" s="2"/>
      <c r="B1342" s="2"/>
      <c r="C1342" s="1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</row>
    <row r="1343" spans="1:23" x14ac:dyDescent="0.25">
      <c r="A1343" s="2"/>
      <c r="B1343" s="2"/>
      <c r="C1343" s="1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</row>
    <row r="1344" spans="1:23" x14ac:dyDescent="0.25">
      <c r="A1344" s="2"/>
      <c r="B1344" s="2"/>
      <c r="C1344" s="1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</row>
    <row r="1345" spans="1:23" x14ac:dyDescent="0.25">
      <c r="A1345" s="2"/>
      <c r="B1345" s="2"/>
      <c r="C1345" s="1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</row>
    <row r="1346" spans="1:23" x14ac:dyDescent="0.25">
      <c r="A1346" s="2"/>
      <c r="B1346" s="2"/>
      <c r="C1346" s="1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</row>
    <row r="1347" spans="1:23" x14ac:dyDescent="0.25">
      <c r="A1347" s="2"/>
      <c r="B1347" s="2"/>
      <c r="C1347" s="1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</row>
    <row r="1348" spans="1:23" x14ac:dyDescent="0.25">
      <c r="A1348" s="2"/>
      <c r="B1348" s="2"/>
      <c r="C1348" s="1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</row>
    <row r="1349" spans="1:23" x14ac:dyDescent="0.25">
      <c r="A1349" s="2"/>
      <c r="B1349" s="2"/>
      <c r="C1349" s="1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</row>
    <row r="1350" spans="1:23" x14ac:dyDescent="0.25">
      <c r="A1350" s="2"/>
      <c r="B1350" s="2"/>
      <c r="C1350" s="1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</row>
    <row r="1351" spans="1:23" x14ac:dyDescent="0.25">
      <c r="A1351" s="2"/>
      <c r="B1351" s="2"/>
      <c r="C1351" s="1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</row>
    <row r="1352" spans="1:23" x14ac:dyDescent="0.25">
      <c r="A1352" s="2"/>
      <c r="B1352" s="2"/>
      <c r="C1352" s="1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</row>
    <row r="1353" spans="1:23" x14ac:dyDescent="0.25">
      <c r="A1353" s="2"/>
      <c r="B1353" s="2"/>
      <c r="C1353" s="1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</row>
    <row r="1354" spans="1:23" x14ac:dyDescent="0.25">
      <c r="A1354" s="2"/>
      <c r="B1354" s="2"/>
      <c r="C1354" s="1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</row>
    <row r="1355" spans="1:23" x14ac:dyDescent="0.25">
      <c r="A1355" s="2"/>
      <c r="B1355" s="2"/>
      <c r="C1355" s="1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</row>
    <row r="1356" spans="1:23" x14ac:dyDescent="0.25">
      <c r="A1356" s="2"/>
      <c r="B1356" s="2"/>
      <c r="C1356" s="1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</row>
    <row r="1357" spans="1:23" x14ac:dyDescent="0.25">
      <c r="A1357" s="2"/>
      <c r="B1357" s="2"/>
      <c r="C1357" s="1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</row>
    <row r="1358" spans="1:23" x14ac:dyDescent="0.25">
      <c r="A1358" s="2"/>
      <c r="B1358" s="2"/>
      <c r="C1358" s="1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</row>
    <row r="1359" spans="1:23" x14ac:dyDescent="0.25">
      <c r="A1359" s="2"/>
      <c r="B1359" s="2"/>
      <c r="C1359" s="1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</row>
    <row r="1360" spans="1:23" x14ac:dyDescent="0.25">
      <c r="A1360" s="2"/>
      <c r="B1360" s="2"/>
      <c r="C1360" s="1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</row>
    <row r="1361" spans="1:23" x14ac:dyDescent="0.25">
      <c r="A1361" s="2"/>
      <c r="B1361" s="2"/>
      <c r="C1361" s="1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</row>
    <row r="1362" spans="1:23" x14ac:dyDescent="0.25">
      <c r="A1362" s="2"/>
      <c r="B1362" s="2"/>
      <c r="C1362" s="1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</row>
    <row r="1363" spans="1:23" x14ac:dyDescent="0.25">
      <c r="A1363" s="2"/>
      <c r="B1363" s="2"/>
      <c r="C1363" s="1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</row>
    <row r="1364" spans="1:23" x14ac:dyDescent="0.25">
      <c r="A1364" s="2"/>
      <c r="B1364" s="2"/>
      <c r="C1364" s="1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</row>
    <row r="1365" spans="1:23" x14ac:dyDescent="0.25">
      <c r="A1365" s="2"/>
      <c r="B1365" s="2"/>
      <c r="C1365" s="1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</row>
    <row r="1366" spans="1:23" x14ac:dyDescent="0.25">
      <c r="A1366" s="2"/>
      <c r="B1366" s="2"/>
      <c r="C1366" s="1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</row>
    <row r="1367" spans="1:23" x14ac:dyDescent="0.25">
      <c r="A1367" s="2"/>
      <c r="B1367" s="2"/>
      <c r="C1367" s="1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</row>
    <row r="1368" spans="1:23" x14ac:dyDescent="0.25">
      <c r="A1368" s="2"/>
      <c r="B1368" s="2"/>
      <c r="C1368" s="1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</row>
    <row r="1369" spans="1:23" x14ac:dyDescent="0.25">
      <c r="A1369" s="2"/>
      <c r="B1369" s="2"/>
      <c r="C1369" s="1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</row>
    <row r="1370" spans="1:23" x14ac:dyDescent="0.25">
      <c r="A1370" s="2"/>
      <c r="B1370" s="2"/>
      <c r="C1370" s="1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</row>
    <row r="1371" spans="1:23" x14ac:dyDescent="0.25">
      <c r="A1371" s="2"/>
      <c r="B1371" s="2"/>
      <c r="C1371" s="1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</row>
    <row r="1372" spans="1:23" x14ac:dyDescent="0.25">
      <c r="A1372" s="2"/>
      <c r="B1372" s="2"/>
      <c r="C1372" s="1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</row>
    <row r="1373" spans="1:23" x14ac:dyDescent="0.25">
      <c r="A1373" s="2"/>
      <c r="B1373" s="2"/>
      <c r="C1373" s="1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</row>
    <row r="1374" spans="1:23" x14ac:dyDescent="0.25">
      <c r="A1374" s="2"/>
      <c r="B1374" s="2"/>
      <c r="C1374" s="1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</row>
    <row r="1375" spans="1:23" x14ac:dyDescent="0.25">
      <c r="A1375" s="2"/>
      <c r="B1375" s="2"/>
      <c r="C1375" s="1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</row>
    <row r="1376" spans="1:23" x14ac:dyDescent="0.25">
      <c r="A1376" s="2"/>
      <c r="B1376" s="2"/>
      <c r="C1376" s="1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</row>
    <row r="1377" spans="1:23" x14ac:dyDescent="0.25">
      <c r="A1377" s="2"/>
      <c r="B1377" s="2"/>
      <c r="C1377" s="1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</row>
    <row r="1378" spans="1:23" x14ac:dyDescent="0.25">
      <c r="A1378" s="2"/>
      <c r="B1378" s="2"/>
      <c r="C1378" s="1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</row>
    <row r="1379" spans="1:23" x14ac:dyDescent="0.25">
      <c r="A1379" s="2"/>
      <c r="B1379" s="2"/>
      <c r="C1379" s="1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</row>
    <row r="1380" spans="1:23" x14ac:dyDescent="0.25">
      <c r="A1380" s="2"/>
      <c r="B1380" s="2"/>
      <c r="C1380" s="1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</row>
    <row r="1381" spans="1:23" x14ac:dyDescent="0.25">
      <c r="A1381" s="2"/>
      <c r="B1381" s="2"/>
      <c r="C1381" s="1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</row>
    <row r="1382" spans="1:23" x14ac:dyDescent="0.25">
      <c r="A1382" s="2"/>
      <c r="B1382" s="2"/>
      <c r="C1382" s="1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</row>
    <row r="1383" spans="1:23" x14ac:dyDescent="0.25">
      <c r="A1383" s="2"/>
      <c r="B1383" s="2"/>
      <c r="C1383" s="1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</row>
    <row r="1384" spans="1:23" x14ac:dyDescent="0.25">
      <c r="A1384" s="2"/>
      <c r="B1384" s="2"/>
      <c r="C1384" s="1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</row>
    <row r="1385" spans="1:23" x14ac:dyDescent="0.25">
      <c r="A1385" s="2"/>
      <c r="B1385" s="2"/>
      <c r="C1385" s="1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</row>
    <row r="1386" spans="1:23" x14ac:dyDescent="0.25">
      <c r="A1386" s="2"/>
      <c r="B1386" s="2"/>
      <c r="C1386" s="1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</row>
    <row r="1387" spans="1:23" x14ac:dyDescent="0.25">
      <c r="A1387" s="2"/>
      <c r="B1387" s="2"/>
      <c r="C1387" s="1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</row>
    <row r="1388" spans="1:23" x14ac:dyDescent="0.25">
      <c r="A1388" s="2"/>
      <c r="B1388" s="2"/>
      <c r="C1388" s="1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</row>
    <row r="1389" spans="1:23" x14ac:dyDescent="0.25">
      <c r="A1389" s="2"/>
      <c r="B1389" s="2"/>
      <c r="C1389" s="1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</row>
    <row r="1390" spans="1:23" x14ac:dyDescent="0.25">
      <c r="A1390" s="2"/>
      <c r="B1390" s="2"/>
      <c r="C1390" s="1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</row>
    <row r="1391" spans="1:23" x14ac:dyDescent="0.25">
      <c r="A1391" s="2"/>
      <c r="B1391" s="2"/>
      <c r="C1391" s="1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</row>
    <row r="1392" spans="1:23" x14ac:dyDescent="0.25">
      <c r="A1392" s="2"/>
      <c r="B1392" s="2"/>
      <c r="C1392" s="1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</row>
    <row r="1393" spans="1:23" x14ac:dyDescent="0.25">
      <c r="A1393" s="2"/>
      <c r="B1393" s="2"/>
      <c r="C1393" s="1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</row>
    <row r="1394" spans="1:23" x14ac:dyDescent="0.25">
      <c r="A1394" s="2"/>
      <c r="B1394" s="2"/>
      <c r="C1394" s="1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</row>
    <row r="1395" spans="1:23" x14ac:dyDescent="0.25">
      <c r="A1395" s="2"/>
      <c r="B1395" s="2"/>
      <c r="C1395" s="1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</row>
    <row r="1396" spans="1:23" x14ac:dyDescent="0.25">
      <c r="A1396" s="2"/>
      <c r="B1396" s="2"/>
      <c r="C1396" s="1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</row>
    <row r="1397" spans="1:23" x14ac:dyDescent="0.25">
      <c r="A1397" s="2"/>
      <c r="B1397" s="2"/>
      <c r="C1397" s="1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</row>
    <row r="1398" spans="1:23" x14ac:dyDescent="0.25">
      <c r="A1398" s="2"/>
      <c r="B1398" s="2"/>
      <c r="C1398" s="1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</row>
    <row r="1399" spans="1:23" x14ac:dyDescent="0.25">
      <c r="A1399" s="2"/>
      <c r="B1399" s="2"/>
      <c r="C1399" s="1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</row>
    <row r="1400" spans="1:23" x14ac:dyDescent="0.25">
      <c r="A1400" s="2"/>
      <c r="B1400" s="2"/>
      <c r="C1400" s="1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</row>
    <row r="1401" spans="1:23" x14ac:dyDescent="0.25">
      <c r="A1401" s="2"/>
      <c r="B1401" s="2"/>
      <c r="C1401" s="1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</row>
    <row r="1402" spans="1:23" x14ac:dyDescent="0.25">
      <c r="A1402" s="2"/>
      <c r="B1402" s="2"/>
      <c r="C1402" s="1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</row>
    <row r="1403" spans="1:23" x14ac:dyDescent="0.25">
      <c r="A1403" s="2"/>
      <c r="B1403" s="2"/>
      <c r="C1403" s="1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</row>
    <row r="1404" spans="1:23" x14ac:dyDescent="0.25">
      <c r="A1404" s="2"/>
      <c r="B1404" s="2"/>
      <c r="C1404" s="1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</row>
    <row r="1405" spans="1:23" x14ac:dyDescent="0.25">
      <c r="A1405" s="2"/>
      <c r="B1405" s="2"/>
      <c r="C1405" s="1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</row>
    <row r="1406" spans="1:23" x14ac:dyDescent="0.25">
      <c r="A1406" s="2"/>
      <c r="B1406" s="2"/>
      <c r="C1406" s="1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</row>
    <row r="1407" spans="1:23" x14ac:dyDescent="0.25">
      <c r="A1407" s="2"/>
      <c r="B1407" s="2"/>
      <c r="C1407" s="1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</row>
    <row r="1408" spans="1:23" x14ac:dyDescent="0.25">
      <c r="A1408" s="2"/>
      <c r="B1408" s="2"/>
      <c r="C1408" s="1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</row>
    <row r="1409" spans="1:23" x14ac:dyDescent="0.25">
      <c r="A1409" s="2"/>
      <c r="B1409" s="2"/>
      <c r="C1409" s="1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</row>
    <row r="1410" spans="1:23" x14ac:dyDescent="0.25">
      <c r="A1410" s="2"/>
      <c r="B1410" s="2"/>
      <c r="C1410" s="1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</row>
    <row r="1411" spans="1:23" x14ac:dyDescent="0.25">
      <c r="A1411" s="2"/>
      <c r="B1411" s="2"/>
      <c r="C1411" s="1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</row>
    <row r="1412" spans="1:23" x14ac:dyDescent="0.25">
      <c r="A1412" s="2"/>
      <c r="B1412" s="2"/>
      <c r="C1412" s="1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</row>
    <row r="1413" spans="1:23" x14ac:dyDescent="0.25">
      <c r="A1413" s="2"/>
      <c r="B1413" s="2"/>
      <c r="C1413" s="1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</row>
    <row r="1414" spans="1:23" x14ac:dyDescent="0.25">
      <c r="A1414" s="2"/>
      <c r="B1414" s="2"/>
      <c r="C1414" s="1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</row>
    <row r="1415" spans="1:23" x14ac:dyDescent="0.25">
      <c r="A1415" s="2"/>
      <c r="B1415" s="2"/>
      <c r="C1415" s="1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</row>
    <row r="1416" spans="1:23" x14ac:dyDescent="0.25">
      <c r="A1416" s="2"/>
      <c r="B1416" s="2"/>
      <c r="C1416" s="1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</row>
    <row r="1417" spans="1:23" x14ac:dyDescent="0.25">
      <c r="A1417" s="2"/>
      <c r="B1417" s="2"/>
      <c r="C1417" s="1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</row>
    <row r="1418" spans="1:23" x14ac:dyDescent="0.25">
      <c r="A1418" s="2"/>
      <c r="B1418" s="2"/>
      <c r="C1418" s="1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</row>
    <row r="1419" spans="1:23" x14ac:dyDescent="0.25">
      <c r="A1419" s="2"/>
      <c r="B1419" s="2"/>
      <c r="C1419" s="1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</row>
    <row r="1420" spans="1:23" x14ac:dyDescent="0.25">
      <c r="A1420" s="2"/>
      <c r="B1420" s="2"/>
      <c r="C1420" s="1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</row>
    <row r="1421" spans="1:23" x14ac:dyDescent="0.25">
      <c r="A1421" s="2"/>
      <c r="B1421" s="2"/>
      <c r="C1421" s="1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</row>
    <row r="1422" spans="1:23" x14ac:dyDescent="0.25">
      <c r="A1422" s="2"/>
      <c r="B1422" s="2"/>
      <c r="C1422" s="1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</row>
    <row r="1423" spans="1:23" x14ac:dyDescent="0.25">
      <c r="A1423" s="2"/>
      <c r="B1423" s="2"/>
      <c r="C1423" s="1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</row>
    <row r="1424" spans="1:23" x14ac:dyDescent="0.25">
      <c r="A1424" s="2"/>
      <c r="B1424" s="2"/>
      <c r="C1424" s="1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</row>
    <row r="1425" spans="1:23" x14ac:dyDescent="0.25">
      <c r="A1425" s="2"/>
      <c r="B1425" s="2"/>
      <c r="C1425" s="1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</row>
    <row r="1426" spans="1:23" x14ac:dyDescent="0.25">
      <c r="A1426" s="2"/>
      <c r="B1426" s="2"/>
      <c r="C1426" s="1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</row>
    <row r="1427" spans="1:23" x14ac:dyDescent="0.25">
      <c r="A1427" s="2"/>
      <c r="B1427" s="2"/>
      <c r="C1427" s="1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</row>
    <row r="1428" spans="1:23" x14ac:dyDescent="0.25">
      <c r="A1428" s="2"/>
      <c r="B1428" s="2"/>
      <c r="C1428" s="1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</row>
    <row r="1429" spans="1:23" x14ac:dyDescent="0.25">
      <c r="A1429" s="2"/>
      <c r="B1429" s="2"/>
      <c r="C1429" s="1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</row>
    <row r="1430" spans="1:23" x14ac:dyDescent="0.25">
      <c r="A1430" s="2"/>
      <c r="B1430" s="2"/>
      <c r="C1430" s="1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</row>
    <row r="1431" spans="1:23" x14ac:dyDescent="0.25">
      <c r="A1431" s="2"/>
      <c r="B1431" s="2"/>
      <c r="C1431" s="1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</row>
    <row r="1432" spans="1:23" x14ac:dyDescent="0.25">
      <c r="A1432" s="2"/>
      <c r="B1432" s="2"/>
      <c r="C1432" s="1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</row>
    <row r="1433" spans="1:23" x14ac:dyDescent="0.25">
      <c r="A1433" s="2"/>
      <c r="B1433" s="2"/>
      <c r="C1433" s="1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</row>
    <row r="1434" spans="1:23" x14ac:dyDescent="0.25">
      <c r="A1434" s="2"/>
      <c r="B1434" s="2"/>
      <c r="C1434" s="1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</row>
    <row r="1435" spans="1:23" x14ac:dyDescent="0.25">
      <c r="A1435" s="2"/>
      <c r="B1435" s="2"/>
      <c r="C1435" s="1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</row>
    <row r="1436" spans="1:23" x14ac:dyDescent="0.25">
      <c r="A1436" s="2"/>
      <c r="B1436" s="2"/>
      <c r="C1436" s="1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</row>
    <row r="1437" spans="1:23" x14ac:dyDescent="0.25">
      <c r="A1437" s="2"/>
      <c r="B1437" s="2"/>
      <c r="C1437" s="1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</row>
    <row r="1438" spans="1:23" x14ac:dyDescent="0.25">
      <c r="A1438" s="2"/>
      <c r="B1438" s="2"/>
      <c r="C1438" s="1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</row>
    <row r="1439" spans="1:23" x14ac:dyDescent="0.25">
      <c r="A1439" s="2"/>
      <c r="B1439" s="2"/>
      <c r="C1439" s="1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</row>
    <row r="1440" spans="1:23" x14ac:dyDescent="0.25">
      <c r="A1440" s="2"/>
      <c r="B1440" s="2"/>
      <c r="C1440" s="1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</row>
    <row r="1441" spans="1:23" x14ac:dyDescent="0.25">
      <c r="A1441" s="2"/>
      <c r="B1441" s="2"/>
      <c r="C1441" s="1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</row>
    <row r="1442" spans="1:23" x14ac:dyDescent="0.25">
      <c r="A1442" s="2"/>
      <c r="B1442" s="2"/>
      <c r="C1442" s="1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</row>
    <row r="1443" spans="1:23" x14ac:dyDescent="0.25">
      <c r="A1443" s="2"/>
      <c r="B1443" s="2"/>
      <c r="C1443" s="1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</row>
    <row r="1444" spans="1:23" x14ac:dyDescent="0.25">
      <c r="A1444" s="2"/>
      <c r="B1444" s="2"/>
      <c r="C1444" s="1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</row>
    <row r="1445" spans="1:23" x14ac:dyDescent="0.25">
      <c r="A1445" s="2"/>
      <c r="B1445" s="2"/>
      <c r="C1445" s="1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</row>
    <row r="1446" spans="1:23" x14ac:dyDescent="0.25">
      <c r="A1446" s="2"/>
      <c r="B1446" s="2"/>
      <c r="C1446" s="1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</row>
    <row r="1447" spans="1:23" x14ac:dyDescent="0.25">
      <c r="A1447" s="2"/>
      <c r="B1447" s="2"/>
      <c r="C1447" s="1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</row>
    <row r="1448" spans="1:23" x14ac:dyDescent="0.25">
      <c r="A1448" s="2"/>
      <c r="B1448" s="2"/>
      <c r="C1448" s="1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</row>
    <row r="1449" spans="1:23" x14ac:dyDescent="0.25">
      <c r="A1449" s="2"/>
      <c r="B1449" s="2"/>
      <c r="C1449" s="1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</row>
    <row r="1450" spans="1:23" x14ac:dyDescent="0.25">
      <c r="A1450" s="2"/>
      <c r="B1450" s="2"/>
      <c r="C1450" s="1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</row>
    <row r="1451" spans="1:23" x14ac:dyDescent="0.25">
      <c r="A1451" s="2"/>
      <c r="B1451" s="2"/>
      <c r="C1451" s="1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</row>
    <row r="1452" spans="1:23" x14ac:dyDescent="0.25">
      <c r="A1452" s="2"/>
      <c r="B1452" s="2"/>
      <c r="C1452" s="1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</row>
    <row r="1453" spans="1:23" x14ac:dyDescent="0.25">
      <c r="A1453" s="2"/>
      <c r="B1453" s="2"/>
      <c r="C1453" s="1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</row>
    <row r="1454" spans="1:23" x14ac:dyDescent="0.25">
      <c r="A1454" s="2"/>
      <c r="B1454" s="2"/>
      <c r="C1454" s="1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</row>
    <row r="1455" spans="1:23" x14ac:dyDescent="0.25">
      <c r="A1455" s="2"/>
      <c r="B1455" s="2"/>
      <c r="C1455" s="1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</row>
    <row r="1456" spans="1:23" x14ac:dyDescent="0.25">
      <c r="A1456" s="2"/>
      <c r="B1456" s="2"/>
      <c r="C1456" s="1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</row>
    <row r="1457" spans="1:23" x14ac:dyDescent="0.25">
      <c r="A1457" s="2"/>
      <c r="B1457" s="2"/>
      <c r="C1457" s="1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</row>
    <row r="1458" spans="1:23" x14ac:dyDescent="0.25">
      <c r="A1458" s="2"/>
      <c r="B1458" s="2"/>
      <c r="C1458" s="1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</row>
    <row r="1459" spans="1:23" x14ac:dyDescent="0.25">
      <c r="A1459" s="2"/>
      <c r="B1459" s="2"/>
      <c r="C1459" s="1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</row>
    <row r="1460" spans="1:23" x14ac:dyDescent="0.25">
      <c r="A1460" s="2"/>
      <c r="B1460" s="2"/>
      <c r="C1460" s="1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</row>
    <row r="1461" spans="1:23" x14ac:dyDescent="0.25">
      <c r="A1461" s="2"/>
      <c r="B1461" s="2"/>
      <c r="C1461" s="1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</row>
    <row r="1462" spans="1:23" x14ac:dyDescent="0.25">
      <c r="A1462" s="2"/>
      <c r="B1462" s="2"/>
      <c r="C1462" s="1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</row>
    <row r="1463" spans="1:23" x14ac:dyDescent="0.25">
      <c r="A1463" s="2"/>
      <c r="B1463" s="2"/>
      <c r="C1463" s="1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</row>
    <row r="1464" spans="1:23" x14ac:dyDescent="0.25">
      <c r="A1464" s="2"/>
      <c r="B1464" s="2"/>
      <c r="C1464" s="1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</row>
    <row r="1465" spans="1:23" x14ac:dyDescent="0.25">
      <c r="A1465" s="2"/>
      <c r="B1465" s="2"/>
      <c r="C1465" s="1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</row>
    <row r="1466" spans="1:23" x14ac:dyDescent="0.25">
      <c r="A1466" s="2"/>
      <c r="B1466" s="2"/>
      <c r="C1466" s="1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</row>
    <row r="1467" spans="1:23" x14ac:dyDescent="0.25">
      <c r="A1467" s="2"/>
      <c r="B1467" s="2"/>
      <c r="C1467" s="1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</row>
    <row r="1468" spans="1:23" x14ac:dyDescent="0.25">
      <c r="A1468" s="2"/>
      <c r="B1468" s="2"/>
      <c r="C1468" s="1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</row>
    <row r="1469" spans="1:23" x14ac:dyDescent="0.25">
      <c r="A1469" s="2"/>
      <c r="B1469" s="2"/>
      <c r="C1469" s="1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</row>
    <row r="1470" spans="1:23" x14ac:dyDescent="0.25">
      <c r="A1470" s="2"/>
      <c r="B1470" s="2"/>
      <c r="C1470" s="1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</row>
    <row r="1471" spans="1:23" x14ac:dyDescent="0.25">
      <c r="A1471" s="2"/>
      <c r="B1471" s="2"/>
      <c r="C1471" s="1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</row>
    <row r="1472" spans="1:23" x14ac:dyDescent="0.25">
      <c r="A1472" s="2"/>
      <c r="B1472" s="2"/>
      <c r="C1472" s="1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</row>
    <row r="1473" spans="1:23" x14ac:dyDescent="0.25">
      <c r="A1473" s="2"/>
      <c r="B1473" s="2"/>
      <c r="C1473" s="1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</row>
    <row r="1474" spans="1:23" x14ac:dyDescent="0.25">
      <c r="A1474" s="2"/>
      <c r="B1474" s="2"/>
      <c r="C1474" s="1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</row>
    <row r="1475" spans="1:23" x14ac:dyDescent="0.25">
      <c r="A1475" s="2"/>
      <c r="B1475" s="2"/>
      <c r="C1475" s="1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</row>
    <row r="1476" spans="1:23" x14ac:dyDescent="0.25">
      <c r="A1476" s="2"/>
      <c r="B1476" s="2"/>
      <c r="C1476" s="1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</row>
    <row r="1477" spans="1:23" x14ac:dyDescent="0.25">
      <c r="A1477" s="2"/>
      <c r="B1477" s="2"/>
      <c r="C1477" s="1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</row>
    <row r="1478" spans="1:23" x14ac:dyDescent="0.25">
      <c r="A1478" s="2"/>
      <c r="B1478" s="2"/>
      <c r="C1478" s="1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</row>
    <row r="1479" spans="1:23" x14ac:dyDescent="0.25">
      <c r="A1479" s="2"/>
      <c r="B1479" s="2"/>
      <c r="C1479" s="1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</row>
    <row r="1480" spans="1:23" x14ac:dyDescent="0.25">
      <c r="A1480" s="2"/>
      <c r="B1480" s="2"/>
      <c r="C1480" s="1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</row>
    <row r="1481" spans="1:23" x14ac:dyDescent="0.25">
      <c r="A1481" s="2"/>
      <c r="B1481" s="2"/>
      <c r="C1481" s="1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</row>
    <row r="1482" spans="1:23" x14ac:dyDescent="0.25">
      <c r="A1482" s="2"/>
      <c r="B1482" s="2"/>
      <c r="C1482" s="1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</row>
    <row r="1483" spans="1:23" x14ac:dyDescent="0.25">
      <c r="A1483" s="2"/>
      <c r="B1483" s="2"/>
      <c r="C1483" s="1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</row>
    <row r="1484" spans="1:23" x14ac:dyDescent="0.25">
      <c r="A1484" s="2"/>
      <c r="B1484" s="2"/>
      <c r="C1484" s="1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</row>
    <row r="1485" spans="1:23" x14ac:dyDescent="0.25">
      <c r="A1485" s="2"/>
      <c r="B1485" s="2"/>
      <c r="C1485" s="1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</row>
    <row r="1486" spans="1:23" x14ac:dyDescent="0.25">
      <c r="A1486" s="2"/>
      <c r="B1486" s="2"/>
      <c r="C1486" s="1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</row>
    <row r="1487" spans="1:23" x14ac:dyDescent="0.25">
      <c r="A1487" s="2"/>
      <c r="B1487" s="2"/>
      <c r="C1487" s="1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</row>
    <row r="1488" spans="1:23" x14ac:dyDescent="0.25">
      <c r="A1488" s="2"/>
      <c r="B1488" s="2"/>
      <c r="C1488" s="1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</row>
    <row r="1489" spans="1:23" x14ac:dyDescent="0.25">
      <c r="A1489" s="2"/>
      <c r="B1489" s="2"/>
      <c r="C1489" s="1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</row>
    <row r="1490" spans="1:23" x14ac:dyDescent="0.25">
      <c r="A1490" s="2"/>
      <c r="B1490" s="2"/>
      <c r="C1490" s="1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</row>
    <row r="1491" spans="1:23" x14ac:dyDescent="0.25">
      <c r="A1491" s="2"/>
      <c r="B1491" s="2"/>
      <c r="C1491" s="1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</row>
    <row r="1492" spans="1:23" x14ac:dyDescent="0.25">
      <c r="A1492" s="2"/>
      <c r="B1492" s="2"/>
      <c r="C1492" s="1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</row>
    <row r="1493" spans="1:23" x14ac:dyDescent="0.25">
      <c r="A1493" s="2"/>
      <c r="B1493" s="2"/>
      <c r="C1493" s="1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</row>
    <row r="1494" spans="1:23" x14ac:dyDescent="0.25">
      <c r="A1494" s="2"/>
      <c r="B1494" s="2"/>
      <c r="C1494" s="1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</row>
    <row r="1495" spans="1:23" x14ac:dyDescent="0.25">
      <c r="A1495" s="2"/>
      <c r="B1495" s="2"/>
      <c r="C1495" s="1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</row>
    <row r="1496" spans="1:23" x14ac:dyDescent="0.25">
      <c r="A1496" s="2"/>
      <c r="B1496" s="2"/>
      <c r="C1496" s="1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</row>
    <row r="1497" spans="1:23" x14ac:dyDescent="0.25">
      <c r="A1497" s="2"/>
      <c r="B1497" s="2"/>
      <c r="C1497" s="1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</row>
    <row r="1498" spans="1:23" x14ac:dyDescent="0.25">
      <c r="A1498" s="2"/>
      <c r="B1498" s="2"/>
      <c r="C1498" s="1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</row>
    <row r="1499" spans="1:23" x14ac:dyDescent="0.25">
      <c r="A1499" s="2"/>
      <c r="B1499" s="2"/>
      <c r="C1499" s="1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</row>
    <row r="1500" spans="1:23" x14ac:dyDescent="0.25">
      <c r="A1500" s="2"/>
      <c r="B1500" s="2"/>
      <c r="C1500" s="1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</row>
    <row r="1501" spans="1:23" x14ac:dyDescent="0.25">
      <c r="A1501" s="2"/>
      <c r="B1501" s="2"/>
      <c r="C1501" s="1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</row>
    <row r="1502" spans="1:23" x14ac:dyDescent="0.25">
      <c r="A1502" s="2"/>
      <c r="B1502" s="2"/>
      <c r="C1502" s="1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</row>
    <row r="1503" spans="1:23" x14ac:dyDescent="0.25">
      <c r="A1503" s="2"/>
      <c r="B1503" s="2"/>
      <c r="C1503" s="1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</row>
    <row r="1504" spans="1:23" x14ac:dyDescent="0.25">
      <c r="A1504" s="2"/>
      <c r="B1504" s="2"/>
      <c r="C1504" s="1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</row>
    <row r="1505" spans="1:23" x14ac:dyDescent="0.25">
      <c r="A1505" s="2"/>
      <c r="B1505" s="2"/>
      <c r="C1505" s="1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</row>
    <row r="1506" spans="1:23" x14ac:dyDescent="0.25">
      <c r="A1506" s="2"/>
      <c r="B1506" s="2"/>
      <c r="C1506" s="1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</row>
    <row r="1507" spans="1:23" x14ac:dyDescent="0.25">
      <c r="A1507" s="2"/>
      <c r="B1507" s="2"/>
      <c r="C1507" s="1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</row>
    <row r="1508" spans="1:23" x14ac:dyDescent="0.25">
      <c r="A1508" s="2"/>
      <c r="B1508" s="2"/>
      <c r="C1508" s="1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</row>
    <row r="1509" spans="1:23" x14ac:dyDescent="0.25">
      <c r="A1509" s="2"/>
      <c r="B1509" s="2"/>
      <c r="C1509" s="1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</row>
    <row r="1510" spans="1:23" x14ac:dyDescent="0.25">
      <c r="A1510" s="2"/>
      <c r="B1510" s="2"/>
      <c r="C1510" s="1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</row>
    <row r="1511" spans="1:23" x14ac:dyDescent="0.25">
      <c r="A1511" s="2"/>
      <c r="B1511" s="2"/>
      <c r="C1511" s="1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</row>
    <row r="1512" spans="1:23" x14ac:dyDescent="0.25">
      <c r="A1512" s="2"/>
      <c r="B1512" s="2"/>
      <c r="C1512" s="1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</row>
    <row r="1513" spans="1:23" x14ac:dyDescent="0.25">
      <c r="A1513" s="2"/>
      <c r="B1513" s="2"/>
      <c r="C1513" s="1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</row>
    <row r="1514" spans="1:23" x14ac:dyDescent="0.25">
      <c r="A1514" s="2"/>
      <c r="B1514" s="2"/>
      <c r="C1514" s="1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</row>
    <row r="1515" spans="1:23" x14ac:dyDescent="0.25">
      <c r="A1515" s="2"/>
      <c r="B1515" s="2"/>
      <c r="C1515" s="1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</row>
    <row r="1516" spans="1:23" x14ac:dyDescent="0.25">
      <c r="A1516" s="2"/>
      <c r="B1516" s="2"/>
      <c r="C1516" s="1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</row>
    <row r="1517" spans="1:23" x14ac:dyDescent="0.25">
      <c r="A1517" s="2"/>
      <c r="B1517" s="2"/>
      <c r="C1517" s="1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</row>
    <row r="1518" spans="1:23" x14ac:dyDescent="0.25">
      <c r="A1518" s="2"/>
      <c r="B1518" s="2"/>
      <c r="C1518" s="1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</row>
    <row r="1519" spans="1:23" x14ac:dyDescent="0.25">
      <c r="A1519" s="2"/>
      <c r="B1519" s="2"/>
      <c r="C1519" s="1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</row>
    <row r="1520" spans="1:23" x14ac:dyDescent="0.25">
      <c r="A1520" s="2"/>
      <c r="B1520" s="2"/>
      <c r="C1520" s="1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</row>
    <row r="1521" spans="1:23" x14ac:dyDescent="0.25">
      <c r="A1521" s="2"/>
      <c r="B1521" s="2"/>
      <c r="C1521" s="1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</row>
    <row r="1522" spans="1:23" x14ac:dyDescent="0.25">
      <c r="A1522" s="2"/>
      <c r="B1522" s="2"/>
      <c r="C1522" s="1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</row>
    <row r="1523" spans="1:23" x14ac:dyDescent="0.25">
      <c r="A1523" s="2"/>
      <c r="B1523" s="2"/>
      <c r="C1523" s="1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</row>
    <row r="1524" spans="1:23" x14ac:dyDescent="0.25">
      <c r="A1524" s="2"/>
      <c r="B1524" s="2"/>
      <c r="C1524" s="1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</row>
    <row r="1525" spans="1:23" x14ac:dyDescent="0.25">
      <c r="A1525" s="2"/>
      <c r="B1525" s="2"/>
      <c r="C1525" s="1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</row>
    <row r="1526" spans="1:23" x14ac:dyDescent="0.25">
      <c r="A1526" s="2"/>
      <c r="B1526" s="2"/>
      <c r="C1526" s="1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</row>
    <row r="1527" spans="1:23" x14ac:dyDescent="0.25">
      <c r="A1527" s="2"/>
      <c r="B1527" s="2"/>
      <c r="C1527" s="1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</row>
    <row r="1528" spans="1:23" x14ac:dyDescent="0.25">
      <c r="A1528" s="2"/>
      <c r="B1528" s="2"/>
      <c r="C1528" s="1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</row>
    <row r="1529" spans="1:23" x14ac:dyDescent="0.25">
      <c r="A1529" s="2"/>
      <c r="B1529" s="2"/>
      <c r="C1529" s="1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</row>
    <row r="1530" spans="1:23" x14ac:dyDescent="0.25">
      <c r="A1530" s="2"/>
      <c r="B1530" s="2"/>
      <c r="C1530" s="1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</row>
    <row r="1531" spans="1:23" x14ac:dyDescent="0.25">
      <c r="A1531" s="2"/>
      <c r="B1531" s="2"/>
      <c r="C1531" s="1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</row>
    <row r="1532" spans="1:23" x14ac:dyDescent="0.25">
      <c r="A1532" s="2"/>
      <c r="B1532" s="2"/>
      <c r="C1532" s="1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</row>
    <row r="1533" spans="1:23" x14ac:dyDescent="0.25">
      <c r="A1533" s="2"/>
      <c r="B1533" s="2"/>
      <c r="C1533" s="1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</row>
    <row r="1534" spans="1:23" x14ac:dyDescent="0.25">
      <c r="A1534" s="2"/>
      <c r="B1534" s="2"/>
      <c r="C1534" s="1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</row>
    <row r="1535" spans="1:23" x14ac:dyDescent="0.25">
      <c r="A1535" s="2"/>
      <c r="B1535" s="2"/>
      <c r="C1535" s="1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</row>
    <row r="1536" spans="1:23" x14ac:dyDescent="0.25">
      <c r="A1536" s="2"/>
      <c r="B1536" s="2"/>
      <c r="C1536" s="1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</row>
    <row r="1537" spans="1:23" x14ac:dyDescent="0.25">
      <c r="A1537" s="2"/>
      <c r="B1537" s="2"/>
      <c r="C1537" s="1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</row>
    <row r="1538" spans="1:23" x14ac:dyDescent="0.25">
      <c r="A1538" s="2"/>
      <c r="B1538" s="2"/>
      <c r="C1538" s="1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</row>
    <row r="1539" spans="1:23" x14ac:dyDescent="0.25">
      <c r="A1539" s="2"/>
      <c r="B1539" s="2"/>
      <c r="C1539" s="1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</row>
    <row r="1540" spans="1:23" x14ac:dyDescent="0.25">
      <c r="A1540" s="2"/>
      <c r="B1540" s="2"/>
      <c r="C1540" s="1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</row>
    <row r="1541" spans="1:23" x14ac:dyDescent="0.25">
      <c r="A1541" s="2"/>
      <c r="B1541" s="2"/>
      <c r="C1541" s="1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</row>
    <row r="1542" spans="1:23" x14ac:dyDescent="0.25">
      <c r="A1542" s="2"/>
      <c r="B1542" s="2"/>
      <c r="C1542" s="1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</row>
    <row r="1543" spans="1:23" x14ac:dyDescent="0.25">
      <c r="A1543" s="2"/>
      <c r="B1543" s="2"/>
      <c r="C1543" s="1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</row>
    <row r="1544" spans="1:23" x14ac:dyDescent="0.25">
      <c r="A1544" s="2"/>
      <c r="B1544" s="2"/>
      <c r="C1544" s="1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</row>
    <row r="1545" spans="1:23" x14ac:dyDescent="0.25">
      <c r="A1545" s="2"/>
      <c r="B1545" s="2"/>
      <c r="C1545" s="1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</row>
    <row r="1546" spans="1:23" x14ac:dyDescent="0.25">
      <c r="A1546" s="2"/>
      <c r="B1546" s="2"/>
      <c r="C1546" s="1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</row>
    <row r="1547" spans="1:23" x14ac:dyDescent="0.25">
      <c r="A1547" s="2"/>
      <c r="B1547" s="2"/>
      <c r="C1547" s="1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</row>
    <row r="1548" spans="1:23" x14ac:dyDescent="0.25">
      <c r="A1548" s="2"/>
      <c r="B1548" s="2"/>
      <c r="C1548" s="1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</row>
    <row r="1549" spans="1:23" x14ac:dyDescent="0.25">
      <c r="A1549" s="2"/>
      <c r="B1549" s="2"/>
      <c r="C1549" s="1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</row>
    <row r="1550" spans="1:23" x14ac:dyDescent="0.25">
      <c r="A1550" s="2"/>
      <c r="B1550" s="2"/>
      <c r="C1550" s="1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</row>
    <row r="1551" spans="1:23" x14ac:dyDescent="0.25">
      <c r="A1551" s="2"/>
      <c r="B1551" s="2"/>
      <c r="C1551" s="1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</row>
    <row r="1552" spans="1:23" x14ac:dyDescent="0.25">
      <c r="A1552" s="2"/>
      <c r="B1552" s="2"/>
      <c r="C1552" s="1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</row>
    <row r="1553" spans="1:23" x14ac:dyDescent="0.25">
      <c r="A1553" s="2"/>
      <c r="B1553" s="2"/>
      <c r="C1553" s="1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</row>
    <row r="1554" spans="1:23" x14ac:dyDescent="0.25">
      <c r="A1554" s="2"/>
      <c r="B1554" s="2"/>
      <c r="C1554" s="1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</row>
    <row r="1555" spans="1:23" x14ac:dyDescent="0.25">
      <c r="A1555" s="2"/>
      <c r="B1555" s="2"/>
      <c r="C1555" s="1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</row>
    <row r="1556" spans="1:23" x14ac:dyDescent="0.25">
      <c r="A1556" s="2"/>
      <c r="B1556" s="2"/>
      <c r="C1556" s="1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</row>
    <row r="1557" spans="1:23" x14ac:dyDescent="0.25">
      <c r="A1557" s="2"/>
      <c r="B1557" s="2"/>
      <c r="C1557" s="1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</row>
    <row r="1558" spans="1:23" x14ac:dyDescent="0.25">
      <c r="A1558" s="2"/>
      <c r="B1558" s="2"/>
      <c r="C1558" s="1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</row>
    <row r="1559" spans="1:23" x14ac:dyDescent="0.25">
      <c r="A1559" s="2"/>
      <c r="B1559" s="2"/>
      <c r="C1559" s="1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</row>
    <row r="1560" spans="1:23" x14ac:dyDescent="0.25">
      <c r="A1560" s="2"/>
      <c r="B1560" s="2"/>
      <c r="C1560" s="1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</row>
    <row r="1561" spans="1:23" x14ac:dyDescent="0.25">
      <c r="A1561" s="2"/>
      <c r="B1561" s="2"/>
      <c r="C1561" s="1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</row>
    <row r="1562" spans="1:23" x14ac:dyDescent="0.25">
      <c r="A1562" s="2"/>
      <c r="B1562" s="2"/>
      <c r="C1562" s="1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</row>
    <row r="1563" spans="1:23" x14ac:dyDescent="0.25">
      <c r="A1563" s="2"/>
      <c r="B1563" s="2"/>
      <c r="C1563" s="1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</row>
    <row r="1564" spans="1:23" x14ac:dyDescent="0.25">
      <c r="A1564" s="2"/>
      <c r="B1564" s="2"/>
      <c r="C1564" s="1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</row>
    <row r="1565" spans="1:23" x14ac:dyDescent="0.25">
      <c r="A1565" s="2"/>
      <c r="B1565" s="2"/>
      <c r="C1565" s="1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</row>
    <row r="1566" spans="1:23" x14ac:dyDescent="0.25">
      <c r="A1566" s="2"/>
      <c r="B1566" s="2"/>
      <c r="C1566" s="1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</row>
    <row r="1567" spans="1:23" x14ac:dyDescent="0.25">
      <c r="A1567" s="2"/>
      <c r="B1567" s="2"/>
      <c r="C1567" s="1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</row>
    <row r="1568" spans="1:23" x14ac:dyDescent="0.25">
      <c r="A1568" s="2"/>
      <c r="B1568" s="2"/>
      <c r="C1568" s="1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</row>
    <row r="1569" spans="1:23" x14ac:dyDescent="0.25">
      <c r="A1569" s="2"/>
      <c r="B1569" s="2"/>
      <c r="C1569" s="1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</row>
    <row r="1570" spans="1:23" x14ac:dyDescent="0.25">
      <c r="A1570" s="2"/>
      <c r="B1570" s="2"/>
      <c r="C1570" s="1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</row>
    <row r="1571" spans="1:23" x14ac:dyDescent="0.25">
      <c r="A1571" s="2"/>
      <c r="B1571" s="2"/>
      <c r="C1571" s="1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</row>
    <row r="1572" spans="1:23" x14ac:dyDescent="0.25">
      <c r="A1572" s="2"/>
      <c r="B1572" s="2"/>
      <c r="C1572" s="1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</row>
    <row r="1573" spans="1:23" x14ac:dyDescent="0.25">
      <c r="A1573" s="2"/>
      <c r="B1573" s="2"/>
      <c r="C1573" s="1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</row>
    <row r="1574" spans="1:23" x14ac:dyDescent="0.25">
      <c r="A1574" s="2"/>
      <c r="B1574" s="2"/>
      <c r="C1574" s="1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</row>
    <row r="1575" spans="1:23" x14ac:dyDescent="0.25">
      <c r="A1575" s="2"/>
      <c r="B1575" s="2"/>
      <c r="C1575" s="1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</row>
    <row r="1576" spans="1:23" x14ac:dyDescent="0.25">
      <c r="A1576" s="2"/>
      <c r="B1576" s="2"/>
      <c r="C1576" s="1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</row>
    <row r="1577" spans="1:23" x14ac:dyDescent="0.25">
      <c r="A1577" s="2"/>
      <c r="B1577" s="2"/>
      <c r="C1577" s="1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</row>
    <row r="1578" spans="1:23" x14ac:dyDescent="0.25">
      <c r="A1578" s="2"/>
      <c r="B1578" s="2"/>
      <c r="C1578" s="1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</row>
    <row r="1579" spans="1:23" x14ac:dyDescent="0.25">
      <c r="A1579" s="2"/>
      <c r="B1579" s="2"/>
      <c r="C1579" s="1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</row>
    <row r="1580" spans="1:23" x14ac:dyDescent="0.25">
      <c r="A1580" s="2"/>
      <c r="B1580" s="2"/>
      <c r="C1580" s="1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</row>
    <row r="1581" spans="1:23" x14ac:dyDescent="0.25">
      <c r="A1581" s="2"/>
      <c r="B1581" s="2"/>
      <c r="C1581" s="1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</row>
    <row r="1582" spans="1:23" x14ac:dyDescent="0.25">
      <c r="A1582" s="2"/>
      <c r="B1582" s="2"/>
      <c r="C1582" s="1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</row>
    <row r="1583" spans="1:23" x14ac:dyDescent="0.25">
      <c r="A1583" s="2"/>
      <c r="B1583" s="2"/>
      <c r="C1583" s="1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</row>
    <row r="1584" spans="1:23" x14ac:dyDescent="0.25">
      <c r="A1584" s="2"/>
      <c r="B1584" s="2"/>
      <c r="C1584" s="1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</row>
    <row r="1585" spans="1:23" x14ac:dyDescent="0.25">
      <c r="A1585" s="2"/>
      <c r="B1585" s="2"/>
      <c r="C1585" s="1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</row>
    <row r="1586" spans="1:23" x14ac:dyDescent="0.25">
      <c r="A1586" s="2"/>
      <c r="B1586" s="2"/>
      <c r="C1586" s="1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</row>
    <row r="1587" spans="1:23" x14ac:dyDescent="0.25">
      <c r="A1587" s="2"/>
      <c r="B1587" s="2"/>
      <c r="C1587" s="1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</row>
    <row r="1588" spans="1:23" x14ac:dyDescent="0.25">
      <c r="A1588" s="2"/>
      <c r="B1588" s="2"/>
      <c r="C1588" s="1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</row>
    <row r="1589" spans="1:23" x14ac:dyDescent="0.25">
      <c r="A1589" s="2"/>
      <c r="B1589" s="2"/>
      <c r="C1589" s="1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</row>
    <row r="1590" spans="1:23" x14ac:dyDescent="0.25">
      <c r="A1590" s="2"/>
      <c r="B1590" s="2"/>
      <c r="C1590" s="1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</row>
    <row r="1591" spans="1:23" x14ac:dyDescent="0.25">
      <c r="A1591" s="2"/>
      <c r="B1591" s="2"/>
      <c r="C1591" s="1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</row>
    <row r="1592" spans="1:23" x14ac:dyDescent="0.25">
      <c r="A1592" s="2"/>
      <c r="B1592" s="2"/>
      <c r="C1592" s="1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</row>
    <row r="1593" spans="1:23" x14ac:dyDescent="0.25">
      <c r="A1593" s="2"/>
      <c r="B1593" s="2"/>
      <c r="C1593" s="1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</row>
    <row r="1594" spans="1:23" x14ac:dyDescent="0.25">
      <c r="A1594" s="2"/>
      <c r="B1594" s="2"/>
      <c r="C1594" s="1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</row>
    <row r="1595" spans="1:23" x14ac:dyDescent="0.25">
      <c r="A1595" s="2"/>
      <c r="B1595" s="2"/>
      <c r="C1595" s="1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</row>
    <row r="1596" spans="1:23" x14ac:dyDescent="0.25">
      <c r="A1596" s="2"/>
      <c r="B1596" s="2"/>
      <c r="C1596" s="1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</row>
    <row r="1597" spans="1:23" x14ac:dyDescent="0.25">
      <c r="A1597" s="2"/>
      <c r="B1597" s="2"/>
      <c r="C1597" s="1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</row>
    <row r="1598" spans="1:23" x14ac:dyDescent="0.25">
      <c r="A1598" s="2"/>
      <c r="B1598" s="2"/>
      <c r="C1598" s="1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</row>
    <row r="1599" spans="1:23" x14ac:dyDescent="0.25">
      <c r="A1599" s="2"/>
      <c r="B1599" s="2"/>
      <c r="C1599" s="1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</row>
    <row r="1600" spans="1:23" x14ac:dyDescent="0.25">
      <c r="A1600" s="2"/>
      <c r="B1600" s="2"/>
      <c r="C1600" s="1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</row>
    <row r="1601" spans="1:23" x14ac:dyDescent="0.25">
      <c r="A1601" s="2"/>
      <c r="B1601" s="2"/>
      <c r="C1601" s="1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</row>
    <row r="1602" spans="1:23" x14ac:dyDescent="0.25">
      <c r="A1602" s="2"/>
      <c r="B1602" s="2"/>
      <c r="C1602" s="1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</row>
    <row r="1603" spans="1:23" x14ac:dyDescent="0.25">
      <c r="A1603" s="2"/>
      <c r="B1603" s="2"/>
      <c r="C1603" s="1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</row>
    <row r="1604" spans="1:23" x14ac:dyDescent="0.25">
      <c r="A1604" s="2"/>
      <c r="B1604" s="2"/>
      <c r="C1604" s="1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</row>
    <row r="1605" spans="1:23" x14ac:dyDescent="0.25">
      <c r="A1605" s="2"/>
      <c r="B1605" s="2"/>
      <c r="C1605" s="1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</row>
    <row r="1606" spans="1:23" x14ac:dyDescent="0.25">
      <c r="A1606" s="2"/>
      <c r="B1606" s="2"/>
      <c r="C1606" s="1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</row>
    <row r="1607" spans="1:23" x14ac:dyDescent="0.25">
      <c r="A1607" s="2"/>
      <c r="B1607" s="2"/>
      <c r="C1607" s="1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</row>
    <row r="1608" spans="1:23" x14ac:dyDescent="0.25">
      <c r="A1608" s="2"/>
      <c r="B1608" s="2"/>
      <c r="C1608" s="1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</row>
    <row r="1609" spans="1:23" x14ac:dyDescent="0.25">
      <c r="A1609" s="2"/>
      <c r="B1609" s="2"/>
      <c r="C1609" s="1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</row>
    <row r="1610" spans="1:23" x14ac:dyDescent="0.25">
      <c r="A1610" s="2"/>
      <c r="B1610" s="2"/>
      <c r="C1610" s="1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</row>
    <row r="1611" spans="1:23" x14ac:dyDescent="0.25">
      <c r="A1611" s="2"/>
      <c r="B1611" s="2"/>
      <c r="C1611" s="1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</row>
    <row r="1612" spans="1:23" x14ac:dyDescent="0.25">
      <c r="A1612" s="2"/>
      <c r="B1612" s="2"/>
      <c r="C1612" s="1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</row>
    <row r="1613" spans="1:23" x14ac:dyDescent="0.25">
      <c r="A1613" s="2"/>
      <c r="B1613" s="2"/>
      <c r="C1613" s="1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</row>
    <row r="1614" spans="1:23" x14ac:dyDescent="0.25">
      <c r="A1614" s="2"/>
      <c r="B1614" s="2"/>
      <c r="C1614" s="1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</row>
    <row r="1615" spans="1:23" x14ac:dyDescent="0.25">
      <c r="A1615" s="2"/>
      <c r="B1615" s="2"/>
      <c r="C1615" s="1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</row>
    <row r="1616" spans="1:23" x14ac:dyDescent="0.25">
      <c r="A1616" s="2"/>
      <c r="B1616" s="2"/>
      <c r="C1616" s="1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</row>
    <row r="1617" spans="1:23" x14ac:dyDescent="0.25">
      <c r="A1617" s="2"/>
      <c r="B1617" s="2"/>
      <c r="C1617" s="1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</row>
    <row r="1618" spans="1:23" x14ac:dyDescent="0.25">
      <c r="A1618" s="2"/>
      <c r="B1618" s="2"/>
      <c r="C1618" s="1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</row>
    <row r="1619" spans="1:23" x14ac:dyDescent="0.25">
      <c r="A1619" s="2"/>
      <c r="B1619" s="2"/>
      <c r="C1619" s="1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</row>
    <row r="1620" spans="1:23" x14ac:dyDescent="0.25">
      <c r="A1620" s="2"/>
      <c r="B1620" s="2"/>
      <c r="C1620" s="1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</row>
    <row r="1621" spans="1:23" x14ac:dyDescent="0.25">
      <c r="A1621" s="2"/>
      <c r="B1621" s="2"/>
      <c r="C1621" s="1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</row>
    <row r="1622" spans="1:23" x14ac:dyDescent="0.25">
      <c r="A1622" s="2"/>
      <c r="B1622" s="2"/>
      <c r="C1622" s="1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</row>
    <row r="1623" spans="1:23" x14ac:dyDescent="0.25">
      <c r="A1623" s="2"/>
      <c r="B1623" s="2"/>
      <c r="C1623" s="1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</row>
    <row r="1624" spans="1:23" x14ac:dyDescent="0.25">
      <c r="A1624" s="2"/>
      <c r="B1624" s="2"/>
      <c r="C1624" s="1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</row>
    <row r="1625" spans="1:23" x14ac:dyDescent="0.25">
      <c r="A1625" s="2"/>
      <c r="B1625" s="2"/>
      <c r="C1625" s="1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</row>
    <row r="1626" spans="1:23" x14ac:dyDescent="0.25">
      <c r="A1626" s="2"/>
      <c r="B1626" s="2"/>
      <c r="C1626" s="1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</row>
    <row r="1627" spans="1:23" x14ac:dyDescent="0.25">
      <c r="A1627" s="2"/>
      <c r="B1627" s="2"/>
      <c r="C1627" s="1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</row>
    <row r="1628" spans="1:23" x14ac:dyDescent="0.25">
      <c r="A1628" s="2"/>
      <c r="B1628" s="2"/>
      <c r="C1628" s="1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</row>
    <row r="1629" spans="1:23" x14ac:dyDescent="0.25">
      <c r="A1629" s="2"/>
      <c r="B1629" s="2"/>
      <c r="C1629" s="1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</row>
    <row r="1630" spans="1:23" x14ac:dyDescent="0.25">
      <c r="A1630" s="2"/>
      <c r="B1630" s="2"/>
      <c r="C1630" s="1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</row>
    <row r="1631" spans="1:23" x14ac:dyDescent="0.25">
      <c r="A1631" s="2"/>
      <c r="B1631" s="2"/>
      <c r="C1631" s="1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</row>
    <row r="1632" spans="1:23" x14ac:dyDescent="0.25">
      <c r="A1632" s="2"/>
      <c r="B1632" s="2"/>
      <c r="C1632" s="1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</row>
    <row r="1633" spans="1:23" x14ac:dyDescent="0.25">
      <c r="A1633" s="2"/>
      <c r="B1633" s="2"/>
      <c r="C1633" s="1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</row>
    <row r="1634" spans="1:23" x14ac:dyDescent="0.25">
      <c r="A1634" s="2"/>
      <c r="B1634" s="2"/>
      <c r="C1634" s="1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</row>
    <row r="1635" spans="1:23" x14ac:dyDescent="0.25">
      <c r="A1635" s="2"/>
      <c r="B1635" s="2"/>
      <c r="C1635" s="1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</row>
    <row r="1636" spans="1:23" x14ac:dyDescent="0.25">
      <c r="A1636" s="2"/>
      <c r="B1636" s="2"/>
      <c r="C1636" s="1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</row>
    <row r="1637" spans="1:23" x14ac:dyDescent="0.25">
      <c r="A1637" s="2"/>
      <c r="B1637" s="2"/>
      <c r="C1637" s="1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</row>
    <row r="1638" spans="1:23" x14ac:dyDescent="0.25">
      <c r="A1638" s="2"/>
      <c r="B1638" s="2"/>
      <c r="C1638" s="1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</row>
    <row r="1639" spans="1:23" x14ac:dyDescent="0.25">
      <c r="A1639" s="2"/>
      <c r="B1639" s="2"/>
      <c r="C1639" s="1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</row>
    <row r="1640" spans="1:23" x14ac:dyDescent="0.25">
      <c r="A1640" s="2"/>
      <c r="B1640" s="2"/>
      <c r="C1640" s="1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</row>
    <row r="1641" spans="1:23" x14ac:dyDescent="0.25">
      <c r="A1641" s="2"/>
      <c r="B1641" s="2"/>
      <c r="C1641" s="1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</row>
    <row r="1642" spans="1:23" x14ac:dyDescent="0.25">
      <c r="A1642" s="2"/>
      <c r="B1642" s="2"/>
      <c r="C1642" s="1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</row>
    <row r="1643" spans="1:23" x14ac:dyDescent="0.25">
      <c r="A1643" s="2"/>
      <c r="B1643" s="2"/>
      <c r="C1643" s="1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</row>
    <row r="1644" spans="1:23" x14ac:dyDescent="0.25">
      <c r="A1644" s="2"/>
      <c r="B1644" s="2"/>
      <c r="C1644" s="1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</row>
    <row r="1645" spans="1:23" x14ac:dyDescent="0.25">
      <c r="A1645" s="2"/>
      <c r="B1645" s="2"/>
      <c r="C1645" s="1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</row>
    <row r="1646" spans="1:23" x14ac:dyDescent="0.25">
      <c r="A1646" s="2"/>
      <c r="B1646" s="2"/>
      <c r="C1646" s="1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</row>
    <row r="1647" spans="1:23" x14ac:dyDescent="0.25">
      <c r="A1647" s="2"/>
      <c r="B1647" s="2"/>
      <c r="C1647" s="1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</row>
    <row r="1648" spans="1:23" x14ac:dyDescent="0.25">
      <c r="A1648" s="2"/>
      <c r="B1648" s="2"/>
      <c r="C1648" s="1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</row>
    <row r="1649" spans="1:23" x14ac:dyDescent="0.25">
      <c r="A1649" s="2"/>
      <c r="B1649" s="2"/>
      <c r="C1649" s="1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</row>
    <row r="1650" spans="1:23" x14ac:dyDescent="0.25">
      <c r="A1650" s="2"/>
      <c r="B1650" s="2"/>
      <c r="C1650" s="1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</row>
    <row r="1651" spans="1:23" x14ac:dyDescent="0.25">
      <c r="A1651" s="2"/>
      <c r="B1651" s="2"/>
      <c r="C1651" s="1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</row>
    <row r="1652" spans="1:23" x14ac:dyDescent="0.25">
      <c r="A1652" s="2"/>
      <c r="B1652" s="2"/>
      <c r="C1652" s="1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</row>
    <row r="1653" spans="1:23" x14ac:dyDescent="0.25">
      <c r="A1653" s="2"/>
      <c r="B1653" s="2"/>
      <c r="C1653" s="1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</row>
    <row r="1654" spans="1:23" x14ac:dyDescent="0.25">
      <c r="A1654" s="2"/>
      <c r="B1654" s="2"/>
      <c r="C1654" s="1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</row>
    <row r="1655" spans="1:23" x14ac:dyDescent="0.25">
      <c r="A1655" s="2"/>
      <c r="B1655" s="2"/>
      <c r="C1655" s="1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</row>
    <row r="1656" spans="1:23" x14ac:dyDescent="0.25">
      <c r="A1656" s="2"/>
      <c r="B1656" s="2"/>
      <c r="C1656" s="1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</row>
    <row r="1657" spans="1:23" x14ac:dyDescent="0.25">
      <c r="A1657" s="2"/>
      <c r="B1657" s="2"/>
      <c r="C1657" s="1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</row>
    <row r="1658" spans="1:23" x14ac:dyDescent="0.25">
      <c r="A1658" s="2"/>
      <c r="B1658" s="2"/>
      <c r="C1658" s="1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</row>
    <row r="1659" spans="1:23" x14ac:dyDescent="0.25">
      <c r="A1659" s="2"/>
      <c r="B1659" s="2"/>
      <c r="C1659" s="1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</row>
    <row r="1660" spans="1:23" x14ac:dyDescent="0.25">
      <c r="A1660" s="2"/>
      <c r="B1660" s="2"/>
      <c r="C1660" s="1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</row>
    <row r="1661" spans="1:23" x14ac:dyDescent="0.25">
      <c r="A1661" s="2"/>
      <c r="B1661" s="2"/>
      <c r="C1661" s="1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</row>
    <row r="1662" spans="1:23" x14ac:dyDescent="0.25">
      <c r="A1662" s="2"/>
      <c r="B1662" s="2"/>
      <c r="C1662" s="1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</row>
    <row r="1663" spans="1:23" x14ac:dyDescent="0.25">
      <c r="A1663" s="2"/>
      <c r="B1663" s="2"/>
      <c r="C1663" s="1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</row>
    <row r="1664" spans="1:23" x14ac:dyDescent="0.25">
      <c r="A1664" s="2"/>
      <c r="B1664" s="2"/>
      <c r="C1664" s="1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</row>
    <row r="1665" spans="1:23" x14ac:dyDescent="0.25">
      <c r="A1665" s="2"/>
      <c r="B1665" s="2"/>
      <c r="C1665" s="1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</row>
    <row r="1666" spans="1:23" x14ac:dyDescent="0.25">
      <c r="A1666" s="2"/>
      <c r="B1666" s="2"/>
      <c r="C1666" s="1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</row>
    <row r="1667" spans="1:23" x14ac:dyDescent="0.25">
      <c r="A1667" s="2"/>
      <c r="B1667" s="2"/>
      <c r="C1667" s="1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</row>
    <row r="1668" spans="1:23" x14ac:dyDescent="0.25">
      <c r="A1668" s="2"/>
      <c r="B1668" s="2"/>
      <c r="C1668" s="1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</row>
    <row r="1669" spans="1:23" x14ac:dyDescent="0.25">
      <c r="A1669" s="2"/>
      <c r="B1669" s="2"/>
      <c r="C1669" s="1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</row>
    <row r="1670" spans="1:23" x14ac:dyDescent="0.25">
      <c r="A1670" s="2"/>
      <c r="B1670" s="2"/>
      <c r="C1670" s="1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</row>
    <row r="1671" spans="1:23" x14ac:dyDescent="0.25">
      <c r="A1671" s="2"/>
      <c r="B1671" s="2"/>
      <c r="C1671" s="1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</row>
    <row r="1672" spans="1:23" x14ac:dyDescent="0.25">
      <c r="A1672" s="2"/>
      <c r="B1672" s="2"/>
      <c r="C1672" s="1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</row>
    <row r="1673" spans="1:23" x14ac:dyDescent="0.25">
      <c r="A1673" s="2"/>
      <c r="B1673" s="2"/>
      <c r="C1673" s="1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</row>
    <row r="1674" spans="1:23" x14ac:dyDescent="0.25">
      <c r="A1674" s="2"/>
      <c r="B1674" s="2"/>
      <c r="C1674" s="1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</row>
    <row r="1675" spans="1:23" x14ac:dyDescent="0.25">
      <c r="A1675" s="2"/>
      <c r="B1675" s="2"/>
      <c r="C1675" s="1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</row>
    <row r="1676" spans="1:23" x14ac:dyDescent="0.25">
      <c r="A1676" s="2"/>
      <c r="B1676" s="2"/>
      <c r="C1676" s="1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</row>
    <row r="1677" spans="1:23" x14ac:dyDescent="0.25">
      <c r="A1677" s="2"/>
      <c r="B1677" s="2"/>
      <c r="C1677" s="1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</row>
    <row r="1678" spans="1:23" x14ac:dyDescent="0.25">
      <c r="A1678" s="2"/>
      <c r="B1678" s="2"/>
      <c r="C1678" s="1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</row>
    <row r="1679" spans="1:23" x14ac:dyDescent="0.25">
      <c r="A1679" s="2"/>
      <c r="B1679" s="2"/>
      <c r="C1679" s="1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</row>
    <row r="1680" spans="1:23" x14ac:dyDescent="0.25">
      <c r="A1680" s="2"/>
      <c r="B1680" s="2"/>
      <c r="C1680" s="1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</row>
    <row r="1681" spans="1:23" x14ac:dyDescent="0.25">
      <c r="A1681" s="2"/>
      <c r="B1681" s="2"/>
      <c r="C1681" s="1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</row>
    <row r="1682" spans="1:23" x14ac:dyDescent="0.25">
      <c r="A1682" s="2"/>
      <c r="B1682" s="2"/>
      <c r="C1682" s="1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</row>
    <row r="1683" spans="1:23" x14ac:dyDescent="0.25">
      <c r="A1683" s="2"/>
      <c r="B1683" s="2"/>
      <c r="C1683" s="1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</row>
    <row r="1684" spans="1:23" x14ac:dyDescent="0.25">
      <c r="A1684" s="2"/>
      <c r="B1684" s="2"/>
      <c r="C1684" s="1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</row>
    <row r="1685" spans="1:23" x14ac:dyDescent="0.25">
      <c r="A1685" s="2"/>
      <c r="B1685" s="2"/>
      <c r="C1685" s="1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</row>
    <row r="1686" spans="1:23" x14ac:dyDescent="0.25">
      <c r="A1686" s="2"/>
      <c r="B1686" s="2"/>
      <c r="C1686" s="1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</row>
    <row r="1687" spans="1:23" x14ac:dyDescent="0.25">
      <c r="A1687" s="2"/>
      <c r="B1687" s="2"/>
      <c r="C1687" s="1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</row>
    <row r="1688" spans="1:23" x14ac:dyDescent="0.25">
      <c r="A1688" s="2"/>
      <c r="B1688" s="2"/>
      <c r="C1688" s="1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</row>
    <row r="1689" spans="1:23" x14ac:dyDescent="0.25">
      <c r="A1689" s="2"/>
      <c r="B1689" s="2"/>
      <c r="C1689" s="1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</row>
    <row r="1690" spans="1:23" x14ac:dyDescent="0.25">
      <c r="A1690" s="2"/>
      <c r="B1690" s="2"/>
      <c r="C1690" s="1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</row>
    <row r="1691" spans="1:23" x14ac:dyDescent="0.25">
      <c r="A1691" s="2"/>
      <c r="B1691" s="2"/>
      <c r="C1691" s="1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</row>
    <row r="1692" spans="1:23" x14ac:dyDescent="0.25">
      <c r="A1692" s="2"/>
      <c r="B1692" s="2"/>
      <c r="C1692" s="1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</row>
    <row r="1693" spans="1:23" x14ac:dyDescent="0.25">
      <c r="A1693" s="2"/>
      <c r="B1693" s="2"/>
      <c r="C1693" s="1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</row>
    <row r="1694" spans="1:23" x14ac:dyDescent="0.25">
      <c r="A1694" s="2"/>
      <c r="B1694" s="2"/>
      <c r="C1694" s="1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</row>
    <row r="1695" spans="1:23" x14ac:dyDescent="0.25">
      <c r="A1695" s="2"/>
      <c r="B1695" s="2"/>
      <c r="C1695" s="1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</row>
    <row r="1696" spans="1:23" x14ac:dyDescent="0.25">
      <c r="A1696" s="2"/>
      <c r="B1696" s="2"/>
      <c r="C1696" s="1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</row>
    <row r="1697" spans="1:23" x14ac:dyDescent="0.25">
      <c r="A1697" s="2"/>
      <c r="B1697" s="2"/>
      <c r="C1697" s="1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</row>
    <row r="1698" spans="1:23" x14ac:dyDescent="0.25">
      <c r="A1698" s="2"/>
      <c r="B1698" s="2"/>
      <c r="C1698" s="1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</row>
    <row r="1699" spans="1:23" x14ac:dyDescent="0.25">
      <c r="A1699" s="2"/>
      <c r="B1699" s="2"/>
      <c r="C1699" s="1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</row>
    <row r="1700" spans="1:23" x14ac:dyDescent="0.25">
      <c r="A1700" s="2"/>
      <c r="B1700" s="2"/>
      <c r="C1700" s="1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</row>
    <row r="1701" spans="1:23" x14ac:dyDescent="0.25">
      <c r="A1701" s="2"/>
      <c r="B1701" s="2"/>
      <c r="C1701" s="1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</row>
    <row r="1702" spans="1:23" x14ac:dyDescent="0.25">
      <c r="A1702" s="2"/>
      <c r="B1702" s="2"/>
      <c r="C1702" s="1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</row>
    <row r="1703" spans="1:23" x14ac:dyDescent="0.25">
      <c r="A1703" s="2"/>
      <c r="B1703" s="2"/>
      <c r="C1703" s="1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</row>
    <row r="1704" spans="1:23" x14ac:dyDescent="0.25">
      <c r="A1704" s="2"/>
      <c r="B1704" s="2"/>
      <c r="C1704" s="1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</row>
    <row r="1705" spans="1:23" x14ac:dyDescent="0.25">
      <c r="A1705" s="2"/>
      <c r="B1705" s="2"/>
      <c r="C1705" s="1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</row>
    <row r="1706" spans="1:23" x14ac:dyDescent="0.25">
      <c r="A1706" s="2"/>
      <c r="B1706" s="2"/>
      <c r="C1706" s="1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</row>
    <row r="1707" spans="1:23" x14ac:dyDescent="0.25">
      <c r="A1707" s="2"/>
      <c r="B1707" s="2"/>
      <c r="C1707" s="1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</row>
    <row r="1708" spans="1:23" x14ac:dyDescent="0.25">
      <c r="A1708" s="2"/>
      <c r="B1708" s="2"/>
      <c r="C1708" s="1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</row>
    <row r="1709" spans="1:23" x14ac:dyDescent="0.25">
      <c r="A1709" s="2"/>
      <c r="B1709" s="2"/>
      <c r="C1709" s="1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</row>
    <row r="1710" spans="1:23" x14ac:dyDescent="0.25">
      <c r="A1710" s="2"/>
      <c r="B1710" s="2"/>
      <c r="C1710" s="1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</row>
    <row r="1711" spans="1:23" x14ac:dyDescent="0.25">
      <c r="A1711" s="2"/>
      <c r="B1711" s="2"/>
      <c r="C1711" s="1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</row>
    <row r="1712" spans="1:23" x14ac:dyDescent="0.25">
      <c r="A1712" s="2"/>
      <c r="B1712" s="2"/>
      <c r="C1712" s="1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</row>
    <row r="1713" spans="1:23" x14ac:dyDescent="0.25">
      <c r="A1713" s="2"/>
      <c r="B1713" s="2"/>
      <c r="C1713" s="1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</row>
    <row r="1714" spans="1:23" x14ac:dyDescent="0.25">
      <c r="A1714" s="2"/>
      <c r="B1714" s="2"/>
      <c r="C1714" s="1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</row>
    <row r="1715" spans="1:23" x14ac:dyDescent="0.25">
      <c r="A1715" s="2"/>
      <c r="B1715" s="2"/>
      <c r="C1715" s="1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</row>
    <row r="1716" spans="1:23" x14ac:dyDescent="0.25">
      <c r="A1716" s="2"/>
      <c r="B1716" s="2"/>
      <c r="C1716" s="1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</row>
    <row r="1717" spans="1:23" x14ac:dyDescent="0.25">
      <c r="A1717" s="2"/>
      <c r="B1717" s="2"/>
      <c r="C1717" s="1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</row>
    <row r="1718" spans="1:23" x14ac:dyDescent="0.25">
      <c r="A1718" s="2"/>
      <c r="B1718" s="2"/>
      <c r="C1718" s="1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</row>
    <row r="1719" spans="1:23" x14ac:dyDescent="0.25">
      <c r="A1719" s="2"/>
      <c r="B1719" s="2"/>
      <c r="C1719" s="1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</row>
    <row r="1720" spans="1:23" x14ac:dyDescent="0.25">
      <c r="A1720" s="2"/>
      <c r="B1720" s="2"/>
      <c r="C1720" s="1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</row>
    <row r="1721" spans="1:23" x14ac:dyDescent="0.25">
      <c r="A1721" s="2"/>
      <c r="B1721" s="2"/>
      <c r="C1721" s="1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</row>
    <row r="1722" spans="1:23" x14ac:dyDescent="0.25">
      <c r="A1722" s="2"/>
      <c r="B1722" s="2"/>
      <c r="C1722" s="1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</row>
    <row r="1723" spans="1:23" x14ac:dyDescent="0.25">
      <c r="A1723" s="2"/>
      <c r="B1723" s="2"/>
      <c r="C1723" s="1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</row>
    <row r="1724" spans="1:23" x14ac:dyDescent="0.25">
      <c r="A1724" s="2"/>
      <c r="B1724" s="2"/>
      <c r="C1724" s="1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</row>
    <row r="1725" spans="1:23" x14ac:dyDescent="0.25">
      <c r="A1725" s="2"/>
      <c r="B1725" s="2"/>
      <c r="C1725" s="1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</row>
    <row r="1726" spans="1:23" x14ac:dyDescent="0.25">
      <c r="A1726" s="2"/>
      <c r="B1726" s="2"/>
      <c r="C1726" s="1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</row>
    <row r="1727" spans="1:23" x14ac:dyDescent="0.25">
      <c r="A1727" s="2"/>
      <c r="B1727" s="2"/>
      <c r="C1727" s="1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</row>
    <row r="1728" spans="1:23" x14ac:dyDescent="0.25">
      <c r="A1728" s="2"/>
      <c r="B1728" s="2"/>
      <c r="C1728" s="1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</row>
    <row r="1729" spans="1:23" x14ac:dyDescent="0.25">
      <c r="A1729" s="2"/>
      <c r="B1729" s="2"/>
      <c r="C1729" s="1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</row>
    <row r="1730" spans="1:23" x14ac:dyDescent="0.25">
      <c r="A1730" s="2"/>
      <c r="B1730" s="2"/>
      <c r="C1730" s="1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</row>
    <row r="1731" spans="1:23" x14ac:dyDescent="0.25">
      <c r="A1731" s="2"/>
      <c r="B1731" s="2"/>
      <c r="C1731" s="1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</row>
    <row r="1732" spans="1:23" x14ac:dyDescent="0.25">
      <c r="A1732" s="2"/>
      <c r="B1732" s="2"/>
      <c r="C1732" s="1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</row>
    <row r="1733" spans="1:23" x14ac:dyDescent="0.25">
      <c r="A1733" s="2"/>
      <c r="B1733" s="2"/>
      <c r="C1733" s="1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</row>
    <row r="1734" spans="1:23" x14ac:dyDescent="0.25">
      <c r="A1734" s="2"/>
      <c r="B1734" s="2"/>
      <c r="C1734" s="1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</row>
    <row r="1735" spans="1:23" x14ac:dyDescent="0.25">
      <c r="A1735" s="2"/>
      <c r="B1735" s="2"/>
      <c r="C1735" s="1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</row>
    <row r="1736" spans="1:23" x14ac:dyDescent="0.25">
      <c r="A1736" s="2"/>
      <c r="B1736" s="2"/>
      <c r="C1736" s="1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</row>
    <row r="1737" spans="1:23" x14ac:dyDescent="0.25">
      <c r="A1737" s="2"/>
      <c r="B1737" s="2"/>
      <c r="C1737" s="1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</row>
    <row r="1738" spans="1:23" x14ac:dyDescent="0.25">
      <c r="A1738" s="2"/>
      <c r="B1738" s="2"/>
      <c r="C1738" s="1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</row>
    <row r="1739" spans="1:23" x14ac:dyDescent="0.25">
      <c r="A1739" s="2"/>
      <c r="B1739" s="2"/>
      <c r="C1739" s="1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</row>
    <row r="1740" spans="1:23" x14ac:dyDescent="0.25">
      <c r="A1740" s="2"/>
      <c r="B1740" s="2"/>
      <c r="C1740" s="1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</row>
    <row r="1741" spans="1:23" x14ac:dyDescent="0.25">
      <c r="A1741" s="2"/>
      <c r="B1741" s="2"/>
      <c r="C1741" s="1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</row>
    <row r="1742" spans="1:23" x14ac:dyDescent="0.25">
      <c r="A1742" s="2"/>
      <c r="B1742" s="2"/>
      <c r="C1742" s="1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</row>
    <row r="1743" spans="1:23" x14ac:dyDescent="0.25">
      <c r="A1743" s="2"/>
      <c r="B1743" s="2"/>
      <c r="C1743" s="1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</row>
    <row r="1744" spans="1:23" x14ac:dyDescent="0.25">
      <c r="A1744" s="2"/>
      <c r="B1744" s="2"/>
      <c r="C1744" s="1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</row>
    <row r="1745" spans="1:23" x14ac:dyDescent="0.25">
      <c r="A1745" s="2"/>
      <c r="B1745" s="2"/>
      <c r="C1745" s="1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</row>
    <row r="1746" spans="1:23" x14ac:dyDescent="0.25">
      <c r="A1746" s="2"/>
      <c r="B1746" s="2"/>
      <c r="C1746" s="1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</row>
    <row r="1747" spans="1:23" x14ac:dyDescent="0.25">
      <c r="A1747" s="2"/>
      <c r="B1747" s="2"/>
      <c r="C1747" s="1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</row>
    <row r="1748" spans="1:23" x14ac:dyDescent="0.25">
      <c r="A1748" s="2"/>
      <c r="B1748" s="2"/>
      <c r="C1748" s="1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</row>
    <row r="1749" spans="1:23" x14ac:dyDescent="0.25">
      <c r="A1749" s="2"/>
      <c r="B1749" s="2"/>
      <c r="C1749" s="1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</row>
    <row r="1750" spans="1:23" x14ac:dyDescent="0.25">
      <c r="A1750" s="2"/>
      <c r="B1750" s="2"/>
      <c r="C1750" s="1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</row>
    <row r="1751" spans="1:23" x14ac:dyDescent="0.25">
      <c r="A1751" s="2"/>
      <c r="B1751" s="2"/>
      <c r="C1751" s="1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</row>
    <row r="1752" spans="1:23" x14ac:dyDescent="0.25">
      <c r="A1752" s="2"/>
      <c r="B1752" s="2"/>
      <c r="C1752" s="1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</row>
    <row r="1753" spans="1:23" x14ac:dyDescent="0.25">
      <c r="A1753" s="2"/>
      <c r="B1753" s="2"/>
      <c r="C1753" s="1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</row>
    <row r="1754" spans="1:23" x14ac:dyDescent="0.25">
      <c r="A1754" s="2"/>
      <c r="B1754" s="2"/>
      <c r="C1754" s="1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</row>
    <row r="1755" spans="1:23" x14ac:dyDescent="0.25">
      <c r="A1755" s="2"/>
      <c r="B1755" s="2"/>
      <c r="C1755" s="1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</row>
    <row r="1756" spans="1:23" x14ac:dyDescent="0.25">
      <c r="A1756" s="2"/>
      <c r="B1756" s="2"/>
      <c r="C1756" s="1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</row>
    <row r="1757" spans="1:23" x14ac:dyDescent="0.25">
      <c r="A1757" s="2"/>
      <c r="B1757" s="2"/>
      <c r="C1757" s="1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</row>
    <row r="1758" spans="1:23" x14ac:dyDescent="0.25">
      <c r="A1758" s="2"/>
      <c r="B1758" s="2"/>
      <c r="C1758" s="1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</row>
    <row r="1759" spans="1:23" x14ac:dyDescent="0.25">
      <c r="A1759" s="2"/>
      <c r="B1759" s="2"/>
      <c r="C1759" s="1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</row>
    <row r="1760" spans="1:23" x14ac:dyDescent="0.25">
      <c r="A1760" s="2"/>
      <c r="B1760" s="2"/>
      <c r="C1760" s="1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</row>
    <row r="1761" spans="1:23" x14ac:dyDescent="0.25">
      <c r="A1761" s="2"/>
      <c r="B1761" s="2"/>
      <c r="C1761" s="1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</row>
    <row r="1762" spans="1:23" x14ac:dyDescent="0.25">
      <c r="A1762" s="2"/>
      <c r="B1762" s="2"/>
      <c r="C1762" s="1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</row>
    <row r="1763" spans="1:23" x14ac:dyDescent="0.25">
      <c r="A1763" s="2"/>
      <c r="B1763" s="2"/>
      <c r="C1763" s="1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</row>
    <row r="1764" spans="1:23" x14ac:dyDescent="0.25">
      <c r="A1764" s="2"/>
      <c r="B1764" s="2"/>
      <c r="C1764" s="1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</row>
    <row r="1765" spans="1:23" x14ac:dyDescent="0.25">
      <c r="A1765" s="2"/>
      <c r="B1765" s="2"/>
      <c r="C1765" s="1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</row>
    <row r="1766" spans="1:23" x14ac:dyDescent="0.25">
      <c r="A1766" s="2"/>
      <c r="B1766" s="2"/>
      <c r="C1766" s="1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</row>
    <row r="1767" spans="1:23" x14ac:dyDescent="0.25">
      <c r="A1767" s="2"/>
      <c r="B1767" s="2"/>
      <c r="C1767" s="1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</row>
    <row r="1768" spans="1:23" x14ac:dyDescent="0.25">
      <c r="A1768" s="2"/>
      <c r="B1768" s="2"/>
      <c r="C1768" s="1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</row>
    <row r="1769" spans="1:23" x14ac:dyDescent="0.25">
      <c r="A1769" s="2"/>
      <c r="B1769" s="2"/>
      <c r="C1769" s="1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</row>
    <row r="1770" spans="1:23" x14ac:dyDescent="0.25">
      <c r="A1770" s="2"/>
      <c r="B1770" s="2"/>
      <c r="C1770" s="1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</row>
    <row r="1771" spans="1:23" x14ac:dyDescent="0.25">
      <c r="A1771" s="2"/>
      <c r="B1771" s="2"/>
      <c r="C1771" s="1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</row>
    <row r="1772" spans="1:23" x14ac:dyDescent="0.25">
      <c r="A1772" s="2"/>
      <c r="B1772" s="2"/>
      <c r="C1772" s="1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</row>
    <row r="1773" spans="1:23" x14ac:dyDescent="0.25">
      <c r="A1773" s="2"/>
      <c r="B1773" s="2"/>
      <c r="C1773" s="1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</row>
    <row r="1774" spans="1:23" x14ac:dyDescent="0.25">
      <c r="A1774" s="2"/>
      <c r="B1774" s="2"/>
      <c r="C1774" s="1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</row>
    <row r="1775" spans="1:23" x14ac:dyDescent="0.25">
      <c r="A1775" s="2"/>
      <c r="B1775" s="2"/>
      <c r="C1775" s="1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</row>
    <row r="1776" spans="1:23" x14ac:dyDescent="0.25">
      <c r="A1776" s="2"/>
      <c r="B1776" s="2"/>
      <c r="C1776" s="1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</row>
    <row r="1777" spans="1:23" x14ac:dyDescent="0.25">
      <c r="A1777" s="2"/>
      <c r="B1777" s="2"/>
      <c r="C1777" s="1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</row>
    <row r="1778" spans="1:23" x14ac:dyDescent="0.25">
      <c r="A1778" s="2"/>
      <c r="B1778" s="2"/>
      <c r="C1778" s="1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</row>
    <row r="1779" spans="1:23" x14ac:dyDescent="0.25">
      <c r="A1779" s="2"/>
      <c r="B1779" s="2"/>
      <c r="C1779" s="1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</row>
    <row r="1780" spans="1:23" x14ac:dyDescent="0.25">
      <c r="A1780" s="2"/>
      <c r="B1780" s="2"/>
      <c r="C1780" s="1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</row>
    <row r="1781" spans="1:23" x14ac:dyDescent="0.25">
      <c r="A1781" s="2"/>
      <c r="B1781" s="2"/>
      <c r="C1781" s="1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</row>
    <row r="1782" spans="1:23" x14ac:dyDescent="0.25">
      <c r="A1782" s="2"/>
      <c r="B1782" s="2"/>
      <c r="C1782" s="1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</row>
    <row r="1783" spans="1:23" x14ac:dyDescent="0.25">
      <c r="A1783" s="2"/>
      <c r="B1783" s="2"/>
      <c r="C1783" s="1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</row>
    <row r="1784" spans="1:23" x14ac:dyDescent="0.25">
      <c r="A1784" s="2"/>
      <c r="B1784" s="2"/>
      <c r="C1784" s="1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</row>
    <row r="1785" spans="1:23" x14ac:dyDescent="0.25">
      <c r="A1785" s="2"/>
      <c r="B1785" s="2"/>
      <c r="C1785" s="1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</row>
    <row r="1786" spans="1:23" x14ac:dyDescent="0.25">
      <c r="A1786" s="2"/>
      <c r="B1786" s="2"/>
      <c r="C1786" s="1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</row>
    <row r="1787" spans="1:23" x14ac:dyDescent="0.25">
      <c r="A1787" s="2"/>
      <c r="B1787" s="2"/>
      <c r="C1787" s="1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</row>
    <row r="1788" spans="1:23" x14ac:dyDescent="0.25">
      <c r="A1788" s="2"/>
      <c r="B1788" s="2"/>
      <c r="C1788" s="1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</row>
    <row r="1789" spans="1:23" x14ac:dyDescent="0.25">
      <c r="A1789" s="2"/>
      <c r="B1789" s="2"/>
      <c r="C1789" s="1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</row>
    <row r="1790" spans="1:23" x14ac:dyDescent="0.25">
      <c r="A1790" s="2"/>
      <c r="B1790" s="2"/>
      <c r="C1790" s="1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</row>
    <row r="1791" spans="1:23" x14ac:dyDescent="0.25">
      <c r="A1791" s="2"/>
      <c r="B1791" s="2"/>
      <c r="C1791" s="1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</row>
    <row r="1792" spans="1:23" x14ac:dyDescent="0.25">
      <c r="A1792" s="2"/>
      <c r="B1792" s="2"/>
      <c r="C1792" s="1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</row>
    <row r="1793" spans="1:23" x14ac:dyDescent="0.25">
      <c r="A1793" s="2"/>
      <c r="B1793" s="2"/>
      <c r="C1793" s="1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</row>
    <row r="1794" spans="1:23" x14ac:dyDescent="0.25">
      <c r="A1794" s="2"/>
      <c r="B1794" s="2"/>
      <c r="C1794" s="1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</row>
    <row r="1795" spans="1:23" x14ac:dyDescent="0.25">
      <c r="A1795" s="2"/>
      <c r="B1795" s="2"/>
      <c r="C1795" s="1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</row>
    <row r="1796" spans="1:23" x14ac:dyDescent="0.25">
      <c r="A1796" s="2"/>
      <c r="B1796" s="2"/>
      <c r="C1796" s="1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</row>
    <row r="1797" spans="1:23" x14ac:dyDescent="0.25">
      <c r="A1797" s="2"/>
      <c r="B1797" s="2"/>
      <c r="C1797" s="1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</row>
    <row r="1798" spans="1:23" x14ac:dyDescent="0.25">
      <c r="A1798" s="2"/>
      <c r="B1798" s="2"/>
      <c r="C1798" s="1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</row>
    <row r="1799" spans="1:23" x14ac:dyDescent="0.25">
      <c r="A1799" s="2"/>
      <c r="B1799" s="2"/>
      <c r="C1799" s="1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</row>
    <row r="1800" spans="1:23" x14ac:dyDescent="0.25">
      <c r="A1800" s="2"/>
      <c r="B1800" s="2"/>
      <c r="C1800" s="1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</row>
    <row r="1801" spans="1:23" x14ac:dyDescent="0.25">
      <c r="A1801" s="2"/>
      <c r="B1801" s="2"/>
      <c r="C1801" s="1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</row>
    <row r="1802" spans="1:23" x14ac:dyDescent="0.25">
      <c r="A1802" s="2"/>
      <c r="B1802" s="2"/>
      <c r="C1802" s="1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</row>
    <row r="1803" spans="1:23" x14ac:dyDescent="0.25">
      <c r="A1803" s="2"/>
      <c r="B1803" s="2"/>
      <c r="C1803" s="1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</row>
    <row r="1804" spans="1:23" x14ac:dyDescent="0.25">
      <c r="A1804" s="2"/>
      <c r="B1804" s="2"/>
      <c r="C1804" s="1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</row>
    <row r="1805" spans="1:23" x14ac:dyDescent="0.25">
      <c r="A1805" s="2"/>
      <c r="B1805" s="2"/>
      <c r="C1805" s="1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</row>
    <row r="1806" spans="1:23" x14ac:dyDescent="0.25">
      <c r="A1806" s="2"/>
      <c r="B1806" s="2"/>
      <c r="C1806" s="1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</row>
    <row r="1807" spans="1:23" x14ac:dyDescent="0.25">
      <c r="A1807" s="2"/>
      <c r="B1807" s="2"/>
      <c r="C1807" s="1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</row>
    <row r="1808" spans="1:23" x14ac:dyDescent="0.25">
      <c r="A1808" s="2"/>
      <c r="B1808" s="2"/>
      <c r="C1808" s="1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</row>
    <row r="1809" spans="1:23" x14ac:dyDescent="0.25">
      <c r="A1809" s="2"/>
      <c r="B1809" s="2"/>
      <c r="C1809" s="1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</row>
    <row r="1810" spans="1:23" x14ac:dyDescent="0.25">
      <c r="A1810" s="2"/>
      <c r="B1810" s="2"/>
      <c r="C1810" s="1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</row>
    <row r="1811" spans="1:23" x14ac:dyDescent="0.25">
      <c r="A1811" s="2"/>
      <c r="B1811" s="2"/>
      <c r="C1811" s="1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</row>
    <row r="1812" spans="1:23" x14ac:dyDescent="0.25">
      <c r="A1812" s="2"/>
      <c r="B1812" s="2"/>
      <c r="C1812" s="1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</row>
    <row r="1813" spans="1:23" x14ac:dyDescent="0.25">
      <c r="A1813" s="2"/>
      <c r="B1813" s="2"/>
      <c r="C1813" s="1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</row>
    <row r="1814" spans="1:23" x14ac:dyDescent="0.25">
      <c r="A1814" s="2"/>
      <c r="B1814" s="2"/>
      <c r="C1814" s="1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</row>
    <row r="1815" spans="1:23" x14ac:dyDescent="0.25">
      <c r="A1815" s="2"/>
      <c r="B1815" s="2"/>
      <c r="C1815" s="1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</row>
    <row r="1816" spans="1:23" x14ac:dyDescent="0.25">
      <c r="A1816" s="2"/>
      <c r="B1816" s="2"/>
      <c r="C1816" s="1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</row>
    <row r="1817" spans="1:23" x14ac:dyDescent="0.25">
      <c r="A1817" s="2"/>
      <c r="B1817" s="2"/>
      <c r="C1817" s="1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</row>
    <row r="1818" spans="1:23" x14ac:dyDescent="0.25">
      <c r="A1818" s="2"/>
      <c r="B1818" s="2"/>
      <c r="C1818" s="1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</row>
    <row r="1819" spans="1:23" x14ac:dyDescent="0.25">
      <c r="A1819" s="2"/>
      <c r="B1819" s="2"/>
      <c r="C1819" s="1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</row>
    <row r="1820" spans="1:23" x14ac:dyDescent="0.25">
      <c r="A1820" s="2"/>
      <c r="B1820" s="2"/>
      <c r="C1820" s="1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</row>
    <row r="1821" spans="1:23" x14ac:dyDescent="0.25">
      <c r="A1821" s="2"/>
      <c r="B1821" s="2"/>
      <c r="C1821" s="1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</row>
    <row r="1822" spans="1:23" x14ac:dyDescent="0.25">
      <c r="A1822" s="2"/>
      <c r="B1822" s="2"/>
      <c r="C1822" s="1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</row>
    <row r="1823" spans="1:23" x14ac:dyDescent="0.25">
      <c r="A1823" s="2"/>
      <c r="B1823" s="2"/>
      <c r="C1823" s="1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</row>
    <row r="1824" spans="1:23" x14ac:dyDescent="0.25">
      <c r="A1824" s="2"/>
      <c r="B1824" s="2"/>
      <c r="C1824" s="1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</row>
    <row r="1825" spans="1:23" x14ac:dyDescent="0.25">
      <c r="A1825" s="2"/>
      <c r="B1825" s="2"/>
      <c r="C1825" s="1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</row>
    <row r="1826" spans="1:23" x14ac:dyDescent="0.25">
      <c r="A1826" s="2"/>
      <c r="B1826" s="2"/>
      <c r="C1826" s="1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</row>
    <row r="1827" spans="1:23" x14ac:dyDescent="0.25">
      <c r="A1827" s="2"/>
      <c r="B1827" s="2"/>
      <c r="C1827" s="1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</row>
    <row r="1828" spans="1:23" x14ac:dyDescent="0.25">
      <c r="A1828" s="2"/>
      <c r="B1828" s="2"/>
      <c r="C1828" s="1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</row>
    <row r="1829" spans="1:23" x14ac:dyDescent="0.25">
      <c r="A1829" s="2"/>
      <c r="B1829" s="2"/>
      <c r="C1829" s="1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</row>
    <row r="1830" spans="1:23" x14ac:dyDescent="0.25">
      <c r="A1830" s="2"/>
      <c r="B1830" s="2"/>
      <c r="C1830" s="1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</row>
    <row r="1831" spans="1:23" x14ac:dyDescent="0.25">
      <c r="A1831" s="2"/>
      <c r="B1831" s="2"/>
      <c r="C1831" s="1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</row>
    <row r="1832" spans="1:23" x14ac:dyDescent="0.25">
      <c r="A1832" s="2"/>
      <c r="B1832" s="2"/>
      <c r="C1832" s="1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</row>
    <row r="1833" spans="1:23" x14ac:dyDescent="0.25">
      <c r="A1833" s="2"/>
      <c r="B1833" s="2"/>
      <c r="C1833" s="1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</row>
    <row r="1834" spans="1:23" x14ac:dyDescent="0.25">
      <c r="A1834" s="2"/>
      <c r="B1834" s="2"/>
      <c r="C1834" s="1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</row>
    <row r="1835" spans="1:23" x14ac:dyDescent="0.25">
      <c r="A1835" s="2"/>
      <c r="B1835" s="2"/>
      <c r="C1835" s="1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</row>
    <row r="1836" spans="1:23" x14ac:dyDescent="0.25">
      <c r="A1836" s="2"/>
      <c r="B1836" s="2"/>
      <c r="C1836" s="1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</row>
    <row r="1837" spans="1:23" x14ac:dyDescent="0.25">
      <c r="A1837" s="2"/>
      <c r="B1837" s="2"/>
      <c r="C1837" s="1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</row>
    <row r="1838" spans="1:23" x14ac:dyDescent="0.25">
      <c r="A1838" s="2"/>
      <c r="B1838" s="2"/>
      <c r="C1838" s="1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</row>
    <row r="1839" spans="1:23" x14ac:dyDescent="0.25">
      <c r="A1839" s="2"/>
      <c r="B1839" s="2"/>
      <c r="C1839" s="1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</row>
    <row r="1840" spans="1:23" x14ac:dyDescent="0.25">
      <c r="A1840" s="2"/>
      <c r="B1840" s="2"/>
      <c r="C1840" s="1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</row>
    <row r="1841" spans="1:23" x14ac:dyDescent="0.25">
      <c r="A1841" s="2"/>
      <c r="B1841" s="2"/>
      <c r="C1841" s="1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</row>
    <row r="1842" spans="1:23" x14ac:dyDescent="0.25">
      <c r="A1842" s="2"/>
      <c r="B1842" s="2"/>
      <c r="C1842" s="1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</row>
    <row r="1843" spans="1:23" x14ac:dyDescent="0.25">
      <c r="A1843" s="2"/>
      <c r="B1843" s="2"/>
      <c r="C1843" s="1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</row>
    <row r="1844" spans="1:23" x14ac:dyDescent="0.25">
      <c r="A1844" s="2"/>
      <c r="B1844" s="2"/>
      <c r="C1844" s="1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</row>
    <row r="1845" spans="1:23" x14ac:dyDescent="0.25">
      <c r="A1845" s="2"/>
      <c r="B1845" s="2"/>
      <c r="C1845" s="1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</row>
    <row r="1846" spans="1:23" x14ac:dyDescent="0.25">
      <c r="A1846" s="2"/>
      <c r="B1846" s="2"/>
      <c r="C1846" s="1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</row>
    <row r="1847" spans="1:23" x14ac:dyDescent="0.25">
      <c r="A1847" s="2"/>
      <c r="B1847" s="2"/>
      <c r="C1847" s="1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</row>
    <row r="1848" spans="1:23" x14ac:dyDescent="0.25">
      <c r="A1848" s="2"/>
      <c r="B1848" s="2"/>
      <c r="C1848" s="1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</row>
    <row r="1849" spans="1:23" x14ac:dyDescent="0.25">
      <c r="A1849" s="2"/>
      <c r="B1849" s="2"/>
      <c r="C1849" s="1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</row>
    <row r="1850" spans="1:23" x14ac:dyDescent="0.25">
      <c r="A1850" s="2"/>
      <c r="B1850" s="2"/>
      <c r="C1850" s="1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</row>
    <row r="1851" spans="1:23" x14ac:dyDescent="0.25">
      <c r="A1851" s="2"/>
      <c r="B1851" s="2"/>
      <c r="C1851" s="1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</row>
    <row r="1852" spans="1:23" x14ac:dyDescent="0.25">
      <c r="A1852" s="2"/>
      <c r="B1852" s="2"/>
      <c r="C1852" s="1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</row>
    <row r="1853" spans="1:23" x14ac:dyDescent="0.25">
      <c r="A1853" s="2"/>
      <c r="B1853" s="2"/>
      <c r="C1853" s="1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</row>
    <row r="1854" spans="1:23" x14ac:dyDescent="0.25">
      <c r="A1854" s="2"/>
      <c r="B1854" s="2"/>
      <c r="C1854" s="1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</row>
    <row r="1855" spans="1:23" x14ac:dyDescent="0.25">
      <c r="A1855" s="2"/>
      <c r="B1855" s="2"/>
      <c r="C1855" s="1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</row>
    <row r="1856" spans="1:23" x14ac:dyDescent="0.25">
      <c r="A1856" s="2"/>
      <c r="B1856" s="2"/>
      <c r="C1856" s="1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</row>
    <row r="1857" spans="1:23" x14ac:dyDescent="0.25">
      <c r="A1857" s="2"/>
      <c r="B1857" s="2"/>
      <c r="C1857" s="1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</row>
    <row r="1858" spans="1:23" x14ac:dyDescent="0.25">
      <c r="A1858" s="2"/>
      <c r="B1858" s="2"/>
      <c r="C1858" s="1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</row>
    <row r="1859" spans="1:23" x14ac:dyDescent="0.25">
      <c r="A1859" s="2"/>
      <c r="B1859" s="2"/>
      <c r="C1859" s="1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</row>
    <row r="1860" spans="1:23" x14ac:dyDescent="0.25">
      <c r="A1860" s="2"/>
      <c r="B1860" s="2"/>
      <c r="C1860" s="1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</row>
    <row r="1861" spans="1:23" x14ac:dyDescent="0.25">
      <c r="A1861" s="2"/>
      <c r="B1861" s="2"/>
      <c r="C1861" s="1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</row>
    <row r="1862" spans="1:23" x14ac:dyDescent="0.25">
      <c r="A1862" s="2"/>
      <c r="B1862" s="2"/>
      <c r="C1862" s="1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</row>
    <row r="1863" spans="1:23" x14ac:dyDescent="0.25">
      <c r="A1863" s="2"/>
      <c r="B1863" s="2"/>
      <c r="C1863" s="1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</row>
    <row r="1864" spans="1:23" x14ac:dyDescent="0.25">
      <c r="A1864" s="2"/>
      <c r="B1864" s="2"/>
      <c r="C1864" s="1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</row>
    <row r="1865" spans="1:23" x14ac:dyDescent="0.25">
      <c r="A1865" s="2"/>
      <c r="B1865" s="2"/>
      <c r="C1865" s="1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</row>
    <row r="1866" spans="1:23" x14ac:dyDescent="0.25">
      <c r="A1866" s="2"/>
      <c r="B1866" s="2"/>
      <c r="C1866" s="1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</row>
    <row r="1867" spans="1:23" x14ac:dyDescent="0.25">
      <c r="A1867" s="2"/>
      <c r="B1867" s="2"/>
      <c r="C1867" s="1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</row>
    <row r="1868" spans="1:23" x14ac:dyDescent="0.25">
      <c r="A1868" s="2"/>
      <c r="B1868" s="2"/>
      <c r="C1868" s="1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</row>
    <row r="1869" spans="1:23" x14ac:dyDescent="0.25">
      <c r="A1869" s="2"/>
      <c r="B1869" s="2"/>
      <c r="C1869" s="1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</row>
    <row r="1870" spans="1:23" x14ac:dyDescent="0.25">
      <c r="A1870" s="2"/>
      <c r="B1870" s="2"/>
      <c r="C1870" s="1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</row>
    <row r="1871" spans="1:23" x14ac:dyDescent="0.25">
      <c r="A1871" s="2"/>
      <c r="B1871" s="2"/>
      <c r="C1871" s="1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</row>
    <row r="1872" spans="1:23" x14ac:dyDescent="0.25">
      <c r="A1872" s="2"/>
      <c r="B1872" s="2"/>
      <c r="C1872" s="1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</row>
    <row r="1873" spans="1:23" x14ac:dyDescent="0.25">
      <c r="A1873" s="2"/>
      <c r="B1873" s="2"/>
      <c r="C1873" s="1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</row>
    <row r="1874" spans="1:23" x14ac:dyDescent="0.25">
      <c r="A1874" s="2"/>
      <c r="B1874" s="2"/>
      <c r="C1874" s="1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</row>
    <row r="1875" spans="1:23" x14ac:dyDescent="0.25">
      <c r="A1875" s="2"/>
      <c r="B1875" s="2"/>
      <c r="C1875" s="1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</row>
    <row r="1876" spans="1:23" x14ac:dyDescent="0.25">
      <c r="A1876" s="2"/>
      <c r="B1876" s="2"/>
      <c r="C1876" s="1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</row>
    <row r="1877" spans="1:23" x14ac:dyDescent="0.25">
      <c r="A1877" s="2"/>
      <c r="B1877" s="2"/>
      <c r="C1877" s="1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</row>
    <row r="1878" spans="1:23" x14ac:dyDescent="0.25">
      <c r="A1878" s="2"/>
      <c r="B1878" s="2"/>
      <c r="C1878" s="1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</row>
    <row r="1879" spans="1:23" x14ac:dyDescent="0.25">
      <c r="A1879" s="2"/>
      <c r="B1879" s="2"/>
      <c r="C1879" s="1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</row>
    <row r="1880" spans="1:23" x14ac:dyDescent="0.25">
      <c r="A1880" s="2"/>
      <c r="B1880" s="2"/>
      <c r="C1880" s="1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</row>
    <row r="1881" spans="1:23" x14ac:dyDescent="0.25">
      <c r="A1881" s="2"/>
      <c r="B1881" s="2"/>
      <c r="C1881" s="1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</row>
    <row r="1882" spans="1:23" x14ac:dyDescent="0.25">
      <c r="A1882" s="2"/>
      <c r="B1882" s="2"/>
      <c r="C1882" s="1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</row>
    <row r="1883" spans="1:23" x14ac:dyDescent="0.25">
      <c r="A1883" s="2"/>
      <c r="B1883" s="2"/>
      <c r="C1883" s="1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</row>
    <row r="1884" spans="1:23" x14ac:dyDescent="0.25">
      <c r="A1884" s="2"/>
      <c r="B1884" s="2"/>
      <c r="C1884" s="1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</row>
    <row r="1885" spans="1:23" x14ac:dyDescent="0.25">
      <c r="A1885" s="2"/>
      <c r="B1885" s="2"/>
      <c r="C1885" s="1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</row>
    <row r="1886" spans="1:23" x14ac:dyDescent="0.25">
      <c r="A1886" s="2"/>
      <c r="B1886" s="2"/>
      <c r="C1886" s="1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</row>
    <row r="1887" spans="1:23" x14ac:dyDescent="0.25">
      <c r="A1887" s="2"/>
      <c r="B1887" s="2"/>
      <c r="C1887" s="1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</row>
    <row r="1888" spans="1:23" x14ac:dyDescent="0.25">
      <c r="A1888" s="2"/>
      <c r="B1888" s="2"/>
      <c r="C1888" s="1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</row>
    <row r="1889" spans="1:23" x14ac:dyDescent="0.25">
      <c r="A1889" s="2"/>
      <c r="B1889" s="2"/>
      <c r="C1889" s="1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</row>
    <row r="1890" spans="1:23" x14ac:dyDescent="0.25">
      <c r="A1890" s="2"/>
      <c r="B1890" s="2"/>
      <c r="C1890" s="1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</row>
    <row r="1891" spans="1:23" x14ac:dyDescent="0.25">
      <c r="A1891" s="2"/>
      <c r="B1891" s="2"/>
      <c r="C1891" s="1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</row>
    <row r="1892" spans="1:23" x14ac:dyDescent="0.25">
      <c r="A1892" s="2"/>
      <c r="B1892" s="2"/>
      <c r="C1892" s="1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</row>
    <row r="1893" spans="1:23" x14ac:dyDescent="0.25">
      <c r="A1893" s="2"/>
      <c r="B1893" s="2"/>
      <c r="C1893" s="1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</row>
    <row r="1894" spans="1:23" x14ac:dyDescent="0.25">
      <c r="A1894" s="2"/>
      <c r="B1894" s="2"/>
      <c r="C1894" s="1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</row>
    <row r="1895" spans="1:23" x14ac:dyDescent="0.25">
      <c r="A1895" s="2"/>
      <c r="B1895" s="2"/>
      <c r="C1895" s="1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</row>
    <row r="1896" spans="1:23" x14ac:dyDescent="0.25">
      <c r="A1896" s="2"/>
      <c r="B1896" s="2"/>
      <c r="C1896" s="1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</row>
    <row r="1897" spans="1:23" x14ac:dyDescent="0.25">
      <c r="A1897" s="2"/>
      <c r="B1897" s="2"/>
      <c r="C1897" s="1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</row>
    <row r="1898" spans="1:23" x14ac:dyDescent="0.25">
      <c r="A1898" s="2"/>
      <c r="B1898" s="2"/>
      <c r="C1898" s="1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</row>
    <row r="1899" spans="1:23" x14ac:dyDescent="0.25">
      <c r="A1899" s="2"/>
      <c r="B1899" s="2"/>
      <c r="C1899" s="1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</row>
    <row r="1900" spans="1:23" x14ac:dyDescent="0.25">
      <c r="A1900" s="2"/>
      <c r="B1900" s="2"/>
      <c r="C1900" s="1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</row>
    <row r="1901" spans="1:23" x14ac:dyDescent="0.25">
      <c r="A1901" s="2"/>
      <c r="B1901" s="2"/>
      <c r="C1901" s="1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</row>
    <row r="1902" spans="1:23" x14ac:dyDescent="0.25">
      <c r="A1902" s="2"/>
      <c r="B1902" s="2"/>
      <c r="C1902" s="1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</row>
    <row r="1903" spans="1:23" x14ac:dyDescent="0.25">
      <c r="A1903" s="2"/>
      <c r="B1903" s="2"/>
      <c r="C1903" s="1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</row>
    <row r="1904" spans="1:23" x14ac:dyDescent="0.25">
      <c r="A1904" s="2"/>
      <c r="B1904" s="2"/>
      <c r="C1904" s="1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</row>
    <row r="1905" spans="1:23" x14ac:dyDescent="0.25">
      <c r="A1905" s="2"/>
      <c r="B1905" s="2"/>
      <c r="C1905" s="1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</row>
    <row r="1906" spans="1:23" x14ac:dyDescent="0.25">
      <c r="A1906" s="2"/>
      <c r="B1906" s="2"/>
      <c r="C1906" s="1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</row>
    <row r="1907" spans="1:23" x14ac:dyDescent="0.25">
      <c r="A1907" s="2"/>
      <c r="B1907" s="2"/>
      <c r="C1907" s="1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</row>
    <row r="1908" spans="1:23" x14ac:dyDescent="0.25">
      <c r="A1908" s="2"/>
      <c r="B1908" s="2"/>
      <c r="C1908" s="1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</row>
    <row r="1909" spans="1:23" x14ac:dyDescent="0.25">
      <c r="A1909" s="2"/>
      <c r="B1909" s="2"/>
      <c r="C1909" s="1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</row>
    <row r="1910" spans="1:23" x14ac:dyDescent="0.25">
      <c r="A1910" s="2"/>
      <c r="B1910" s="2"/>
      <c r="C1910" s="1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</row>
    <row r="1911" spans="1:23" x14ac:dyDescent="0.25">
      <c r="A1911" s="2"/>
      <c r="B1911" s="2"/>
      <c r="C1911" s="1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</row>
    <row r="1912" spans="1:23" x14ac:dyDescent="0.25">
      <c r="A1912" s="2"/>
      <c r="B1912" s="2"/>
      <c r="C1912" s="1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</row>
    <row r="1913" spans="1:23" x14ac:dyDescent="0.25">
      <c r="A1913" s="2"/>
      <c r="B1913" s="2"/>
      <c r="C1913" s="1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</row>
    <row r="1914" spans="1:23" x14ac:dyDescent="0.25">
      <c r="A1914" s="2"/>
      <c r="B1914" s="2"/>
      <c r="C1914" s="1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</row>
    <row r="1915" spans="1:23" x14ac:dyDescent="0.25">
      <c r="A1915" s="2"/>
      <c r="B1915" s="2"/>
      <c r="C1915" s="1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</row>
    <row r="1916" spans="1:23" x14ac:dyDescent="0.25">
      <c r="A1916" s="2"/>
      <c r="B1916" s="2"/>
      <c r="C1916" s="1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</row>
    <row r="1917" spans="1:23" x14ac:dyDescent="0.25">
      <c r="A1917" s="2"/>
      <c r="B1917" s="2"/>
      <c r="C1917" s="1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</row>
    <row r="1918" spans="1:23" x14ac:dyDescent="0.25">
      <c r="A1918" s="2"/>
      <c r="B1918" s="2"/>
      <c r="C1918" s="1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</row>
    <row r="1919" spans="1:23" x14ac:dyDescent="0.25">
      <c r="A1919" s="2"/>
      <c r="B1919" s="2"/>
      <c r="C1919" s="1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</row>
    <row r="1920" spans="1:23" x14ac:dyDescent="0.25">
      <c r="A1920" s="2"/>
      <c r="B1920" s="2"/>
      <c r="C1920" s="1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</row>
    <row r="1921" spans="1:23" x14ac:dyDescent="0.25">
      <c r="A1921" s="2"/>
      <c r="B1921" s="2"/>
      <c r="C1921" s="1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</row>
    <row r="1922" spans="1:23" x14ac:dyDescent="0.25">
      <c r="A1922" s="2"/>
      <c r="B1922" s="2"/>
      <c r="C1922" s="1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</row>
    <row r="1923" spans="1:23" x14ac:dyDescent="0.25">
      <c r="A1923" s="2"/>
      <c r="B1923" s="2"/>
      <c r="C1923" s="1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</row>
    <row r="1924" spans="1:23" x14ac:dyDescent="0.25">
      <c r="A1924" s="2"/>
      <c r="B1924" s="2"/>
      <c r="C1924" s="1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</row>
    <row r="1925" spans="1:23" x14ac:dyDescent="0.25">
      <c r="A1925" s="2"/>
      <c r="B1925" s="2"/>
      <c r="C1925" s="1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</row>
    <row r="1926" spans="1:23" x14ac:dyDescent="0.25">
      <c r="A1926" s="2"/>
      <c r="B1926" s="2"/>
      <c r="C1926" s="1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</row>
    <row r="1927" spans="1:23" x14ac:dyDescent="0.25">
      <c r="A1927" s="2"/>
      <c r="B1927" s="2"/>
      <c r="C1927" s="1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</row>
    <row r="1928" spans="1:23" x14ac:dyDescent="0.25">
      <c r="A1928" s="2"/>
      <c r="B1928" s="2"/>
      <c r="C1928" s="1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</row>
    <row r="1929" spans="1:23" x14ac:dyDescent="0.25">
      <c r="A1929" s="2"/>
      <c r="B1929" s="2"/>
      <c r="C1929" s="1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</row>
    <row r="1930" spans="1:23" x14ac:dyDescent="0.25">
      <c r="A1930" s="2"/>
      <c r="B1930" s="2"/>
      <c r="C1930" s="1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</row>
    <row r="1931" spans="1:23" x14ac:dyDescent="0.25">
      <c r="A1931" s="2"/>
      <c r="B1931" s="2"/>
      <c r="C1931" s="1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</row>
    <row r="1932" spans="1:23" x14ac:dyDescent="0.25">
      <c r="A1932" s="2"/>
      <c r="B1932" s="2"/>
      <c r="C1932" s="1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</row>
    <row r="1933" spans="1:23" x14ac:dyDescent="0.25">
      <c r="A1933" s="2"/>
      <c r="B1933" s="2"/>
      <c r="C1933" s="1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</row>
    <row r="1934" spans="1:23" x14ac:dyDescent="0.25">
      <c r="A1934" s="2"/>
      <c r="B1934" s="2"/>
      <c r="C1934" s="1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</row>
    <row r="1935" spans="1:23" x14ac:dyDescent="0.25">
      <c r="A1935" s="2"/>
      <c r="B1935" s="2"/>
      <c r="C1935" s="1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</row>
    <row r="1936" spans="1:23" x14ac:dyDescent="0.25">
      <c r="A1936" s="2"/>
      <c r="B1936" s="2"/>
      <c r="C1936" s="1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</row>
    <row r="1937" spans="1:23" x14ac:dyDescent="0.25">
      <c r="A1937" s="2"/>
      <c r="B1937" s="2"/>
      <c r="C1937" s="1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</row>
    <row r="1938" spans="1:23" x14ac:dyDescent="0.25">
      <c r="A1938" s="2"/>
      <c r="B1938" s="2"/>
      <c r="C1938" s="1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</row>
    <row r="1939" spans="1:23" x14ac:dyDescent="0.25">
      <c r="A1939" s="2"/>
      <c r="B1939" s="2"/>
      <c r="C1939" s="1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</row>
    <row r="1940" spans="1:23" x14ac:dyDescent="0.25">
      <c r="A1940" s="2"/>
      <c r="B1940" s="2"/>
      <c r="C1940" s="1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</row>
    <row r="1941" spans="1:23" x14ac:dyDescent="0.25">
      <c r="A1941" s="2"/>
      <c r="B1941" s="2"/>
      <c r="C1941" s="1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</row>
    <row r="1942" spans="1:23" x14ac:dyDescent="0.25">
      <c r="A1942" s="2"/>
      <c r="B1942" s="2"/>
      <c r="C1942" s="1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</row>
    <row r="1943" spans="1:23" x14ac:dyDescent="0.25">
      <c r="A1943" s="2"/>
      <c r="B1943" s="2"/>
      <c r="C1943" s="1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</row>
    <row r="1944" spans="1:23" x14ac:dyDescent="0.25">
      <c r="A1944" s="2"/>
      <c r="B1944" s="2"/>
      <c r="C1944" s="1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</row>
    <row r="1945" spans="1:23" x14ac:dyDescent="0.25">
      <c r="A1945" s="2"/>
      <c r="B1945" s="2"/>
      <c r="C1945" s="1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</row>
    <row r="1946" spans="1:23" x14ac:dyDescent="0.25">
      <c r="A1946" s="2"/>
      <c r="B1946" s="2"/>
      <c r="C1946" s="1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</row>
    <row r="1947" spans="1:23" x14ac:dyDescent="0.25">
      <c r="A1947" s="2"/>
      <c r="B1947" s="2"/>
      <c r="C1947" s="1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</row>
    <row r="1948" spans="1:23" x14ac:dyDescent="0.25">
      <c r="A1948" s="2"/>
      <c r="B1948" s="2"/>
      <c r="C1948" s="1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</row>
    <row r="1949" spans="1:23" x14ac:dyDescent="0.25">
      <c r="A1949" s="2"/>
      <c r="B1949" s="2"/>
      <c r="C1949" s="1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</row>
    <row r="1950" spans="1:23" x14ac:dyDescent="0.25">
      <c r="A1950" s="2"/>
      <c r="B1950" s="2"/>
      <c r="C1950" s="1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</row>
    <row r="1951" spans="1:23" x14ac:dyDescent="0.25">
      <c r="A1951" s="2"/>
      <c r="B1951" s="2"/>
      <c r="C1951" s="1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</row>
    <row r="1952" spans="1:23" x14ac:dyDescent="0.25">
      <c r="A1952" s="2"/>
      <c r="B1952" s="2"/>
      <c r="C1952" s="1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</row>
    <row r="1953" spans="1:23" x14ac:dyDescent="0.25">
      <c r="A1953" s="2"/>
      <c r="B1953" s="2"/>
      <c r="C1953" s="1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</row>
    <row r="1954" spans="1:23" x14ac:dyDescent="0.25">
      <c r="A1954" s="2"/>
      <c r="B1954" s="2"/>
      <c r="C1954" s="1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</row>
    <row r="1955" spans="1:23" x14ac:dyDescent="0.25">
      <c r="A1955" s="2"/>
      <c r="B1955" s="2"/>
      <c r="C1955" s="1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</row>
    <row r="1956" spans="1:23" x14ac:dyDescent="0.25">
      <c r="A1956" s="2"/>
      <c r="B1956" s="2"/>
      <c r="C1956" s="1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</row>
    <row r="1957" spans="1:23" x14ac:dyDescent="0.25">
      <c r="A1957" s="2"/>
      <c r="B1957" s="2"/>
      <c r="C1957" s="1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</row>
    <row r="1958" spans="1:23" x14ac:dyDescent="0.25">
      <c r="A1958" s="2"/>
      <c r="B1958" s="2"/>
      <c r="C1958" s="1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</row>
    <row r="1959" spans="1:23" x14ac:dyDescent="0.25">
      <c r="A1959" s="2"/>
      <c r="B1959" s="2"/>
      <c r="C1959" s="1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</row>
    <row r="1960" spans="1:23" x14ac:dyDescent="0.25">
      <c r="A1960" s="2"/>
      <c r="B1960" s="2"/>
      <c r="C1960" s="1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</row>
    <row r="1961" spans="1:23" x14ac:dyDescent="0.25">
      <c r="A1961" s="2"/>
      <c r="B1961" s="2"/>
      <c r="C1961" s="1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</row>
    <row r="1962" spans="1:23" x14ac:dyDescent="0.25">
      <c r="A1962" s="2"/>
      <c r="B1962" s="2"/>
      <c r="C1962" s="1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</row>
    <row r="1963" spans="1:23" x14ac:dyDescent="0.25">
      <c r="A1963" s="2"/>
      <c r="B1963" s="2"/>
      <c r="C1963" s="1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</row>
    <row r="1964" spans="1:23" x14ac:dyDescent="0.25">
      <c r="A1964" s="2"/>
      <c r="B1964" s="2"/>
      <c r="C1964" s="1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</row>
    <row r="1965" spans="1:23" x14ac:dyDescent="0.25">
      <c r="A1965" s="2"/>
      <c r="B1965" s="2"/>
      <c r="C1965" s="1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</row>
    <row r="1966" spans="1:23" x14ac:dyDescent="0.25">
      <c r="A1966" s="2"/>
      <c r="B1966" s="2"/>
      <c r="C1966" s="1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</row>
    <row r="1967" spans="1:23" x14ac:dyDescent="0.25">
      <c r="A1967" s="2"/>
      <c r="B1967" s="2"/>
      <c r="C1967" s="1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</row>
    <row r="1968" spans="1:23" x14ac:dyDescent="0.25">
      <c r="A1968" s="2"/>
      <c r="B1968" s="2"/>
      <c r="C1968" s="1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</row>
    <row r="1969" spans="1:23" x14ac:dyDescent="0.25">
      <c r="A1969" s="2"/>
      <c r="B1969" s="2"/>
      <c r="C1969" s="1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</row>
    <row r="1970" spans="1:23" x14ac:dyDescent="0.25">
      <c r="A1970" s="2"/>
      <c r="B1970" s="2"/>
      <c r="C1970" s="1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</row>
    <row r="1971" spans="1:23" x14ac:dyDescent="0.25">
      <c r="A1971" s="2"/>
      <c r="B1971" s="2"/>
      <c r="C1971" s="1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</row>
    <row r="1972" spans="1:23" x14ac:dyDescent="0.25">
      <c r="A1972" s="2"/>
      <c r="B1972" s="2"/>
      <c r="C1972" s="1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</row>
    <row r="1973" spans="1:23" x14ac:dyDescent="0.25">
      <c r="A1973" s="2"/>
      <c r="B1973" s="2"/>
      <c r="C1973" s="1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</row>
    <row r="1974" spans="1:23" x14ac:dyDescent="0.25">
      <c r="A1974" s="2"/>
      <c r="B1974" s="2"/>
      <c r="C1974" s="1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</row>
    <row r="1975" spans="1:23" x14ac:dyDescent="0.25">
      <c r="A1975" s="2"/>
      <c r="B1975" s="2"/>
      <c r="C1975" s="1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</row>
    <row r="1976" spans="1:23" x14ac:dyDescent="0.25">
      <c r="A1976" s="2"/>
      <c r="B1976" s="2"/>
      <c r="C1976" s="1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</row>
    <row r="1977" spans="1:23" x14ac:dyDescent="0.25">
      <c r="A1977" s="2"/>
      <c r="B1977" s="2"/>
      <c r="C1977" s="1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</row>
    <row r="1978" spans="1:23" x14ac:dyDescent="0.25">
      <c r="A1978" s="2"/>
      <c r="B1978" s="2"/>
      <c r="C1978" s="1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</row>
    <row r="1979" spans="1:23" x14ac:dyDescent="0.25">
      <c r="A1979" s="2"/>
      <c r="B1979" s="2"/>
      <c r="C1979" s="1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</row>
    <row r="1980" spans="1:23" x14ac:dyDescent="0.25">
      <c r="A1980" s="2"/>
      <c r="B1980" s="2"/>
      <c r="C1980" s="1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</row>
    <row r="1981" spans="1:23" x14ac:dyDescent="0.25">
      <c r="A1981" s="2"/>
      <c r="B1981" s="2"/>
      <c r="C1981" s="1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</row>
    <row r="1982" spans="1:23" x14ac:dyDescent="0.25">
      <c r="A1982" s="2"/>
      <c r="B1982" s="2"/>
      <c r="C1982" s="1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</row>
    <row r="1983" spans="1:23" x14ac:dyDescent="0.25">
      <c r="A1983" s="2"/>
      <c r="B1983" s="2"/>
      <c r="C1983" s="1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</row>
    <row r="1984" spans="1:23" x14ac:dyDescent="0.25">
      <c r="A1984" s="2"/>
      <c r="B1984" s="2"/>
      <c r="C1984" s="1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</row>
    <row r="1985" spans="1:23" x14ac:dyDescent="0.25">
      <c r="A1985" s="2"/>
      <c r="B1985" s="2"/>
      <c r="C1985" s="1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</row>
    <row r="1986" spans="1:23" x14ac:dyDescent="0.25">
      <c r="A1986" s="2"/>
      <c r="B1986" s="2"/>
      <c r="C1986" s="1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</row>
    <row r="1987" spans="1:23" x14ac:dyDescent="0.25">
      <c r="A1987" s="2"/>
      <c r="B1987" s="2"/>
      <c r="C1987" s="1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</row>
    <row r="1988" spans="1:23" x14ac:dyDescent="0.25">
      <c r="A1988" s="2"/>
      <c r="B1988" s="2"/>
      <c r="C1988" s="1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</row>
    <row r="1989" spans="1:23" x14ac:dyDescent="0.25">
      <c r="A1989" s="2"/>
      <c r="B1989" s="2"/>
      <c r="C1989" s="1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</row>
    <row r="1990" spans="1:23" x14ac:dyDescent="0.25">
      <c r="A1990" s="2"/>
      <c r="B1990" s="2"/>
      <c r="C1990" s="1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</row>
    <row r="1991" spans="1:23" x14ac:dyDescent="0.25">
      <c r="A1991" s="2"/>
      <c r="B1991" s="2"/>
      <c r="C1991" s="1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</row>
    <row r="1992" spans="1:23" x14ac:dyDescent="0.25">
      <c r="A1992" s="2"/>
      <c r="B1992" s="2"/>
      <c r="C1992" s="1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</row>
    <row r="1993" spans="1:23" x14ac:dyDescent="0.25">
      <c r="A1993" s="2"/>
      <c r="B1993" s="2"/>
      <c r="C1993" s="1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</row>
    <row r="1994" spans="1:23" x14ac:dyDescent="0.25">
      <c r="A1994" s="2"/>
      <c r="B1994" s="2"/>
      <c r="C1994" s="1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</row>
    <row r="1995" spans="1:23" x14ac:dyDescent="0.25">
      <c r="A1995" s="2"/>
      <c r="B1995" s="2"/>
      <c r="C1995" s="1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</row>
    <row r="1996" spans="1:23" x14ac:dyDescent="0.25">
      <c r="A1996" s="2"/>
      <c r="B1996" s="2"/>
      <c r="C1996" s="1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</row>
    <row r="1997" spans="1:23" x14ac:dyDescent="0.25">
      <c r="A1997" s="2"/>
      <c r="B1997" s="2"/>
      <c r="C1997" s="1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</row>
    <row r="1998" spans="1:23" x14ac:dyDescent="0.25">
      <c r="A1998" s="2"/>
      <c r="B1998" s="2"/>
      <c r="C1998" s="1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</row>
    <row r="1999" spans="1:23" x14ac:dyDescent="0.25">
      <c r="A1999" s="2"/>
      <c r="B1999" s="2"/>
      <c r="C1999" s="1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</row>
    <row r="2000" spans="1:23" x14ac:dyDescent="0.25">
      <c r="A2000" s="2"/>
      <c r="B2000" s="2"/>
      <c r="C2000" s="1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</row>
    <row r="2001" spans="1:23" x14ac:dyDescent="0.25">
      <c r="A2001" s="2"/>
      <c r="B2001" s="2"/>
      <c r="C2001" s="1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</row>
    <row r="2002" spans="1:23" x14ac:dyDescent="0.25">
      <c r="A2002" s="2"/>
      <c r="B2002" s="2"/>
      <c r="C2002" s="1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</row>
    <row r="2003" spans="1:23" x14ac:dyDescent="0.25">
      <c r="A2003" s="2"/>
      <c r="B2003" s="2"/>
      <c r="C2003" s="1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</row>
    <row r="2004" spans="1:23" x14ac:dyDescent="0.25">
      <c r="A2004" s="2"/>
      <c r="B2004" s="2"/>
      <c r="C2004" s="1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</row>
    <row r="2005" spans="1:23" x14ac:dyDescent="0.25">
      <c r="A2005" s="2"/>
      <c r="B2005" s="2"/>
      <c r="C2005" s="1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</row>
    <row r="2006" spans="1:23" x14ac:dyDescent="0.25">
      <c r="A2006" s="2"/>
      <c r="B2006" s="2"/>
      <c r="C2006" s="1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</row>
    <row r="2007" spans="1:23" x14ac:dyDescent="0.25">
      <c r="A2007" s="2"/>
      <c r="B2007" s="2"/>
      <c r="C2007" s="1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</row>
    <row r="2008" spans="1:23" x14ac:dyDescent="0.25">
      <c r="A2008" s="2"/>
      <c r="B2008" s="2"/>
      <c r="C2008" s="1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</row>
    <row r="2009" spans="1:23" x14ac:dyDescent="0.25">
      <c r="A2009" s="2"/>
      <c r="B2009" s="2"/>
      <c r="C2009" s="1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</row>
    <row r="2010" spans="1:23" x14ac:dyDescent="0.25">
      <c r="A2010" s="2"/>
      <c r="B2010" s="2"/>
      <c r="C2010" s="1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</row>
    <row r="2011" spans="1:23" x14ac:dyDescent="0.25">
      <c r="A2011" s="2"/>
      <c r="B2011" s="2"/>
      <c r="C2011" s="1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</row>
    <row r="2012" spans="1:23" x14ac:dyDescent="0.25">
      <c r="A2012" s="2"/>
      <c r="B2012" s="2"/>
      <c r="C2012" s="1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</row>
    <row r="2013" spans="1:23" x14ac:dyDescent="0.25">
      <c r="A2013" s="2"/>
      <c r="B2013" s="2"/>
      <c r="C2013" s="1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</row>
    <row r="2014" spans="1:23" x14ac:dyDescent="0.25">
      <c r="A2014" s="2"/>
      <c r="B2014" s="2"/>
      <c r="C2014" s="1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</row>
    <row r="2015" spans="1:23" x14ac:dyDescent="0.25">
      <c r="A2015" s="2"/>
      <c r="B2015" s="2"/>
      <c r="C2015" s="1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</row>
    <row r="2016" spans="1:23" x14ac:dyDescent="0.25">
      <c r="A2016" s="2"/>
      <c r="B2016" s="2"/>
      <c r="C2016" s="1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</row>
    <row r="2017" spans="1:23" x14ac:dyDescent="0.25">
      <c r="A2017" s="2"/>
      <c r="B2017" s="2"/>
      <c r="C2017" s="1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</row>
    <row r="2018" spans="1:23" x14ac:dyDescent="0.25">
      <c r="A2018" s="2"/>
      <c r="B2018" s="2"/>
      <c r="C2018" s="1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</row>
    <row r="2019" spans="1:23" x14ac:dyDescent="0.25">
      <c r="A2019" s="2"/>
      <c r="B2019" s="2"/>
      <c r="C2019" s="1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</row>
    <row r="2020" spans="1:23" x14ac:dyDescent="0.25">
      <c r="A2020" s="2"/>
      <c r="B2020" s="2"/>
      <c r="C2020" s="1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</row>
    <row r="2021" spans="1:23" x14ac:dyDescent="0.25">
      <c r="A2021" s="2"/>
      <c r="B2021" s="2"/>
      <c r="C2021" s="1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</row>
    <row r="2022" spans="1:23" x14ac:dyDescent="0.25">
      <c r="A2022" s="2"/>
      <c r="B2022" s="2"/>
      <c r="C2022" s="1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</row>
    <row r="2023" spans="1:23" x14ac:dyDescent="0.25">
      <c r="A2023" s="2"/>
      <c r="B2023" s="2"/>
      <c r="C2023" s="1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</row>
    <row r="2024" spans="1:23" x14ac:dyDescent="0.25">
      <c r="A2024" s="2"/>
      <c r="B2024" s="2"/>
      <c r="C2024" s="1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</row>
    <row r="2025" spans="1:23" x14ac:dyDescent="0.25">
      <c r="A2025" s="2"/>
      <c r="B2025" s="2"/>
      <c r="C2025" s="1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</row>
    <row r="2026" spans="1:23" x14ac:dyDescent="0.25">
      <c r="A2026" s="2"/>
      <c r="B2026" s="2"/>
      <c r="C2026" s="1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</row>
    <row r="2027" spans="1:23" x14ac:dyDescent="0.25">
      <c r="A2027" s="2"/>
      <c r="B2027" s="2"/>
      <c r="C2027" s="1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</row>
    <row r="2028" spans="1:23" x14ac:dyDescent="0.25">
      <c r="A2028" s="2"/>
      <c r="B2028" s="2"/>
      <c r="C2028" s="1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</row>
    <row r="2029" spans="1:23" x14ac:dyDescent="0.25">
      <c r="A2029" s="2"/>
      <c r="B2029" s="2"/>
      <c r="C2029" s="1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</row>
    <row r="2030" spans="1:23" x14ac:dyDescent="0.25">
      <c r="A2030" s="2"/>
      <c r="B2030" s="2"/>
      <c r="C2030" s="1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</row>
    <row r="2031" spans="1:23" x14ac:dyDescent="0.25">
      <c r="A2031" s="2"/>
      <c r="B2031" s="2"/>
      <c r="C2031" s="1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</row>
    <row r="2032" spans="1:23" x14ac:dyDescent="0.25">
      <c r="A2032" s="2"/>
      <c r="B2032" s="2"/>
      <c r="C2032" s="1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</row>
    <row r="2033" spans="1:23" x14ac:dyDescent="0.25">
      <c r="A2033" s="2"/>
      <c r="B2033" s="2"/>
      <c r="C2033" s="1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</row>
    <row r="2034" spans="1:23" x14ac:dyDescent="0.25">
      <c r="A2034" s="2"/>
      <c r="B2034" s="2"/>
      <c r="C2034" s="1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</row>
    <row r="2035" spans="1:23" x14ac:dyDescent="0.25">
      <c r="A2035" s="2"/>
      <c r="B2035" s="2"/>
      <c r="C2035" s="1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</row>
    <row r="2036" spans="1:23" x14ac:dyDescent="0.25">
      <c r="A2036" s="2"/>
      <c r="B2036" s="2"/>
      <c r="C2036" s="1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</row>
    <row r="2037" spans="1:23" x14ac:dyDescent="0.25">
      <c r="A2037" s="2"/>
      <c r="B2037" s="2"/>
      <c r="C2037" s="1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</row>
    <row r="2038" spans="1:23" x14ac:dyDescent="0.25">
      <c r="A2038" s="2"/>
      <c r="B2038" s="2"/>
      <c r="C2038" s="1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</row>
    <row r="2039" spans="1:23" x14ac:dyDescent="0.25">
      <c r="A2039" s="2"/>
      <c r="B2039" s="2"/>
      <c r="C2039" s="1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</row>
    <row r="2040" spans="1:23" x14ac:dyDescent="0.25">
      <c r="A2040" s="2"/>
      <c r="B2040" s="2"/>
      <c r="C2040" s="1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</row>
    <row r="2041" spans="1:23" x14ac:dyDescent="0.25">
      <c r="A2041" s="2"/>
      <c r="B2041" s="2"/>
      <c r="C2041" s="1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</row>
    <row r="2042" spans="1:23" x14ac:dyDescent="0.25">
      <c r="A2042" s="2"/>
      <c r="B2042" s="2"/>
      <c r="C2042" s="1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</row>
    <row r="2043" spans="1:23" x14ac:dyDescent="0.25">
      <c r="A2043" s="2"/>
      <c r="B2043" s="2"/>
      <c r="C2043" s="1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</row>
    <row r="2044" spans="1:23" x14ac:dyDescent="0.25">
      <c r="A2044" s="2"/>
      <c r="B2044" s="2"/>
      <c r="C2044" s="1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</row>
    <row r="2045" spans="1:23" x14ac:dyDescent="0.25">
      <c r="A2045" s="2"/>
      <c r="B2045" s="2"/>
      <c r="C2045" s="1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</row>
    <row r="2046" spans="1:23" x14ac:dyDescent="0.25">
      <c r="A2046" s="2"/>
      <c r="B2046" s="2"/>
      <c r="C2046" s="1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</row>
    <row r="2047" spans="1:23" x14ac:dyDescent="0.25">
      <c r="A2047" s="2"/>
      <c r="B2047" s="2"/>
      <c r="C2047" s="1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</row>
    <row r="2048" spans="1:23" x14ac:dyDescent="0.25">
      <c r="A2048" s="2"/>
      <c r="B2048" s="2"/>
      <c r="C2048" s="1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</row>
    <row r="2049" spans="1:23" x14ac:dyDescent="0.25">
      <c r="A2049" s="2"/>
      <c r="B2049" s="2"/>
      <c r="C2049" s="1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</row>
    <row r="2050" spans="1:23" x14ac:dyDescent="0.25">
      <c r="A2050" s="2"/>
      <c r="B2050" s="2"/>
      <c r="C2050" s="1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</row>
    <row r="2051" spans="1:23" x14ac:dyDescent="0.25">
      <c r="A2051" s="2"/>
      <c r="B2051" s="2"/>
      <c r="C2051" s="1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</row>
    <row r="2052" spans="1:23" x14ac:dyDescent="0.25">
      <c r="A2052" s="2"/>
      <c r="B2052" s="2"/>
      <c r="C2052" s="1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</row>
    <row r="2053" spans="1:23" x14ac:dyDescent="0.25">
      <c r="A2053" s="2"/>
      <c r="B2053" s="2"/>
      <c r="C2053" s="1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</row>
    <row r="2054" spans="1:23" x14ac:dyDescent="0.25">
      <c r="A2054" s="2"/>
      <c r="B2054" s="2"/>
      <c r="C2054" s="1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</row>
    <row r="2055" spans="1:23" x14ac:dyDescent="0.25">
      <c r="A2055" s="2"/>
      <c r="B2055" s="2"/>
      <c r="C2055" s="1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</row>
    <row r="2056" spans="1:23" x14ac:dyDescent="0.25">
      <c r="A2056" s="2"/>
      <c r="B2056" s="2"/>
      <c r="C2056" s="1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</row>
    <row r="2057" spans="1:23" x14ac:dyDescent="0.25">
      <c r="A2057" s="2"/>
      <c r="B2057" s="2"/>
      <c r="C2057" s="1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</row>
    <row r="2058" spans="1:23" x14ac:dyDescent="0.25">
      <c r="A2058" s="2"/>
      <c r="B2058" s="2"/>
      <c r="C2058" s="1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</row>
    <row r="2059" spans="1:23" x14ac:dyDescent="0.25">
      <c r="A2059" s="2"/>
      <c r="B2059" s="2"/>
      <c r="C2059" s="1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</row>
    <row r="2060" spans="1:23" x14ac:dyDescent="0.25">
      <c r="A2060" s="2"/>
      <c r="B2060" s="2"/>
      <c r="C2060" s="1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</row>
    <row r="2061" spans="1:23" x14ac:dyDescent="0.25">
      <c r="A2061" s="2"/>
      <c r="B2061" s="2"/>
      <c r="C2061" s="1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</row>
    <row r="2062" spans="1:23" x14ac:dyDescent="0.25">
      <c r="A2062" s="2"/>
      <c r="B2062" s="2"/>
      <c r="C2062" s="1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</row>
    <row r="2063" spans="1:23" x14ac:dyDescent="0.25">
      <c r="A2063" s="2"/>
      <c r="B2063" s="2"/>
      <c r="C2063" s="1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</row>
    <row r="2064" spans="1:23" x14ac:dyDescent="0.25">
      <c r="A2064" s="2"/>
      <c r="B2064" s="2"/>
      <c r="C2064" s="1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</row>
    <row r="2065" spans="1:23" x14ac:dyDescent="0.25">
      <c r="A2065" s="2"/>
      <c r="B2065" s="2"/>
      <c r="C2065" s="1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</row>
    <row r="2066" spans="1:23" x14ac:dyDescent="0.25">
      <c r="A2066" s="2"/>
      <c r="B2066" s="2"/>
      <c r="C2066" s="1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</row>
    <row r="2067" spans="1:23" x14ac:dyDescent="0.25">
      <c r="A2067" s="2"/>
      <c r="B2067" s="2"/>
      <c r="C2067" s="1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</row>
    <row r="2068" spans="1:23" x14ac:dyDescent="0.25">
      <c r="A2068" s="2"/>
      <c r="B2068" s="2"/>
      <c r="C2068" s="1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</row>
    <row r="2069" spans="1:23" x14ac:dyDescent="0.25">
      <c r="A2069" s="2"/>
      <c r="B2069" s="2"/>
      <c r="C2069" s="1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</row>
    <row r="2070" spans="1:23" x14ac:dyDescent="0.25">
      <c r="A2070" s="2"/>
      <c r="B2070" s="2"/>
      <c r="C2070" s="1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</row>
    <row r="2071" spans="1:23" x14ac:dyDescent="0.25">
      <c r="A2071" s="2"/>
      <c r="B2071" s="2"/>
      <c r="C2071" s="1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</row>
    <row r="2072" spans="1:23" x14ac:dyDescent="0.25">
      <c r="A2072" s="2"/>
      <c r="B2072" s="2"/>
      <c r="C2072" s="1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</row>
    <row r="2073" spans="1:23" x14ac:dyDescent="0.25">
      <c r="A2073" s="2"/>
      <c r="B2073" s="2"/>
      <c r="C2073" s="1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</row>
    <row r="2074" spans="1:23" x14ac:dyDescent="0.25">
      <c r="A2074" s="2"/>
      <c r="B2074" s="2"/>
      <c r="C2074" s="1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</row>
    <row r="2075" spans="1:23" x14ac:dyDescent="0.25">
      <c r="A2075" s="2"/>
      <c r="B2075" s="2"/>
      <c r="C2075" s="1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</row>
    <row r="2076" spans="1:23" x14ac:dyDescent="0.25">
      <c r="A2076" s="2"/>
      <c r="B2076" s="2"/>
      <c r="C2076" s="1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</row>
    <row r="2077" spans="1:23" x14ac:dyDescent="0.25">
      <c r="A2077" s="2"/>
      <c r="B2077" s="2"/>
      <c r="C2077" s="1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</row>
    <row r="2078" spans="1:23" x14ac:dyDescent="0.25">
      <c r="A2078" s="2"/>
      <c r="B2078" s="2"/>
      <c r="C2078" s="1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</row>
    <row r="2079" spans="1:23" x14ac:dyDescent="0.25">
      <c r="A2079" s="2"/>
      <c r="B2079" s="2"/>
      <c r="C2079" s="1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</row>
    <row r="2080" spans="1:23" x14ac:dyDescent="0.25">
      <c r="A2080" s="2"/>
      <c r="B2080" s="2"/>
      <c r="C2080" s="1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</row>
    <row r="2081" spans="1:23" x14ac:dyDescent="0.25">
      <c r="A2081" s="2"/>
      <c r="B2081" s="2"/>
      <c r="C2081" s="1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</row>
    <row r="2082" spans="1:23" x14ac:dyDescent="0.25">
      <c r="A2082" s="2"/>
      <c r="B2082" s="2"/>
      <c r="C2082" s="1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</row>
    <row r="2083" spans="1:23" x14ac:dyDescent="0.25">
      <c r="A2083" s="2"/>
      <c r="B2083" s="2"/>
      <c r="C2083" s="1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</row>
    <row r="2084" spans="1:23" x14ac:dyDescent="0.25">
      <c r="A2084" s="2"/>
      <c r="B2084" s="2"/>
      <c r="C2084" s="1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</row>
    <row r="2085" spans="1:23" x14ac:dyDescent="0.25">
      <c r="A2085" s="2"/>
      <c r="B2085" s="2"/>
      <c r="C2085" s="1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</row>
    <row r="2086" spans="1:23" x14ac:dyDescent="0.25">
      <c r="A2086" s="2"/>
      <c r="B2086" s="2"/>
      <c r="C2086" s="1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</row>
    <row r="2087" spans="1:23" x14ac:dyDescent="0.25">
      <c r="A2087" s="2"/>
      <c r="B2087" s="2"/>
      <c r="C2087" s="1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</row>
    <row r="2088" spans="1:23" x14ac:dyDescent="0.25">
      <c r="A2088" s="2"/>
      <c r="B2088" s="2"/>
      <c r="C2088" s="1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</row>
    <row r="2089" spans="1:23" x14ac:dyDescent="0.25">
      <c r="A2089" s="2"/>
      <c r="B2089" s="2"/>
      <c r="C2089" s="1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</row>
    <row r="2090" spans="1:23" x14ac:dyDescent="0.25">
      <c r="A2090" s="2"/>
      <c r="B2090" s="2"/>
      <c r="C2090" s="1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</row>
    <row r="2091" spans="1:23" x14ac:dyDescent="0.25">
      <c r="A2091" s="2"/>
      <c r="B2091" s="2"/>
      <c r="C2091" s="1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</row>
    <row r="2092" spans="1:23" x14ac:dyDescent="0.25">
      <c r="A2092" s="2"/>
      <c r="B2092" s="2"/>
      <c r="C2092" s="1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</row>
    <row r="2093" spans="1:23" x14ac:dyDescent="0.25">
      <c r="A2093" s="2"/>
      <c r="B2093" s="2"/>
      <c r="C2093" s="1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</row>
    <row r="2094" spans="1:23" x14ac:dyDescent="0.25">
      <c r="A2094" s="2"/>
      <c r="B2094" s="2"/>
      <c r="C2094" s="1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</row>
    <row r="2095" spans="1:23" x14ac:dyDescent="0.25">
      <c r="A2095" s="2"/>
      <c r="B2095" s="2"/>
      <c r="C2095" s="1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</row>
    <row r="2096" spans="1:23" x14ac:dyDescent="0.25">
      <c r="A2096" s="2"/>
      <c r="B2096" s="2"/>
      <c r="C2096" s="1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</row>
    <row r="2097" spans="1:23" x14ac:dyDescent="0.25">
      <c r="A2097" s="2"/>
      <c r="B2097" s="2"/>
      <c r="C2097" s="1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</row>
    <row r="2098" spans="1:23" x14ac:dyDescent="0.25">
      <c r="A2098" s="2"/>
      <c r="B2098" s="2"/>
      <c r="C2098" s="1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</row>
    <row r="2099" spans="1:23" x14ac:dyDescent="0.25">
      <c r="A2099" s="2"/>
      <c r="B2099" s="2"/>
      <c r="C2099" s="1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</row>
    <row r="2100" spans="1:23" x14ac:dyDescent="0.25">
      <c r="A2100" s="2"/>
      <c r="B2100" s="2"/>
      <c r="C2100" s="1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</row>
    <row r="2101" spans="1:23" x14ac:dyDescent="0.25">
      <c r="A2101" s="2"/>
      <c r="B2101" s="2"/>
      <c r="C2101" s="1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</row>
    <row r="2102" spans="1:23" x14ac:dyDescent="0.25">
      <c r="A2102" s="2"/>
      <c r="B2102" s="2"/>
      <c r="C2102" s="1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</row>
    <row r="2103" spans="1:23" x14ac:dyDescent="0.25">
      <c r="A2103" s="2"/>
      <c r="B2103" s="2"/>
      <c r="C2103" s="1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</row>
    <row r="2104" spans="1:23" x14ac:dyDescent="0.25">
      <c r="A2104" s="2"/>
      <c r="B2104" s="2"/>
      <c r="C2104" s="1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</row>
    <row r="2105" spans="1:23" x14ac:dyDescent="0.25">
      <c r="A2105" s="2"/>
      <c r="B2105" s="2"/>
      <c r="C2105" s="1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</row>
    <row r="2106" spans="1:23" x14ac:dyDescent="0.25">
      <c r="A2106" s="2"/>
      <c r="B2106" s="2"/>
      <c r="C2106" s="1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</row>
    <row r="2107" spans="1:23" x14ac:dyDescent="0.25">
      <c r="A2107" s="2"/>
      <c r="B2107" s="2"/>
      <c r="C2107" s="1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</row>
    <row r="2108" spans="1:23" x14ac:dyDescent="0.25">
      <c r="A2108" s="2"/>
      <c r="B2108" s="2"/>
      <c r="C2108" s="1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</row>
    <row r="2109" spans="1:23" x14ac:dyDescent="0.25">
      <c r="A2109" s="2"/>
      <c r="B2109" s="2"/>
      <c r="C2109" s="1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</row>
    <row r="2110" spans="1:23" x14ac:dyDescent="0.25">
      <c r="A2110" s="2"/>
      <c r="B2110" s="2"/>
      <c r="C2110" s="1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</row>
    <row r="2111" spans="1:23" x14ac:dyDescent="0.25">
      <c r="A2111" s="2"/>
      <c r="B2111" s="2"/>
      <c r="C2111" s="1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</row>
    <row r="2112" spans="1:23" x14ac:dyDescent="0.25">
      <c r="A2112" s="2"/>
      <c r="B2112" s="2"/>
      <c r="C2112" s="1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</row>
    <row r="2113" spans="1:23" x14ac:dyDescent="0.25">
      <c r="A2113" s="2"/>
      <c r="B2113" s="2"/>
      <c r="C2113" s="1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</row>
    <row r="2114" spans="1:23" x14ac:dyDescent="0.25">
      <c r="A2114" s="2"/>
      <c r="B2114" s="2"/>
      <c r="C2114" s="1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</row>
    <row r="2115" spans="1:23" x14ac:dyDescent="0.25">
      <c r="A2115" s="2"/>
      <c r="B2115" s="2"/>
      <c r="C2115" s="1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</row>
    <row r="2116" spans="1:23" x14ac:dyDescent="0.25">
      <c r="A2116" s="2"/>
      <c r="B2116" s="2"/>
      <c r="C2116" s="1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</row>
    <row r="2117" spans="1:23" x14ac:dyDescent="0.25">
      <c r="A2117" s="2"/>
      <c r="B2117" s="2"/>
      <c r="C2117" s="1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</row>
    <row r="2118" spans="1:23" x14ac:dyDescent="0.25">
      <c r="A2118" s="2"/>
      <c r="B2118" s="2"/>
      <c r="C2118" s="1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</row>
    <row r="2119" spans="1:23" x14ac:dyDescent="0.25">
      <c r="A2119" s="2"/>
      <c r="B2119" s="2"/>
      <c r="C2119" s="1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</row>
    <row r="2120" spans="1:23" x14ac:dyDescent="0.25">
      <c r="A2120" s="2"/>
      <c r="B2120" s="2"/>
      <c r="C2120" s="1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</row>
    <row r="2121" spans="1:23" x14ac:dyDescent="0.25">
      <c r="A2121" s="2"/>
      <c r="B2121" s="2"/>
      <c r="C2121" s="1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</row>
    <row r="2122" spans="1:23" x14ac:dyDescent="0.25">
      <c r="A2122" s="2"/>
      <c r="B2122" s="2"/>
      <c r="C2122" s="1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</row>
    <row r="2123" spans="1:23" x14ac:dyDescent="0.25">
      <c r="A2123" s="2"/>
      <c r="B2123" s="2"/>
      <c r="C2123" s="1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</row>
    <row r="2124" spans="1:23" x14ac:dyDescent="0.25">
      <c r="A2124" s="2"/>
      <c r="B2124" s="2"/>
      <c r="C2124" s="1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</row>
    <row r="2125" spans="1:23" x14ac:dyDescent="0.25">
      <c r="A2125" s="2"/>
      <c r="B2125" s="2"/>
      <c r="C2125" s="1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</row>
    <row r="2126" spans="1:23" x14ac:dyDescent="0.25">
      <c r="A2126" s="2"/>
      <c r="B2126" s="2"/>
      <c r="C2126" s="1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</row>
    <row r="2127" spans="1:23" x14ac:dyDescent="0.25">
      <c r="A2127" s="2"/>
      <c r="B2127" s="2"/>
      <c r="C2127" s="1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</row>
    <row r="2128" spans="1:23" x14ac:dyDescent="0.25">
      <c r="A2128" s="2"/>
      <c r="B2128" s="2"/>
      <c r="C2128" s="1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</row>
    <row r="2129" spans="1:23" x14ac:dyDescent="0.25">
      <c r="A2129" s="2"/>
      <c r="B2129" s="2"/>
      <c r="C2129" s="1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</row>
    <row r="2130" spans="1:23" x14ac:dyDescent="0.25">
      <c r="A2130" s="2"/>
      <c r="B2130" s="2"/>
      <c r="C2130" s="1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</row>
    <row r="2131" spans="1:23" x14ac:dyDescent="0.25">
      <c r="A2131" s="2"/>
      <c r="B2131" s="2"/>
      <c r="C2131" s="1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</row>
    <row r="2132" spans="1:23" x14ac:dyDescent="0.25">
      <c r="A2132" s="2"/>
      <c r="B2132" s="2"/>
      <c r="C2132" s="1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</row>
    <row r="2133" spans="1:23" x14ac:dyDescent="0.25">
      <c r="A2133" s="2"/>
      <c r="B2133" s="2"/>
      <c r="C2133" s="1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</row>
    <row r="2134" spans="1:23" x14ac:dyDescent="0.25">
      <c r="A2134" s="2"/>
      <c r="B2134" s="2"/>
      <c r="C2134" s="1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</row>
    <row r="2135" spans="1:23" x14ac:dyDescent="0.25">
      <c r="A2135" s="2"/>
      <c r="B2135" s="2"/>
      <c r="C2135" s="1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</row>
    <row r="2136" spans="1:23" x14ac:dyDescent="0.25">
      <c r="A2136" s="2"/>
      <c r="B2136" s="2"/>
      <c r="C2136" s="1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</row>
    <row r="2137" spans="1:23" x14ac:dyDescent="0.25">
      <c r="A2137" s="2"/>
      <c r="B2137" s="2"/>
      <c r="C2137" s="1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</row>
    <row r="2138" spans="1:23" x14ac:dyDescent="0.25">
      <c r="A2138" s="2"/>
      <c r="B2138" s="2"/>
      <c r="C2138" s="1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</row>
    <row r="2139" spans="1:23" x14ac:dyDescent="0.25">
      <c r="A2139" s="2"/>
      <c r="B2139" s="2"/>
      <c r="C2139" s="1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</row>
    <row r="2140" spans="1:23" x14ac:dyDescent="0.25">
      <c r="A2140" s="2"/>
      <c r="B2140" s="2"/>
      <c r="C2140" s="1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</row>
    <row r="2141" spans="1:23" x14ac:dyDescent="0.25">
      <c r="A2141" s="2"/>
      <c r="B2141" s="2"/>
      <c r="C2141" s="1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</row>
    <row r="2142" spans="1:23" x14ac:dyDescent="0.25">
      <c r="A2142" s="2"/>
      <c r="B2142" s="2"/>
      <c r="C2142" s="1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</row>
    <row r="2143" spans="1:23" x14ac:dyDescent="0.25">
      <c r="A2143" s="2"/>
      <c r="B2143" s="2"/>
      <c r="C2143" s="1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</row>
    <row r="2144" spans="1:23" x14ac:dyDescent="0.25">
      <c r="A2144" s="2"/>
      <c r="B2144" s="2"/>
      <c r="C2144" s="1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</row>
    <row r="2145" spans="1:23" x14ac:dyDescent="0.25">
      <c r="A2145" s="2"/>
      <c r="B2145" s="2"/>
      <c r="C2145" s="1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</row>
    <row r="2146" spans="1:23" x14ac:dyDescent="0.25">
      <c r="A2146" s="2"/>
      <c r="B2146" s="2"/>
      <c r="C2146" s="1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</row>
    <row r="2147" spans="1:23" x14ac:dyDescent="0.25">
      <c r="A2147" s="2"/>
      <c r="B2147" s="2"/>
      <c r="C2147" s="1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</row>
    <row r="2148" spans="1:23" x14ac:dyDescent="0.25">
      <c r="A2148" s="2"/>
      <c r="B2148" s="2"/>
      <c r="C2148" s="1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</row>
    <row r="2149" spans="1:23" x14ac:dyDescent="0.25">
      <c r="A2149" s="2"/>
      <c r="B2149" s="2"/>
      <c r="C2149" s="1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</row>
    <row r="2150" spans="1:23" x14ac:dyDescent="0.25">
      <c r="A2150" s="2"/>
      <c r="B2150" s="2"/>
      <c r="C2150" s="1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</row>
    <row r="2151" spans="1:23" x14ac:dyDescent="0.25">
      <c r="A2151" s="2"/>
      <c r="B2151" s="2"/>
      <c r="C2151" s="1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</row>
    <row r="2152" spans="1:23" x14ac:dyDescent="0.25">
      <c r="A2152" s="2"/>
      <c r="B2152" s="2"/>
      <c r="C2152" s="1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</row>
    <row r="2153" spans="1:23" x14ac:dyDescent="0.25">
      <c r="A2153" s="2"/>
      <c r="B2153" s="2"/>
      <c r="C2153" s="1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</row>
    <row r="2154" spans="1:23" x14ac:dyDescent="0.25">
      <c r="A2154" s="2"/>
      <c r="B2154" s="2"/>
      <c r="C2154" s="1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</row>
    <row r="2155" spans="1:23" x14ac:dyDescent="0.25">
      <c r="A2155" s="2"/>
      <c r="B2155" s="2"/>
      <c r="C2155" s="1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</row>
    <row r="2156" spans="1:23" x14ac:dyDescent="0.25">
      <c r="A2156" s="2"/>
      <c r="B2156" s="2"/>
      <c r="C2156" s="1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</row>
    <row r="2157" spans="1:23" x14ac:dyDescent="0.25">
      <c r="A2157" s="2"/>
      <c r="B2157" s="2"/>
      <c r="C2157" s="1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</row>
    <row r="2158" spans="1:23" x14ac:dyDescent="0.25">
      <c r="A2158" s="2"/>
      <c r="B2158" s="2"/>
      <c r="C2158" s="1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</row>
    <row r="2159" spans="1:23" x14ac:dyDescent="0.25">
      <c r="A2159" s="2"/>
      <c r="B2159" s="2"/>
      <c r="C2159" s="1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</row>
    <row r="2160" spans="1:23" x14ac:dyDescent="0.25">
      <c r="A2160" s="2"/>
      <c r="B2160" s="2"/>
      <c r="C2160" s="1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</row>
    <row r="2161" spans="1:23" x14ac:dyDescent="0.25">
      <c r="A2161" s="2"/>
      <c r="B2161" s="2"/>
      <c r="C2161" s="1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</row>
    <row r="2162" spans="1:23" x14ac:dyDescent="0.25">
      <c r="A2162" s="2"/>
      <c r="B2162" s="2"/>
      <c r="C2162" s="1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</row>
    <row r="2163" spans="1:23" x14ac:dyDescent="0.25">
      <c r="A2163" s="2"/>
      <c r="B2163" s="2"/>
      <c r="C2163" s="1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</row>
    <row r="2164" spans="1:23" x14ac:dyDescent="0.25">
      <c r="A2164" s="2"/>
      <c r="B2164" s="2"/>
      <c r="C2164" s="1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</row>
    <row r="2165" spans="1:23" x14ac:dyDescent="0.25">
      <c r="A2165" s="2"/>
      <c r="B2165" s="2"/>
      <c r="C2165" s="1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</row>
    <row r="2166" spans="1:23" x14ac:dyDescent="0.25">
      <c r="A2166" s="2"/>
      <c r="B2166" s="2"/>
      <c r="C2166" s="1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</row>
    <row r="2167" spans="1:23" x14ac:dyDescent="0.25">
      <c r="A2167" s="2"/>
      <c r="B2167" s="2"/>
      <c r="C2167" s="1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</row>
    <row r="2168" spans="1:23" x14ac:dyDescent="0.25">
      <c r="A2168" s="2"/>
      <c r="B2168" s="2"/>
      <c r="C2168" s="1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</row>
    <row r="2169" spans="1:23" x14ac:dyDescent="0.25">
      <c r="A2169" s="2"/>
      <c r="B2169" s="2"/>
      <c r="C2169" s="1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</row>
    <row r="2170" spans="1:23" x14ac:dyDescent="0.25">
      <c r="A2170" s="2"/>
      <c r="B2170" s="2"/>
      <c r="C2170" s="1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</row>
    <row r="2171" spans="1:23" x14ac:dyDescent="0.25">
      <c r="A2171" s="2"/>
      <c r="B2171" s="2"/>
      <c r="C2171" s="1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</row>
    <row r="2172" spans="1:23" x14ac:dyDescent="0.25">
      <c r="A2172" s="2"/>
      <c r="B2172" s="2"/>
      <c r="C2172" s="1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</row>
    <row r="2173" spans="1:23" x14ac:dyDescent="0.25">
      <c r="A2173" s="2"/>
      <c r="B2173" s="2"/>
      <c r="C2173" s="1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</row>
    <row r="2174" spans="1:23" x14ac:dyDescent="0.25">
      <c r="A2174" s="2"/>
      <c r="B2174" s="2"/>
      <c r="C2174" s="1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</row>
    <row r="2175" spans="1:23" x14ac:dyDescent="0.25">
      <c r="A2175" s="2"/>
      <c r="B2175" s="2"/>
      <c r="C2175" s="1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</row>
    <row r="2176" spans="1:23" x14ac:dyDescent="0.25">
      <c r="A2176" s="2"/>
      <c r="B2176" s="2"/>
      <c r="C2176" s="1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</row>
    <row r="2177" spans="1:23" x14ac:dyDescent="0.25">
      <c r="A2177" s="2"/>
      <c r="B2177" s="2"/>
      <c r="C2177" s="1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</row>
    <row r="2178" spans="1:23" x14ac:dyDescent="0.25">
      <c r="A2178" s="2"/>
      <c r="B2178" s="2"/>
      <c r="C2178" s="1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</row>
    <row r="2179" spans="1:23" x14ac:dyDescent="0.25">
      <c r="A2179" s="2"/>
      <c r="B2179" s="2"/>
      <c r="C2179" s="1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</row>
    <row r="2180" spans="1:23" x14ac:dyDescent="0.25">
      <c r="A2180" s="2"/>
      <c r="B2180" s="2"/>
      <c r="C2180" s="1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</row>
    <row r="2181" spans="1:23" x14ac:dyDescent="0.25">
      <c r="A2181" s="2"/>
      <c r="B2181" s="2"/>
      <c r="C2181" s="1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</row>
    <row r="2182" spans="1:23" x14ac:dyDescent="0.25">
      <c r="A2182" s="2"/>
      <c r="B2182" s="2"/>
      <c r="C2182" s="1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</row>
    <row r="2183" spans="1:23" x14ac:dyDescent="0.25">
      <c r="A2183" s="2"/>
      <c r="B2183" s="2"/>
      <c r="C2183" s="1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</row>
    <row r="2184" spans="1:23" x14ac:dyDescent="0.25">
      <c r="A2184" s="2"/>
      <c r="B2184" s="2"/>
      <c r="C2184" s="1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</row>
    <row r="2185" spans="1:23" x14ac:dyDescent="0.25">
      <c r="A2185" s="2"/>
      <c r="B2185" s="2"/>
      <c r="C2185" s="1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</row>
    <row r="2186" spans="1:23" x14ac:dyDescent="0.25">
      <c r="A2186" s="2"/>
      <c r="B2186" s="2"/>
      <c r="C2186" s="1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</row>
    <row r="2187" spans="1:23" x14ac:dyDescent="0.25">
      <c r="A2187" s="2"/>
      <c r="B2187" s="2"/>
      <c r="C2187" s="1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</row>
    <row r="2188" spans="1:23" x14ac:dyDescent="0.25">
      <c r="A2188" s="2"/>
      <c r="B2188" s="2"/>
      <c r="C2188" s="1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</row>
    <row r="2189" spans="1:23" x14ac:dyDescent="0.25">
      <c r="A2189" s="2"/>
      <c r="B2189" s="2"/>
      <c r="C2189" s="1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</row>
    <row r="2190" spans="1:23" x14ac:dyDescent="0.25">
      <c r="A2190" s="2"/>
      <c r="B2190" s="2"/>
      <c r="C2190" s="1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</row>
    <row r="2191" spans="1:23" x14ac:dyDescent="0.25">
      <c r="A2191" s="2"/>
      <c r="B2191" s="2"/>
      <c r="C2191" s="1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</row>
    <row r="2192" spans="1:23" x14ac:dyDescent="0.25">
      <c r="A2192" s="2"/>
      <c r="B2192" s="2"/>
      <c r="C2192" s="1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</row>
    <row r="2193" spans="1:23" x14ac:dyDescent="0.25">
      <c r="A2193" s="2"/>
      <c r="B2193" s="2"/>
      <c r="C2193" s="1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</row>
    <row r="2194" spans="1:23" x14ac:dyDescent="0.25">
      <c r="A2194" s="2"/>
      <c r="B2194" s="2"/>
      <c r="C2194" s="1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</row>
    <row r="2195" spans="1:23" x14ac:dyDescent="0.25">
      <c r="A2195" s="2"/>
      <c r="B2195" s="2"/>
      <c r="C2195" s="1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</row>
    <row r="2196" spans="1:23" x14ac:dyDescent="0.25">
      <c r="A2196" s="2"/>
      <c r="B2196" s="2"/>
      <c r="C2196" s="1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</row>
    <row r="2197" spans="1:23" x14ac:dyDescent="0.25">
      <c r="A2197" s="2"/>
      <c r="B2197" s="2"/>
      <c r="C2197" s="1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</row>
    <row r="2198" spans="1:23" x14ac:dyDescent="0.25">
      <c r="A2198" s="2"/>
      <c r="B2198" s="2"/>
      <c r="C2198" s="1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</row>
    <row r="2199" spans="1:23" x14ac:dyDescent="0.25">
      <c r="A2199" s="2"/>
      <c r="B2199" s="2"/>
      <c r="C2199" s="1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</row>
    <row r="2200" spans="1:23" x14ac:dyDescent="0.25">
      <c r="A2200" s="2"/>
      <c r="B2200" s="2"/>
      <c r="C2200" s="1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</row>
    <row r="2201" spans="1:23" x14ac:dyDescent="0.25">
      <c r="A2201" s="2"/>
      <c r="B2201" s="2"/>
      <c r="C2201" s="1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</row>
    <row r="2202" spans="1:23" x14ac:dyDescent="0.25">
      <c r="A2202" s="2"/>
      <c r="B2202" s="2"/>
      <c r="C2202" s="1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</row>
    <row r="2203" spans="1:23" x14ac:dyDescent="0.25">
      <c r="A2203" s="2"/>
      <c r="B2203" s="2"/>
      <c r="C2203" s="1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</row>
    <row r="2204" spans="1:23" x14ac:dyDescent="0.25">
      <c r="A2204" s="2"/>
      <c r="B2204" s="2"/>
      <c r="C2204" s="1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</row>
    <row r="2205" spans="1:23" x14ac:dyDescent="0.25">
      <c r="A2205" s="2"/>
      <c r="B2205" s="2"/>
      <c r="C2205" s="1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</row>
    <row r="2206" spans="1:23" x14ac:dyDescent="0.25">
      <c r="A2206" s="2"/>
      <c r="B2206" s="2"/>
      <c r="C2206" s="1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</row>
    <row r="2207" spans="1:23" x14ac:dyDescent="0.25">
      <c r="A2207" s="2"/>
      <c r="B2207" s="2"/>
      <c r="C2207" s="1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</row>
    <row r="2208" spans="1:23" x14ac:dyDescent="0.25">
      <c r="A2208" s="2"/>
      <c r="B2208" s="2"/>
      <c r="C2208" s="1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</row>
    <row r="2209" spans="1:23" x14ac:dyDescent="0.25">
      <c r="A2209" s="2"/>
      <c r="B2209" s="2"/>
      <c r="C2209" s="1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</row>
    <row r="2210" spans="1:23" x14ac:dyDescent="0.25">
      <c r="A2210" s="2"/>
      <c r="B2210" s="2"/>
      <c r="C2210" s="1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</row>
    <row r="2211" spans="1:23" x14ac:dyDescent="0.25">
      <c r="A2211" s="2"/>
      <c r="B2211" s="2"/>
      <c r="C2211" s="1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</row>
    <row r="2212" spans="1:23" x14ac:dyDescent="0.25">
      <c r="A2212" s="2"/>
      <c r="B2212" s="2"/>
      <c r="C2212" s="1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</row>
    <row r="2213" spans="1:23" x14ac:dyDescent="0.25">
      <c r="A2213" s="2"/>
      <c r="B2213" s="2"/>
      <c r="C2213" s="1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</row>
    <row r="2214" spans="1:23" x14ac:dyDescent="0.25">
      <c r="A2214" s="2"/>
      <c r="B2214" s="2"/>
      <c r="C2214" s="1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</row>
    <row r="2215" spans="1:23" x14ac:dyDescent="0.25">
      <c r="A2215" s="2"/>
      <c r="B2215" s="2"/>
      <c r="C2215" s="1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</row>
    <row r="2216" spans="1:23" x14ac:dyDescent="0.25">
      <c r="A2216" s="2"/>
      <c r="B2216" s="2"/>
      <c r="C2216" s="1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</row>
    <row r="2217" spans="1:23" x14ac:dyDescent="0.25">
      <c r="A2217" s="2"/>
      <c r="B2217" s="2"/>
      <c r="C2217" s="1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</row>
    <row r="2218" spans="1:23" x14ac:dyDescent="0.25">
      <c r="A2218" s="2"/>
      <c r="B2218" s="2"/>
      <c r="C2218" s="1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</row>
    <row r="2219" spans="1:23" x14ac:dyDescent="0.25">
      <c r="A2219" s="2"/>
      <c r="B2219" s="2"/>
      <c r="C2219" s="1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</row>
    <row r="2220" spans="1:23" x14ac:dyDescent="0.25">
      <c r="A2220" s="2"/>
      <c r="B2220" s="2"/>
      <c r="C2220" s="1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</row>
    <row r="2221" spans="1:23" x14ac:dyDescent="0.25">
      <c r="A2221" s="2"/>
      <c r="B2221" s="2"/>
      <c r="C2221" s="1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</row>
    <row r="2222" spans="1:23" x14ac:dyDescent="0.25">
      <c r="A2222" s="2"/>
      <c r="B2222" s="2"/>
      <c r="C2222" s="1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</row>
    <row r="2223" spans="1:23" x14ac:dyDescent="0.25">
      <c r="A2223" s="2"/>
      <c r="B2223" s="2"/>
      <c r="C2223" s="1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</row>
    <row r="2224" spans="1:23" x14ac:dyDescent="0.25">
      <c r="A2224" s="2"/>
      <c r="B2224" s="2"/>
      <c r="C2224" s="1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</row>
    <row r="2225" spans="1:23" x14ac:dyDescent="0.25">
      <c r="A2225" s="2"/>
      <c r="B2225" s="2"/>
      <c r="C2225" s="1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</row>
    <row r="2226" spans="1:23" x14ac:dyDescent="0.25">
      <c r="A2226" s="2"/>
      <c r="B2226" s="2"/>
      <c r="C2226" s="1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</row>
    <row r="2227" spans="1:23" x14ac:dyDescent="0.25">
      <c r="A2227" s="2"/>
      <c r="B2227" s="2"/>
      <c r="C2227" s="1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</row>
    <row r="2228" spans="1:23" x14ac:dyDescent="0.25">
      <c r="A2228" s="2"/>
      <c r="B2228" s="2"/>
      <c r="C2228" s="1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</row>
    <row r="2229" spans="1:23" x14ac:dyDescent="0.25">
      <c r="A2229" s="2"/>
      <c r="B2229" s="2"/>
      <c r="C2229" s="1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</row>
    <row r="2230" spans="1:23" x14ac:dyDescent="0.25">
      <c r="A2230" s="2"/>
      <c r="B2230" s="2"/>
      <c r="C2230" s="1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</row>
    <row r="2231" spans="1:23" x14ac:dyDescent="0.25">
      <c r="A2231" s="2"/>
      <c r="B2231" s="2"/>
      <c r="C2231" s="1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</row>
    <row r="2232" spans="1:23" x14ac:dyDescent="0.25">
      <c r="A2232" s="2"/>
      <c r="B2232" s="2"/>
      <c r="C2232" s="1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</row>
    <row r="2233" spans="1:23" x14ac:dyDescent="0.25">
      <c r="A2233" s="2"/>
      <c r="B2233" s="2"/>
      <c r="C2233" s="1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</row>
    <row r="2234" spans="1:23" x14ac:dyDescent="0.25">
      <c r="A2234" s="2"/>
      <c r="B2234" s="2"/>
      <c r="C2234" s="1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</row>
    <row r="2235" spans="1:23" x14ac:dyDescent="0.25">
      <c r="A2235" s="2"/>
      <c r="B2235" s="2"/>
      <c r="C2235" s="1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</row>
    <row r="2236" spans="1:23" x14ac:dyDescent="0.25">
      <c r="A2236" s="2"/>
      <c r="B2236" s="2"/>
      <c r="C2236" s="1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</row>
    <row r="2237" spans="1:23" x14ac:dyDescent="0.25">
      <c r="A2237" s="2"/>
      <c r="B2237" s="2"/>
      <c r="C2237" s="1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</row>
    <row r="2238" spans="1:23" x14ac:dyDescent="0.25">
      <c r="A2238" s="2"/>
      <c r="B2238" s="2"/>
      <c r="C2238" s="1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</row>
    <row r="2239" spans="1:23" x14ac:dyDescent="0.25">
      <c r="A2239" s="2"/>
      <c r="B2239" s="2"/>
      <c r="C2239" s="1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</row>
    <row r="2240" spans="1:23" x14ac:dyDescent="0.25">
      <c r="A2240" s="2"/>
      <c r="B2240" s="2"/>
      <c r="C2240" s="1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</row>
    <row r="2241" spans="1:23" x14ac:dyDescent="0.25">
      <c r="A2241" s="2"/>
      <c r="B2241" s="2"/>
      <c r="C2241" s="1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</row>
    <row r="2242" spans="1:23" x14ac:dyDescent="0.25">
      <c r="A2242" s="2"/>
      <c r="B2242" s="2"/>
      <c r="C2242" s="1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</row>
    <row r="2243" spans="1:23" x14ac:dyDescent="0.25">
      <c r="A2243" s="2"/>
      <c r="B2243" s="2"/>
      <c r="C2243" s="1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</row>
    <row r="2244" spans="1:23" x14ac:dyDescent="0.25">
      <c r="A2244" s="2"/>
      <c r="B2244" s="2"/>
      <c r="C2244" s="1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</row>
    <row r="2245" spans="1:23" x14ac:dyDescent="0.25">
      <c r="A2245" s="2"/>
      <c r="B2245" s="2"/>
      <c r="C2245" s="1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</row>
    <row r="2246" spans="1:23" x14ac:dyDescent="0.25">
      <c r="A2246" s="2"/>
      <c r="B2246" s="2"/>
      <c r="C2246" s="1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</row>
    <row r="2247" spans="1:23" x14ac:dyDescent="0.25">
      <c r="A2247" s="2"/>
      <c r="B2247" s="2"/>
      <c r="C2247" s="1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</row>
    <row r="2248" spans="1:23" x14ac:dyDescent="0.25">
      <c r="A2248" s="2"/>
      <c r="B2248" s="2"/>
      <c r="C2248" s="1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</row>
    <row r="2249" spans="1:23" x14ac:dyDescent="0.25">
      <c r="A2249" s="2"/>
      <c r="B2249" s="2"/>
      <c r="C2249" s="1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</row>
    <row r="2250" spans="1:23" x14ac:dyDescent="0.25">
      <c r="A2250" s="2"/>
      <c r="B2250" s="2"/>
      <c r="C2250" s="1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</row>
    <row r="2251" spans="1:23" x14ac:dyDescent="0.25">
      <c r="A2251" s="2"/>
      <c r="B2251" s="2"/>
      <c r="C2251" s="1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</row>
    <row r="2252" spans="1:23" x14ac:dyDescent="0.25">
      <c r="A2252" s="2"/>
      <c r="B2252" s="2"/>
      <c r="C2252" s="1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</row>
    <row r="2253" spans="1:23" x14ac:dyDescent="0.25">
      <c r="A2253" s="2"/>
      <c r="B2253" s="2"/>
      <c r="C2253" s="1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</row>
    <row r="2254" spans="1:23" x14ac:dyDescent="0.25">
      <c r="A2254" s="2"/>
      <c r="B2254" s="2"/>
      <c r="C2254" s="1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</row>
    <row r="2255" spans="1:23" x14ac:dyDescent="0.25">
      <c r="A2255" s="2"/>
      <c r="B2255" s="2"/>
      <c r="C2255" s="1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</row>
    <row r="2256" spans="1:23" x14ac:dyDescent="0.25">
      <c r="A2256" s="2"/>
      <c r="B2256" s="2"/>
      <c r="C2256" s="1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</row>
    <row r="2257" spans="1:23" x14ac:dyDescent="0.25">
      <c r="A2257" s="2"/>
      <c r="B2257" s="2"/>
      <c r="C2257" s="1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</row>
    <row r="2258" spans="1:23" x14ac:dyDescent="0.25">
      <c r="A2258" s="2"/>
      <c r="B2258" s="2"/>
      <c r="C2258" s="1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</row>
    <row r="2259" spans="1:23" x14ac:dyDescent="0.25">
      <c r="A2259" s="2"/>
      <c r="B2259" s="2"/>
      <c r="C2259" s="1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</row>
    <row r="2260" spans="1:23" x14ac:dyDescent="0.25">
      <c r="A2260" s="2"/>
      <c r="B2260" s="2"/>
      <c r="C2260" s="1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</row>
    <row r="2261" spans="1:23" x14ac:dyDescent="0.25">
      <c r="A2261" s="2"/>
      <c r="B2261" s="2"/>
      <c r="C2261" s="1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</row>
    <row r="2262" spans="1:23" x14ac:dyDescent="0.25">
      <c r="A2262" s="2"/>
      <c r="B2262" s="2"/>
      <c r="C2262" s="1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</row>
    <row r="2263" spans="1:23" x14ac:dyDescent="0.25">
      <c r="A2263" s="2"/>
      <c r="B2263" s="2"/>
      <c r="C2263" s="1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</row>
    <row r="2264" spans="1:23" x14ac:dyDescent="0.25">
      <c r="A2264" s="2"/>
      <c r="B2264" s="2"/>
      <c r="C2264" s="1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</row>
    <row r="2265" spans="1:23" x14ac:dyDescent="0.25">
      <c r="A2265" s="2"/>
      <c r="B2265" s="2"/>
      <c r="C2265" s="1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</row>
    <row r="2266" spans="1:23" x14ac:dyDescent="0.25">
      <c r="A2266" s="2"/>
      <c r="B2266" s="2"/>
      <c r="C2266" s="1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</row>
    <row r="2267" spans="1:23" x14ac:dyDescent="0.25">
      <c r="A2267" s="2"/>
      <c r="B2267" s="2"/>
      <c r="C2267" s="1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</row>
    <row r="2268" spans="1:23" x14ac:dyDescent="0.25">
      <c r="A2268" s="2"/>
      <c r="B2268" s="2"/>
      <c r="C2268" s="1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</row>
    <row r="2269" spans="1:23" x14ac:dyDescent="0.25">
      <c r="A2269" s="2"/>
      <c r="B2269" s="2"/>
      <c r="C2269" s="1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</row>
    <row r="2270" spans="1:23" x14ac:dyDescent="0.25">
      <c r="A2270" s="2"/>
      <c r="B2270" s="2"/>
      <c r="C2270" s="1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</row>
    <row r="2271" spans="1:23" x14ac:dyDescent="0.25">
      <c r="A2271" s="2"/>
      <c r="B2271" s="2"/>
      <c r="C2271" s="1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</row>
    <row r="2272" spans="1:23" x14ac:dyDescent="0.25">
      <c r="A2272" s="2"/>
      <c r="B2272" s="2"/>
      <c r="C2272" s="1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</row>
    <row r="2273" spans="1:23" x14ac:dyDescent="0.25">
      <c r="A2273" s="2"/>
      <c r="B2273" s="2"/>
      <c r="C2273" s="1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</row>
    <row r="2274" spans="1:23" x14ac:dyDescent="0.25">
      <c r="A2274" s="2"/>
      <c r="B2274" s="2"/>
      <c r="C2274" s="1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</row>
    <row r="2275" spans="1:23" x14ac:dyDescent="0.25">
      <c r="A2275" s="2"/>
      <c r="B2275" s="2"/>
      <c r="C2275" s="1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</row>
    <row r="2276" spans="1:23" x14ac:dyDescent="0.25">
      <c r="A2276" s="2"/>
      <c r="B2276" s="2"/>
      <c r="C2276" s="1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</row>
    <row r="2277" spans="1:23" x14ac:dyDescent="0.25">
      <c r="A2277" s="2"/>
      <c r="B2277" s="2"/>
      <c r="C2277" s="1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</row>
    <row r="2278" spans="1:23" x14ac:dyDescent="0.25">
      <c r="A2278" s="2"/>
      <c r="B2278" s="2"/>
      <c r="C2278" s="1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</row>
    <row r="2279" spans="1:23" x14ac:dyDescent="0.25">
      <c r="A2279" s="2"/>
      <c r="B2279" s="2"/>
      <c r="C2279" s="1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</row>
    <row r="2280" spans="1:23" x14ac:dyDescent="0.25">
      <c r="A2280" s="2"/>
      <c r="B2280" s="2"/>
      <c r="C2280" s="1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</row>
    <row r="2281" spans="1:23" x14ac:dyDescent="0.25">
      <c r="A2281" s="2"/>
      <c r="B2281" s="2"/>
      <c r="C2281" s="1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</row>
    <row r="2282" spans="1:23" x14ac:dyDescent="0.25">
      <c r="A2282" s="2"/>
      <c r="B2282" s="2"/>
      <c r="C2282" s="1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</row>
    <row r="2283" spans="1:23" x14ac:dyDescent="0.25">
      <c r="A2283" s="2"/>
      <c r="B2283" s="2"/>
      <c r="C2283" s="1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</row>
    <row r="2284" spans="1:23" x14ac:dyDescent="0.25">
      <c r="A2284" s="2"/>
      <c r="B2284" s="2"/>
      <c r="C2284" s="1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</row>
    <row r="2285" spans="1:23" x14ac:dyDescent="0.25">
      <c r="A2285" s="2"/>
      <c r="B2285" s="2"/>
      <c r="C2285" s="1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</row>
    <row r="2286" spans="1:23" x14ac:dyDescent="0.25">
      <c r="A2286" s="2"/>
      <c r="B2286" s="2"/>
      <c r="C2286" s="1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</row>
    <row r="2287" spans="1:23" x14ac:dyDescent="0.25">
      <c r="A2287" s="2"/>
      <c r="B2287" s="2"/>
      <c r="C2287" s="1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</row>
    <row r="2288" spans="1:23" x14ac:dyDescent="0.25">
      <c r="A2288" s="2"/>
      <c r="B2288" s="2"/>
      <c r="C2288" s="1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</row>
    <row r="2289" spans="1:23" x14ac:dyDescent="0.25">
      <c r="A2289" s="2"/>
      <c r="B2289" s="2"/>
      <c r="C2289" s="1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</row>
    <row r="2290" spans="1:23" x14ac:dyDescent="0.25">
      <c r="A2290" s="2"/>
      <c r="B2290" s="2"/>
      <c r="C2290" s="1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</row>
    <row r="2291" spans="1:23" x14ac:dyDescent="0.25">
      <c r="A2291" s="2"/>
      <c r="B2291" s="2"/>
      <c r="C2291" s="1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</row>
    <row r="2292" spans="1:23" x14ac:dyDescent="0.25">
      <c r="A2292" s="2"/>
      <c r="B2292" s="2"/>
      <c r="C2292" s="1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</row>
    <row r="2293" spans="1:23" x14ac:dyDescent="0.25">
      <c r="A2293" s="2"/>
      <c r="B2293" s="2"/>
      <c r="C2293" s="1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</row>
    <row r="2294" spans="1:23" x14ac:dyDescent="0.25">
      <c r="A2294" s="2"/>
      <c r="B2294" s="2"/>
      <c r="C2294" s="1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</row>
    <row r="2295" spans="1:23" x14ac:dyDescent="0.25">
      <c r="A2295" s="2"/>
      <c r="B2295" s="2"/>
      <c r="C2295" s="1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</row>
    <row r="2296" spans="1:23" x14ac:dyDescent="0.25">
      <c r="A2296" s="2"/>
      <c r="B2296" s="2"/>
      <c r="C2296" s="1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</row>
    <row r="2297" spans="1:23" x14ac:dyDescent="0.25">
      <c r="A2297" s="2"/>
      <c r="B2297" s="2"/>
      <c r="C2297" s="1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</row>
    <row r="2298" spans="1:23" x14ac:dyDescent="0.25">
      <c r="A2298" s="2"/>
      <c r="B2298" s="2"/>
      <c r="C2298" s="1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</row>
    <row r="2299" spans="1:23" x14ac:dyDescent="0.25">
      <c r="A2299" s="2"/>
      <c r="B2299" s="2"/>
      <c r="C2299" s="1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</row>
    <row r="2300" spans="1:23" x14ac:dyDescent="0.25">
      <c r="A2300" s="2"/>
      <c r="B2300" s="2"/>
      <c r="C2300" s="1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</row>
    <row r="2301" spans="1:23" x14ac:dyDescent="0.25">
      <c r="A2301" s="2"/>
      <c r="B2301" s="2"/>
      <c r="C2301" s="1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</row>
    <row r="2302" spans="1:23" x14ac:dyDescent="0.25">
      <c r="A2302" s="2"/>
      <c r="B2302" s="2"/>
      <c r="C2302" s="1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</row>
    <row r="2303" spans="1:23" x14ac:dyDescent="0.25">
      <c r="A2303" s="2"/>
      <c r="B2303" s="2"/>
      <c r="C2303" s="1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</row>
    <row r="2304" spans="1:23" x14ac:dyDescent="0.25">
      <c r="A2304" s="2"/>
      <c r="B2304" s="2"/>
      <c r="C2304" s="1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</row>
    <row r="2305" spans="1:23" x14ac:dyDescent="0.25">
      <c r="A2305" s="2"/>
      <c r="B2305" s="2"/>
      <c r="C2305" s="1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</row>
    <row r="2306" spans="1:23" x14ac:dyDescent="0.25">
      <c r="A2306" s="2"/>
      <c r="B2306" s="2"/>
      <c r="C2306" s="1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</row>
    <row r="2307" spans="1:23" x14ac:dyDescent="0.25">
      <c r="A2307" s="2"/>
      <c r="B2307" s="2"/>
      <c r="C2307" s="1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</row>
    <row r="2308" spans="1:23" x14ac:dyDescent="0.25">
      <c r="A2308" s="2"/>
      <c r="B2308" s="2"/>
      <c r="C2308" s="1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</row>
    <row r="2309" spans="1:23" x14ac:dyDescent="0.25">
      <c r="A2309" s="2"/>
      <c r="B2309" s="2"/>
      <c r="C2309" s="1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</row>
    <row r="2310" spans="1:23" x14ac:dyDescent="0.25">
      <c r="A2310" s="2"/>
      <c r="B2310" s="2"/>
      <c r="C2310" s="1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</row>
    <row r="2311" spans="1:23" x14ac:dyDescent="0.25">
      <c r="A2311" s="2"/>
      <c r="B2311" s="2"/>
      <c r="C2311" s="1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</row>
    <row r="2312" spans="1:23" x14ac:dyDescent="0.25">
      <c r="A2312" s="2"/>
      <c r="B2312" s="2"/>
      <c r="C2312" s="1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</row>
    <row r="2313" spans="1:23" x14ac:dyDescent="0.25">
      <c r="A2313" s="2"/>
      <c r="B2313" s="2"/>
      <c r="C2313" s="1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</row>
    <row r="2314" spans="1:23" x14ac:dyDescent="0.25">
      <c r="A2314" s="2"/>
      <c r="B2314" s="2"/>
      <c r="C2314" s="1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</row>
    <row r="2315" spans="1:23" x14ac:dyDescent="0.25">
      <c r="A2315" s="2"/>
      <c r="B2315" s="2"/>
      <c r="C2315" s="1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</row>
    <row r="2316" spans="1:23" x14ac:dyDescent="0.25">
      <c r="A2316" s="2"/>
      <c r="B2316" s="2"/>
      <c r="C2316" s="1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</row>
    <row r="2317" spans="1:23" x14ac:dyDescent="0.25">
      <c r="A2317" s="2"/>
      <c r="B2317" s="2"/>
      <c r="C2317" s="1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</row>
    <row r="2318" spans="1:23" x14ac:dyDescent="0.25">
      <c r="A2318" s="2"/>
      <c r="B2318" s="2"/>
      <c r="C2318" s="1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</row>
    <row r="2319" spans="1:23" x14ac:dyDescent="0.25">
      <c r="A2319" s="2"/>
      <c r="B2319" s="2"/>
      <c r="C2319" s="1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</row>
    <row r="2320" spans="1:23" x14ac:dyDescent="0.25">
      <c r="A2320" s="2"/>
      <c r="B2320" s="2"/>
      <c r="C2320" s="1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</row>
    <row r="2321" spans="1:23" x14ac:dyDescent="0.25">
      <c r="A2321" s="2"/>
      <c r="B2321" s="2"/>
      <c r="C2321" s="1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</row>
    <row r="2322" spans="1:23" x14ac:dyDescent="0.25">
      <c r="A2322" s="2"/>
      <c r="B2322" s="2"/>
      <c r="C2322" s="1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</row>
    <row r="2323" spans="1:23" x14ac:dyDescent="0.25">
      <c r="A2323" s="2"/>
      <c r="B2323" s="2"/>
      <c r="C2323" s="1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</row>
    <row r="2324" spans="1:23" x14ac:dyDescent="0.25">
      <c r="A2324" s="2"/>
      <c r="B2324" s="2"/>
      <c r="C2324" s="1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</row>
    <row r="2325" spans="1:23" x14ac:dyDescent="0.25">
      <c r="A2325" s="2"/>
      <c r="B2325" s="2"/>
      <c r="C2325" s="1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</row>
    <row r="2326" spans="1:23" x14ac:dyDescent="0.25">
      <c r="A2326" s="2"/>
      <c r="B2326" s="2"/>
      <c r="C2326" s="1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</row>
    <row r="2327" spans="1:23" x14ac:dyDescent="0.25">
      <c r="A2327" s="2"/>
      <c r="B2327" s="2"/>
      <c r="C2327" s="1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</row>
    <row r="2328" spans="1:23" x14ac:dyDescent="0.25">
      <c r="A2328" s="2"/>
      <c r="B2328" s="2"/>
      <c r="C2328" s="1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</row>
    <row r="2329" spans="1:23" x14ac:dyDescent="0.25">
      <c r="A2329" s="2"/>
      <c r="B2329" s="2"/>
      <c r="C2329" s="1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</row>
    <row r="2330" spans="1:23" x14ac:dyDescent="0.25">
      <c r="A2330" s="2"/>
      <c r="B2330" s="2"/>
      <c r="C2330" s="1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</row>
    <row r="2331" spans="1:23" x14ac:dyDescent="0.25">
      <c r="A2331" s="2"/>
      <c r="B2331" s="2"/>
      <c r="C2331" s="1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</row>
    <row r="2332" spans="1:23" x14ac:dyDescent="0.25">
      <c r="A2332" s="2"/>
      <c r="B2332" s="2"/>
      <c r="C2332" s="1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</row>
    <row r="2333" spans="1:23" x14ac:dyDescent="0.25">
      <c r="A2333" s="2"/>
      <c r="B2333" s="2"/>
      <c r="C2333" s="1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</row>
    <row r="2334" spans="1:23" x14ac:dyDescent="0.25">
      <c r="A2334" s="2"/>
      <c r="B2334" s="2"/>
      <c r="C2334" s="1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</row>
    <row r="2335" spans="1:23" x14ac:dyDescent="0.25">
      <c r="A2335" s="2"/>
      <c r="B2335" s="2"/>
      <c r="C2335" s="1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</row>
    <row r="2336" spans="1:23" x14ac:dyDescent="0.25">
      <c r="A2336" s="2"/>
      <c r="B2336" s="2"/>
      <c r="C2336" s="1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</row>
    <row r="2337" spans="1:23" x14ac:dyDescent="0.25">
      <c r="A2337" s="2"/>
      <c r="B2337" s="2"/>
      <c r="C2337" s="1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</row>
    <row r="2338" spans="1:23" x14ac:dyDescent="0.25">
      <c r="A2338" s="2"/>
      <c r="B2338" s="2"/>
      <c r="C2338" s="1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</row>
    <row r="2339" spans="1:23" x14ac:dyDescent="0.25">
      <c r="A2339" s="2"/>
      <c r="B2339" s="2"/>
      <c r="C2339" s="1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</row>
    <row r="2340" spans="1:23" x14ac:dyDescent="0.25">
      <c r="A2340" s="2"/>
      <c r="B2340" s="2"/>
      <c r="C2340" s="1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</row>
    <row r="2341" spans="1:23" x14ac:dyDescent="0.25">
      <c r="A2341" s="2"/>
      <c r="B2341" s="2"/>
      <c r="C2341" s="1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</row>
    <row r="2342" spans="1:23" x14ac:dyDescent="0.25">
      <c r="A2342" s="2"/>
      <c r="B2342" s="2"/>
      <c r="C2342" s="1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</row>
    <row r="2343" spans="1:23" x14ac:dyDescent="0.25">
      <c r="A2343" s="2"/>
      <c r="B2343" s="2"/>
      <c r="C2343" s="1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</row>
    <row r="2344" spans="1:23" x14ac:dyDescent="0.25">
      <c r="A2344" s="2"/>
      <c r="B2344" s="2"/>
      <c r="C2344" s="1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</row>
    <row r="2345" spans="1:23" x14ac:dyDescent="0.25">
      <c r="A2345" s="2"/>
      <c r="B2345" s="2"/>
      <c r="C2345" s="1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</row>
    <row r="2346" spans="1:23" x14ac:dyDescent="0.25">
      <c r="A2346" s="2"/>
      <c r="B2346" s="2"/>
      <c r="C2346" s="1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</row>
    <row r="2347" spans="1:23" x14ac:dyDescent="0.25">
      <c r="A2347" s="2"/>
      <c r="B2347" s="2"/>
      <c r="C2347" s="1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</row>
    <row r="2348" spans="1:23" x14ac:dyDescent="0.25">
      <c r="A2348" s="2"/>
      <c r="B2348" s="2"/>
      <c r="C2348" s="1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</row>
    <row r="2349" spans="1:23" x14ac:dyDescent="0.25">
      <c r="A2349" s="2"/>
      <c r="B2349" s="2"/>
      <c r="C2349" s="1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</row>
    <row r="2350" spans="1:23" x14ac:dyDescent="0.25">
      <c r="A2350" s="2"/>
      <c r="B2350" s="2"/>
      <c r="C2350" s="1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</row>
    <row r="2351" spans="1:23" x14ac:dyDescent="0.25">
      <c r="A2351" s="2"/>
      <c r="B2351" s="2"/>
      <c r="C2351" s="1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</row>
    <row r="2352" spans="1:23" x14ac:dyDescent="0.25">
      <c r="A2352" s="2"/>
      <c r="B2352" s="2"/>
      <c r="C2352" s="1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</row>
    <row r="2353" spans="1:23" x14ac:dyDescent="0.25">
      <c r="A2353" s="2"/>
      <c r="B2353" s="2"/>
      <c r="C2353" s="1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</row>
    <row r="2354" spans="1:23" x14ac:dyDescent="0.25">
      <c r="A2354" s="2"/>
      <c r="B2354" s="2"/>
      <c r="C2354" s="1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</row>
    <row r="2355" spans="1:23" x14ac:dyDescent="0.25">
      <c r="A2355" s="2"/>
      <c r="B2355" s="2"/>
      <c r="C2355" s="1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</row>
    <row r="2356" spans="1:23" x14ac:dyDescent="0.25">
      <c r="A2356" s="2"/>
      <c r="B2356" s="2"/>
      <c r="C2356" s="1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</row>
    <row r="2357" spans="1:23" x14ac:dyDescent="0.25">
      <c r="A2357" s="2"/>
      <c r="B2357" s="2"/>
      <c r="C2357" s="1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</row>
    <row r="2358" spans="1:23" x14ac:dyDescent="0.25">
      <c r="A2358" s="2"/>
      <c r="B2358" s="2"/>
      <c r="C2358" s="1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</row>
    <row r="2359" spans="1:23" x14ac:dyDescent="0.25">
      <c r="A2359" s="2"/>
      <c r="B2359" s="2"/>
      <c r="C2359" s="1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</row>
    <row r="2360" spans="1:23" x14ac:dyDescent="0.25">
      <c r="A2360" s="2"/>
      <c r="B2360" s="2"/>
      <c r="C2360" s="1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</row>
    <row r="2361" spans="1:23" x14ac:dyDescent="0.25">
      <c r="A2361" s="2"/>
      <c r="B2361" s="2"/>
      <c r="C2361" s="1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</row>
    <row r="2362" spans="1:23" x14ac:dyDescent="0.25">
      <c r="A2362" s="2"/>
      <c r="B2362" s="2"/>
      <c r="C2362" s="1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</row>
    <row r="2363" spans="1:23" x14ac:dyDescent="0.25">
      <c r="A2363" s="2"/>
      <c r="B2363" s="2"/>
      <c r="C2363" s="1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</row>
    <row r="2364" spans="1:23" x14ac:dyDescent="0.25">
      <c r="A2364" s="2"/>
      <c r="B2364" s="2"/>
      <c r="C2364" s="1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</row>
    <row r="2365" spans="1:23" x14ac:dyDescent="0.25">
      <c r="A2365" s="2"/>
      <c r="B2365" s="2"/>
      <c r="C2365" s="1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</row>
    <row r="2366" spans="1:23" x14ac:dyDescent="0.25">
      <c r="A2366" s="2"/>
      <c r="B2366" s="2"/>
      <c r="C2366" s="1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</row>
    <row r="2367" spans="1:23" x14ac:dyDescent="0.25">
      <c r="A2367" s="2"/>
      <c r="B2367" s="2"/>
      <c r="C2367" s="1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</row>
    <row r="2368" spans="1:23" x14ac:dyDescent="0.25">
      <c r="A2368" s="2"/>
      <c r="B2368" s="2"/>
      <c r="C2368" s="1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</row>
    <row r="2369" spans="1:23" x14ac:dyDescent="0.25">
      <c r="A2369" s="2"/>
      <c r="B2369" s="2"/>
      <c r="C2369" s="1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</row>
    <row r="2370" spans="1:23" x14ac:dyDescent="0.25">
      <c r="A2370" s="2"/>
      <c r="B2370" s="2"/>
      <c r="C2370" s="1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</row>
    <row r="2371" spans="1:23" x14ac:dyDescent="0.25">
      <c r="A2371" s="2"/>
      <c r="B2371" s="2"/>
      <c r="C2371" s="1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</row>
    <row r="2372" spans="1:23" x14ac:dyDescent="0.25">
      <c r="A2372" s="2"/>
      <c r="B2372" s="2"/>
      <c r="C2372" s="1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</row>
    <row r="2373" spans="1:23" x14ac:dyDescent="0.25">
      <c r="A2373" s="2"/>
      <c r="B2373" s="2"/>
      <c r="C2373" s="1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</row>
    <row r="2374" spans="1:23" x14ac:dyDescent="0.25">
      <c r="A2374" s="2"/>
      <c r="B2374" s="2"/>
      <c r="C2374" s="1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</row>
    <row r="2375" spans="1:23" x14ac:dyDescent="0.25">
      <c r="A2375" s="2"/>
      <c r="B2375" s="2"/>
      <c r="C2375" s="1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</row>
    <row r="2376" spans="1:23" x14ac:dyDescent="0.25">
      <c r="A2376" s="2"/>
      <c r="B2376" s="2"/>
      <c r="C2376" s="1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</row>
    <row r="2377" spans="1:23" x14ac:dyDescent="0.25">
      <c r="A2377" s="2"/>
      <c r="B2377" s="2"/>
      <c r="C2377" s="1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</row>
    <row r="2378" spans="1:23" x14ac:dyDescent="0.25">
      <c r="A2378" s="2"/>
      <c r="B2378" s="2"/>
      <c r="C2378" s="1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</row>
    <row r="2379" spans="1:23" x14ac:dyDescent="0.25">
      <c r="A2379" s="2"/>
      <c r="B2379" s="2"/>
      <c r="C2379" s="1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</row>
    <row r="2380" spans="1:23" x14ac:dyDescent="0.25">
      <c r="A2380" s="2"/>
      <c r="B2380" s="2"/>
      <c r="C2380" s="1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</row>
    <row r="2381" spans="1:23" x14ac:dyDescent="0.25">
      <c r="A2381" s="2"/>
      <c r="B2381" s="2"/>
      <c r="C2381" s="1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</row>
    <row r="2382" spans="1:23" x14ac:dyDescent="0.25">
      <c r="A2382" s="2"/>
      <c r="B2382" s="2"/>
      <c r="C2382" s="1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</row>
    <row r="2383" spans="1:23" x14ac:dyDescent="0.25">
      <c r="A2383" s="2"/>
      <c r="B2383" s="2"/>
      <c r="C2383" s="1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</row>
    <row r="2384" spans="1:23" x14ac:dyDescent="0.25">
      <c r="A2384" s="2"/>
      <c r="B2384" s="2"/>
      <c r="C2384" s="1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</row>
    <row r="2385" spans="1:23" x14ac:dyDescent="0.25">
      <c r="A2385" s="2"/>
      <c r="B2385" s="2"/>
      <c r="C2385" s="1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</row>
    <row r="2386" spans="1:23" x14ac:dyDescent="0.25">
      <c r="A2386" s="2"/>
      <c r="B2386" s="2"/>
      <c r="C2386" s="1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</row>
    <row r="2387" spans="1:23" x14ac:dyDescent="0.25">
      <c r="A2387" s="2"/>
      <c r="B2387" s="2"/>
      <c r="C2387" s="1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</row>
    <row r="2388" spans="1:23" x14ac:dyDescent="0.25">
      <c r="A2388" s="2"/>
      <c r="B2388" s="2"/>
      <c r="C2388" s="1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</row>
    <row r="2389" spans="1:23" x14ac:dyDescent="0.25">
      <c r="A2389" s="2"/>
      <c r="B2389" s="2"/>
      <c r="C2389" s="1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</row>
    <row r="2390" spans="1:23" x14ac:dyDescent="0.25">
      <c r="A2390" s="2"/>
      <c r="B2390" s="2"/>
      <c r="C2390" s="1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</row>
    <row r="2391" spans="1:23" x14ac:dyDescent="0.25">
      <c r="A2391" s="2"/>
      <c r="B2391" s="2"/>
      <c r="C2391" s="1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</row>
    <row r="2392" spans="1:23" x14ac:dyDescent="0.25">
      <c r="A2392" s="2"/>
      <c r="B2392" s="2"/>
      <c r="C2392" s="1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</row>
    <row r="2393" spans="1:23" x14ac:dyDescent="0.25">
      <c r="A2393" s="2"/>
      <c r="B2393" s="2"/>
      <c r="C2393" s="1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</row>
    <row r="2394" spans="1:23" x14ac:dyDescent="0.25">
      <c r="A2394" s="2"/>
      <c r="B2394" s="2"/>
      <c r="C2394" s="1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</row>
    <row r="2395" spans="1:23" x14ac:dyDescent="0.25">
      <c r="A2395" s="2"/>
      <c r="B2395" s="2"/>
      <c r="C2395" s="1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</row>
    <row r="2396" spans="1:23" x14ac:dyDescent="0.25">
      <c r="A2396" s="2"/>
      <c r="B2396" s="2"/>
      <c r="C2396" s="1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</row>
    <row r="2397" spans="1:23" x14ac:dyDescent="0.25">
      <c r="A2397" s="2"/>
      <c r="B2397" s="2"/>
      <c r="C2397" s="1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</row>
    <row r="2398" spans="1:23" x14ac:dyDescent="0.25">
      <c r="A2398" s="2"/>
      <c r="B2398" s="2"/>
      <c r="C2398" s="1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</row>
    <row r="2399" spans="1:23" x14ac:dyDescent="0.25">
      <c r="A2399" s="2"/>
      <c r="B2399" s="2"/>
      <c r="C2399" s="1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</row>
    <row r="2400" spans="1:23" x14ac:dyDescent="0.25">
      <c r="A2400" s="2"/>
      <c r="B2400" s="2"/>
      <c r="C2400" s="1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</row>
    <row r="2401" spans="1:23" x14ac:dyDescent="0.25">
      <c r="A2401" s="2"/>
      <c r="B2401" s="2"/>
      <c r="C2401" s="1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</row>
    <row r="2402" spans="1:23" x14ac:dyDescent="0.25">
      <c r="A2402" s="2"/>
      <c r="B2402" s="2"/>
      <c r="C2402" s="1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</row>
    <row r="2403" spans="1:23" x14ac:dyDescent="0.25">
      <c r="A2403" s="2"/>
      <c r="B2403" s="2"/>
      <c r="C2403" s="1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</row>
    <row r="2404" spans="1:23" x14ac:dyDescent="0.25">
      <c r="A2404" s="2"/>
      <c r="B2404" s="2"/>
      <c r="C2404" s="1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</row>
    <row r="2405" spans="1:23" x14ac:dyDescent="0.25">
      <c r="A2405" s="2"/>
      <c r="B2405" s="2"/>
      <c r="C2405" s="1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</row>
    <row r="2406" spans="1:23" x14ac:dyDescent="0.25">
      <c r="A2406" s="2"/>
      <c r="B2406" s="2"/>
      <c r="C2406" s="1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</row>
    <row r="2407" spans="1:23" x14ac:dyDescent="0.25">
      <c r="A2407" s="2"/>
      <c r="B2407" s="2"/>
      <c r="C2407" s="1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</row>
    <row r="2408" spans="1:23" x14ac:dyDescent="0.25">
      <c r="A2408" s="2"/>
      <c r="B2408" s="2"/>
      <c r="C2408" s="1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</row>
    <row r="2409" spans="1:23" x14ac:dyDescent="0.25">
      <c r="A2409" s="2"/>
      <c r="B2409" s="2"/>
      <c r="C2409" s="1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</row>
    <row r="2410" spans="1:23" x14ac:dyDescent="0.25">
      <c r="A2410" s="2"/>
      <c r="B2410" s="2"/>
      <c r="C2410" s="1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</row>
    <row r="2411" spans="1:23" x14ac:dyDescent="0.25">
      <c r="A2411" s="2"/>
      <c r="B2411" s="2"/>
      <c r="C2411" s="1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</row>
    <row r="2412" spans="1:23" x14ac:dyDescent="0.25">
      <c r="A2412" s="2"/>
      <c r="B2412" s="2"/>
      <c r="C2412" s="1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</row>
    <row r="2413" spans="1:23" x14ac:dyDescent="0.25">
      <c r="A2413" s="2"/>
      <c r="B2413" s="2"/>
      <c r="C2413" s="1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</row>
    <row r="2414" spans="1:23" x14ac:dyDescent="0.25">
      <c r="A2414" s="2"/>
      <c r="B2414" s="2"/>
      <c r="C2414" s="1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</row>
    <row r="2415" spans="1:23" x14ac:dyDescent="0.25">
      <c r="A2415" s="2"/>
      <c r="B2415" s="2"/>
      <c r="C2415" s="1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</row>
    <row r="2416" spans="1:23" x14ac:dyDescent="0.25">
      <c r="A2416" s="2"/>
      <c r="B2416" s="2"/>
      <c r="C2416" s="1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</row>
    <row r="2417" spans="1:23" x14ac:dyDescent="0.25">
      <c r="A2417" s="2"/>
      <c r="B2417" s="2"/>
      <c r="C2417" s="1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</row>
    <row r="2418" spans="1:23" x14ac:dyDescent="0.25">
      <c r="A2418" s="2"/>
      <c r="B2418" s="2"/>
      <c r="C2418" s="1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</row>
    <row r="2419" spans="1:23" x14ac:dyDescent="0.25">
      <c r="A2419" s="2"/>
      <c r="B2419" s="2"/>
      <c r="C2419" s="1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</row>
    <row r="2420" spans="1:23" x14ac:dyDescent="0.25">
      <c r="A2420" s="2"/>
      <c r="B2420" s="2"/>
      <c r="C2420" s="1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</row>
    <row r="2421" spans="1:23" x14ac:dyDescent="0.25">
      <c r="A2421" s="2"/>
      <c r="B2421" s="2"/>
      <c r="C2421" s="1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</row>
    <row r="2422" spans="1:23" x14ac:dyDescent="0.25">
      <c r="A2422" s="2"/>
      <c r="B2422" s="2"/>
      <c r="C2422" s="1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</row>
    <row r="2423" spans="1:23" x14ac:dyDescent="0.25">
      <c r="A2423" s="2"/>
      <c r="B2423" s="2"/>
      <c r="C2423" s="1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</row>
    <row r="2424" spans="1:23" x14ac:dyDescent="0.25">
      <c r="A2424" s="2"/>
      <c r="B2424" s="2"/>
      <c r="C2424" s="1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</row>
    <row r="2425" spans="1:23" x14ac:dyDescent="0.25">
      <c r="A2425" s="2"/>
      <c r="B2425" s="2"/>
      <c r="C2425" s="1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</row>
    <row r="2426" spans="1:23" x14ac:dyDescent="0.25">
      <c r="A2426" s="2"/>
      <c r="B2426" s="2"/>
      <c r="C2426" s="1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</row>
    <row r="2427" spans="1:23" x14ac:dyDescent="0.25">
      <c r="A2427" s="2"/>
      <c r="B2427" s="2"/>
      <c r="C2427" s="1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</row>
    <row r="2428" spans="1:23" x14ac:dyDescent="0.25">
      <c r="A2428" s="2"/>
      <c r="B2428" s="2"/>
      <c r="C2428" s="1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</row>
    <row r="2429" spans="1:23" x14ac:dyDescent="0.25">
      <c r="A2429" s="2"/>
      <c r="B2429" s="2"/>
      <c r="C2429" s="1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</row>
    <row r="2430" spans="1:23" x14ac:dyDescent="0.25">
      <c r="A2430" s="2"/>
      <c r="B2430" s="2"/>
      <c r="C2430" s="1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</row>
    <row r="2431" spans="1:23" x14ac:dyDescent="0.25">
      <c r="A2431" s="2"/>
      <c r="B2431" s="2"/>
      <c r="C2431" s="1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</row>
    <row r="2432" spans="1:23" x14ac:dyDescent="0.25">
      <c r="A2432" s="2"/>
      <c r="B2432" s="2"/>
      <c r="C2432" s="1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</row>
    <row r="2433" spans="1:23" x14ac:dyDescent="0.25">
      <c r="A2433" s="2"/>
      <c r="B2433" s="2"/>
      <c r="C2433" s="1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</row>
    <row r="2434" spans="1:23" x14ac:dyDescent="0.25">
      <c r="A2434" s="2"/>
      <c r="B2434" s="2"/>
      <c r="C2434" s="1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</row>
    <row r="2435" spans="1:23" x14ac:dyDescent="0.25">
      <c r="A2435" s="2"/>
      <c r="B2435" s="2"/>
      <c r="C2435" s="1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</row>
    <row r="2436" spans="1:23" x14ac:dyDescent="0.25">
      <c r="A2436" s="2"/>
      <c r="B2436" s="2"/>
      <c r="C2436" s="1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</row>
    <row r="2437" spans="1:23" x14ac:dyDescent="0.25">
      <c r="A2437" s="2"/>
      <c r="B2437" s="2"/>
      <c r="C2437" s="1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</row>
    <row r="2438" spans="1:23" x14ac:dyDescent="0.25">
      <c r="A2438" s="2"/>
      <c r="B2438" s="2"/>
      <c r="C2438" s="1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</row>
    <row r="2439" spans="1:23" x14ac:dyDescent="0.25">
      <c r="A2439" s="2"/>
      <c r="B2439" s="2"/>
      <c r="C2439" s="1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</row>
    <row r="2440" spans="1:23" x14ac:dyDescent="0.25">
      <c r="A2440" s="2"/>
      <c r="B2440" s="2"/>
      <c r="C2440" s="1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</row>
    <row r="2441" spans="1:23" x14ac:dyDescent="0.25">
      <c r="A2441" s="2"/>
      <c r="B2441" s="2"/>
      <c r="C2441" s="1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</row>
    <row r="2442" spans="1:23" x14ac:dyDescent="0.25">
      <c r="A2442" s="2"/>
      <c r="B2442" s="2"/>
      <c r="C2442" s="1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</row>
    <row r="2443" spans="1:23" x14ac:dyDescent="0.25">
      <c r="A2443" s="2"/>
      <c r="B2443" s="2"/>
      <c r="C2443" s="1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</row>
    <row r="2444" spans="1:23" x14ac:dyDescent="0.25">
      <c r="A2444" s="2"/>
      <c r="B2444" s="2"/>
      <c r="C2444" s="1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</row>
    <row r="2445" spans="1:23" x14ac:dyDescent="0.25">
      <c r="A2445" s="2"/>
      <c r="B2445" s="2"/>
      <c r="C2445" s="1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</row>
    <row r="2446" spans="1:23" x14ac:dyDescent="0.25">
      <c r="A2446" s="2"/>
      <c r="B2446" s="2"/>
      <c r="C2446" s="1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</row>
    <row r="2447" spans="1:23" x14ac:dyDescent="0.25">
      <c r="A2447" s="2"/>
      <c r="B2447" s="2"/>
      <c r="C2447" s="1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</row>
    <row r="2448" spans="1:23" x14ac:dyDescent="0.25">
      <c r="A2448" s="2"/>
      <c r="B2448" s="2"/>
      <c r="C2448" s="1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</row>
    <row r="2449" spans="1:23" x14ac:dyDescent="0.25">
      <c r="A2449" s="2"/>
      <c r="B2449" s="2"/>
      <c r="C2449" s="1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</row>
    <row r="2450" spans="1:23" x14ac:dyDescent="0.25">
      <c r="A2450" s="2"/>
      <c r="B2450" s="2"/>
      <c r="C2450" s="1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</row>
    <row r="2451" spans="1:23" x14ac:dyDescent="0.25">
      <c r="A2451" s="2"/>
      <c r="B2451" s="2"/>
      <c r="C2451" s="1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</row>
    <row r="2452" spans="1:23" x14ac:dyDescent="0.25">
      <c r="A2452" s="2"/>
      <c r="B2452" s="2"/>
      <c r="C2452" s="1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</row>
    <row r="2453" spans="1:23" x14ac:dyDescent="0.25">
      <c r="A2453" s="2"/>
      <c r="B2453" s="2"/>
      <c r="C2453" s="1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</row>
    <row r="2454" spans="1:23" x14ac:dyDescent="0.25">
      <c r="A2454" s="2"/>
      <c r="B2454" s="2"/>
      <c r="C2454" s="1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</row>
    <row r="2455" spans="1:23" x14ac:dyDescent="0.25">
      <c r="A2455" s="2"/>
      <c r="B2455" s="2"/>
      <c r="C2455" s="1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</row>
    <row r="2456" spans="1:23" x14ac:dyDescent="0.25">
      <c r="A2456" s="2"/>
      <c r="B2456" s="2"/>
      <c r="C2456" s="1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</row>
    <row r="2457" spans="1:23" x14ac:dyDescent="0.25">
      <c r="A2457" s="2"/>
      <c r="B2457" s="2"/>
      <c r="C2457" s="1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</row>
    <row r="2458" spans="1:23" x14ac:dyDescent="0.25">
      <c r="A2458" s="2"/>
      <c r="B2458" s="2"/>
      <c r="C2458" s="1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</row>
    <row r="2459" spans="1:23" x14ac:dyDescent="0.25">
      <c r="A2459" s="2"/>
      <c r="B2459" s="2"/>
      <c r="C2459" s="1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</row>
    <row r="2460" spans="1:23" x14ac:dyDescent="0.25">
      <c r="A2460" s="2"/>
      <c r="B2460" s="2"/>
      <c r="C2460" s="1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</row>
    <row r="2461" spans="1:23" x14ac:dyDescent="0.25">
      <c r="A2461" s="2"/>
      <c r="B2461" s="2"/>
      <c r="C2461" s="1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</row>
    <row r="2462" spans="1:23" x14ac:dyDescent="0.25">
      <c r="A2462" s="2"/>
      <c r="B2462" s="2"/>
      <c r="C2462" s="1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</row>
    <row r="2463" spans="1:23" x14ac:dyDescent="0.25">
      <c r="A2463" s="2"/>
      <c r="B2463" s="2"/>
      <c r="C2463" s="1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</row>
    <row r="2464" spans="1:23" x14ac:dyDescent="0.25">
      <c r="A2464" s="2"/>
      <c r="B2464" s="2"/>
      <c r="C2464" s="1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</row>
    <row r="2465" spans="1:23" x14ac:dyDescent="0.25">
      <c r="A2465" s="2"/>
      <c r="B2465" s="2"/>
      <c r="C2465" s="1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</row>
    <row r="2466" spans="1:23" x14ac:dyDescent="0.25">
      <c r="A2466" s="2"/>
      <c r="B2466" s="2"/>
      <c r="C2466" s="1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</row>
    <row r="2467" spans="1:23" x14ac:dyDescent="0.25">
      <c r="A2467" s="2"/>
      <c r="B2467" s="2"/>
      <c r="C2467" s="1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</row>
    <row r="2468" spans="1:23" x14ac:dyDescent="0.25">
      <c r="A2468" s="2"/>
      <c r="B2468" s="2"/>
      <c r="C2468" s="1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</row>
    <row r="2469" spans="1:23" x14ac:dyDescent="0.25">
      <c r="A2469" s="2"/>
      <c r="B2469" s="2"/>
      <c r="C2469" s="1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</row>
    <row r="2470" spans="1:23" x14ac:dyDescent="0.25">
      <c r="A2470" s="2"/>
      <c r="B2470" s="2"/>
      <c r="C2470" s="1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</row>
    <row r="2471" spans="1:23" x14ac:dyDescent="0.25">
      <c r="A2471" s="2"/>
      <c r="B2471" s="2"/>
      <c r="C2471" s="1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</row>
    <row r="2472" spans="1:23" x14ac:dyDescent="0.25">
      <c r="A2472" s="2"/>
      <c r="B2472" s="2"/>
      <c r="C2472" s="1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</row>
    <row r="2473" spans="1:23" x14ac:dyDescent="0.25">
      <c r="A2473" s="2"/>
      <c r="B2473" s="2"/>
      <c r="C2473" s="1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</row>
    <row r="2474" spans="1:23" x14ac:dyDescent="0.25">
      <c r="A2474" s="2"/>
      <c r="B2474" s="2"/>
      <c r="C2474" s="1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</row>
    <row r="2475" spans="1:23" x14ac:dyDescent="0.25">
      <c r="A2475" s="2"/>
      <c r="B2475" s="2"/>
      <c r="C2475" s="1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</row>
    <row r="2476" spans="1:23" x14ac:dyDescent="0.25">
      <c r="A2476" s="2"/>
      <c r="B2476" s="2"/>
      <c r="C2476" s="1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</row>
    <row r="2477" spans="1:23" x14ac:dyDescent="0.25">
      <c r="A2477" s="2"/>
      <c r="B2477" s="2"/>
      <c r="C2477" s="1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</row>
    <row r="2478" spans="1:23" x14ac:dyDescent="0.25">
      <c r="A2478" s="2"/>
      <c r="B2478" s="2"/>
      <c r="C2478" s="1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</row>
    <row r="2479" spans="1:23" x14ac:dyDescent="0.25">
      <c r="A2479" s="2"/>
      <c r="B2479" s="2"/>
      <c r="C2479" s="1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</row>
    <row r="2480" spans="1:23" x14ac:dyDescent="0.25">
      <c r="A2480" s="2"/>
      <c r="B2480" s="2"/>
      <c r="C2480" s="1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</row>
    <row r="2481" spans="1:23" x14ac:dyDescent="0.25">
      <c r="A2481" s="2"/>
      <c r="B2481" s="2"/>
      <c r="C2481" s="1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</row>
    <row r="2482" spans="1:23" x14ac:dyDescent="0.25">
      <c r="A2482" s="2"/>
      <c r="B2482" s="2"/>
      <c r="C2482" s="1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</row>
    <row r="2483" spans="1:23" x14ac:dyDescent="0.25">
      <c r="A2483" s="2"/>
      <c r="B2483" s="2"/>
      <c r="C2483" s="1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</row>
    <row r="2484" spans="1:23" x14ac:dyDescent="0.25">
      <c r="A2484" s="2"/>
      <c r="B2484" s="2"/>
      <c r="C2484" s="1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</row>
    <row r="2485" spans="1:23" x14ac:dyDescent="0.25">
      <c r="A2485" s="2"/>
      <c r="B2485" s="2"/>
      <c r="C2485" s="1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</row>
    <row r="2486" spans="1:23" x14ac:dyDescent="0.25">
      <c r="A2486" s="2"/>
      <c r="B2486" s="2"/>
      <c r="C2486" s="1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</row>
    <row r="2487" spans="1:23" x14ac:dyDescent="0.25">
      <c r="A2487" s="2"/>
      <c r="B2487" s="2"/>
      <c r="C2487" s="1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</row>
    <row r="2488" spans="1:23" x14ac:dyDescent="0.25">
      <c r="A2488" s="2"/>
      <c r="B2488" s="2"/>
      <c r="C2488" s="1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</row>
    <row r="2489" spans="1:23" x14ac:dyDescent="0.25">
      <c r="A2489" s="2"/>
      <c r="B2489" s="2"/>
      <c r="C2489" s="1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</row>
    <row r="2490" spans="1:23" x14ac:dyDescent="0.25">
      <c r="A2490" s="2"/>
      <c r="B2490" s="2"/>
      <c r="C2490" s="1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</row>
    <row r="2491" spans="1:23" x14ac:dyDescent="0.25">
      <c r="A2491" s="2"/>
      <c r="B2491" s="2"/>
      <c r="C2491" s="1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</row>
    <row r="2492" spans="1:23" x14ac:dyDescent="0.25">
      <c r="A2492" s="2"/>
      <c r="B2492" s="2"/>
      <c r="C2492" s="1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</row>
    <row r="2493" spans="1:23" x14ac:dyDescent="0.25">
      <c r="A2493" s="2"/>
      <c r="B2493" s="2"/>
      <c r="C2493" s="1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</row>
    <row r="2494" spans="1:23" x14ac:dyDescent="0.25">
      <c r="A2494" s="2"/>
      <c r="B2494" s="2"/>
      <c r="C2494" s="1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</row>
    <row r="2495" spans="1:23" x14ac:dyDescent="0.25">
      <c r="A2495" s="2"/>
      <c r="B2495" s="2"/>
      <c r="C2495" s="1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</row>
    <row r="2496" spans="1:23" x14ac:dyDescent="0.25">
      <c r="A2496" s="2"/>
      <c r="B2496" s="2"/>
      <c r="C2496" s="1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</row>
    <row r="2497" spans="1:23" x14ac:dyDescent="0.25">
      <c r="A2497" s="2"/>
      <c r="B2497" s="2"/>
      <c r="C2497" s="1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</row>
    <row r="2498" spans="1:23" x14ac:dyDescent="0.25">
      <c r="A2498" s="2"/>
      <c r="B2498" s="2"/>
      <c r="C2498" s="1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</row>
    <row r="2499" spans="1:23" x14ac:dyDescent="0.25">
      <c r="A2499" s="2"/>
      <c r="B2499" s="2"/>
      <c r="C2499" s="1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</row>
    <row r="2500" spans="1:23" x14ac:dyDescent="0.25">
      <c r="A2500" s="2"/>
      <c r="B2500" s="2"/>
      <c r="C2500" s="1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</row>
    <row r="2501" spans="1:23" x14ac:dyDescent="0.25">
      <c r="A2501" s="2"/>
      <c r="B2501" s="2"/>
      <c r="C2501" s="1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</row>
    <row r="2502" spans="1:23" x14ac:dyDescent="0.25">
      <c r="A2502" s="2"/>
      <c r="B2502" s="2"/>
      <c r="C2502" s="1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</row>
    <row r="2503" spans="1:23" x14ac:dyDescent="0.25">
      <c r="A2503" s="2"/>
      <c r="B2503" s="2"/>
      <c r="C2503" s="1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</row>
    <row r="2504" spans="1:23" x14ac:dyDescent="0.25">
      <c r="A2504" s="2"/>
      <c r="B2504" s="2"/>
      <c r="C2504" s="1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</row>
    <row r="2505" spans="1:23" x14ac:dyDescent="0.25">
      <c r="A2505" s="2"/>
      <c r="B2505" s="2"/>
      <c r="C2505" s="1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</row>
    <row r="2506" spans="1:23" x14ac:dyDescent="0.25">
      <c r="A2506" s="2"/>
      <c r="B2506" s="2"/>
      <c r="C2506" s="1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</row>
    <row r="2507" spans="1:23" x14ac:dyDescent="0.25">
      <c r="A2507" s="2"/>
      <c r="B2507" s="2"/>
      <c r="C2507" s="1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</row>
    <row r="2508" spans="1:23" x14ac:dyDescent="0.25">
      <c r="A2508" s="2"/>
      <c r="B2508" s="2"/>
      <c r="C2508" s="1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</row>
    <row r="2509" spans="1:23" x14ac:dyDescent="0.25">
      <c r="A2509" s="2"/>
      <c r="B2509" s="2"/>
      <c r="C2509" s="1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</row>
    <row r="2510" spans="1:23" x14ac:dyDescent="0.25">
      <c r="A2510" s="2"/>
      <c r="B2510" s="2"/>
      <c r="C2510" s="1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</row>
    <row r="2511" spans="1:23" x14ac:dyDescent="0.25">
      <c r="A2511" s="2"/>
      <c r="B2511" s="2"/>
      <c r="C2511" s="1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</row>
    <row r="2512" spans="1:23" x14ac:dyDescent="0.25">
      <c r="A2512" s="2"/>
      <c r="B2512" s="2"/>
      <c r="C2512" s="1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</row>
    <row r="2513" spans="1:23" x14ac:dyDescent="0.25">
      <c r="A2513" s="2"/>
      <c r="B2513" s="2"/>
      <c r="C2513" s="1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</row>
    <row r="2514" spans="1:23" x14ac:dyDescent="0.25">
      <c r="A2514" s="2"/>
      <c r="B2514" s="2"/>
      <c r="C2514" s="1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</row>
    <row r="2515" spans="1:23" x14ac:dyDescent="0.25">
      <c r="A2515" s="2"/>
      <c r="B2515" s="2"/>
      <c r="C2515" s="1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</row>
    <row r="2516" spans="1:23" x14ac:dyDescent="0.25">
      <c r="A2516" s="2"/>
      <c r="B2516" s="2"/>
      <c r="C2516" s="1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</row>
    <row r="2517" spans="1:23" x14ac:dyDescent="0.25">
      <c r="A2517" s="2"/>
      <c r="B2517" s="2"/>
      <c r="C2517" s="1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</row>
    <row r="2518" spans="1:23" x14ac:dyDescent="0.25">
      <c r="A2518" s="2"/>
      <c r="B2518" s="2"/>
      <c r="C2518" s="1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</row>
    <row r="2519" spans="1:23" x14ac:dyDescent="0.25">
      <c r="A2519" s="2"/>
      <c r="B2519" s="2"/>
      <c r="C2519" s="1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</row>
    <row r="2520" spans="1:23" x14ac:dyDescent="0.25">
      <c r="A2520" s="2"/>
      <c r="B2520" s="2"/>
      <c r="C2520" s="1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</row>
    <row r="2521" spans="1:23" x14ac:dyDescent="0.25">
      <c r="A2521" s="2"/>
      <c r="B2521" s="2"/>
      <c r="C2521" s="1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</row>
    <row r="2522" spans="1:23" x14ac:dyDescent="0.25">
      <c r="A2522" s="2"/>
      <c r="B2522" s="2"/>
      <c r="C2522" s="1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</row>
    <row r="2523" spans="1:23" x14ac:dyDescent="0.25">
      <c r="A2523" s="2"/>
      <c r="B2523" s="2"/>
      <c r="C2523" s="1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</row>
    <row r="2524" spans="1:23" x14ac:dyDescent="0.25">
      <c r="A2524" s="2"/>
      <c r="B2524" s="2"/>
      <c r="C2524" s="1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</row>
    <row r="2525" spans="1:23" x14ac:dyDescent="0.25">
      <c r="A2525" s="2"/>
      <c r="B2525" s="2"/>
      <c r="C2525" s="1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</row>
    <row r="2526" spans="1:23" x14ac:dyDescent="0.25">
      <c r="A2526" s="2"/>
      <c r="B2526" s="2"/>
      <c r="C2526" s="1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</row>
    <row r="2527" spans="1:23" x14ac:dyDescent="0.25">
      <c r="A2527" s="2"/>
      <c r="B2527" s="2"/>
      <c r="C2527" s="1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</row>
    <row r="2528" spans="1:23" x14ac:dyDescent="0.25">
      <c r="A2528" s="2"/>
      <c r="B2528" s="2"/>
      <c r="C2528" s="1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</row>
    <row r="2529" spans="1:23" x14ac:dyDescent="0.25">
      <c r="A2529" s="2"/>
      <c r="B2529" s="2"/>
      <c r="C2529" s="1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</row>
    <row r="2530" spans="1:23" x14ac:dyDescent="0.25">
      <c r="A2530" s="2"/>
      <c r="B2530" s="2"/>
      <c r="C2530" s="1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</row>
    <row r="2531" spans="1:23" x14ac:dyDescent="0.25">
      <c r="A2531" s="2"/>
      <c r="B2531" s="2"/>
      <c r="C2531" s="1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</row>
    <row r="2532" spans="1:23" x14ac:dyDescent="0.25">
      <c r="A2532" s="2"/>
      <c r="B2532" s="2"/>
      <c r="C2532" s="1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</row>
    <row r="2533" spans="1:23" x14ac:dyDescent="0.25">
      <c r="A2533" s="2"/>
      <c r="B2533" s="2"/>
      <c r="C2533" s="1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</row>
    <row r="2534" spans="1:23" x14ac:dyDescent="0.25">
      <c r="A2534" s="2"/>
      <c r="B2534" s="2"/>
      <c r="C2534" s="1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</row>
    <row r="2535" spans="1:23" x14ac:dyDescent="0.25">
      <c r="A2535" s="2"/>
      <c r="B2535" s="2"/>
      <c r="C2535" s="1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</row>
    <row r="2536" spans="1:23" x14ac:dyDescent="0.25">
      <c r="A2536" s="2"/>
      <c r="B2536" s="2"/>
      <c r="C2536" s="1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</row>
    <row r="2537" spans="1:23" x14ac:dyDescent="0.25">
      <c r="A2537" s="2"/>
      <c r="B2537" s="2"/>
      <c r="C2537" s="1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</row>
    <row r="2538" spans="1:23" x14ac:dyDescent="0.25">
      <c r="A2538" s="2"/>
      <c r="B2538" s="2"/>
      <c r="C2538" s="1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</row>
    <row r="2539" spans="1:23" x14ac:dyDescent="0.25">
      <c r="A2539" s="2"/>
      <c r="B2539" s="2"/>
      <c r="C2539" s="1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</row>
    <row r="2540" spans="1:23" x14ac:dyDescent="0.25">
      <c r="A2540" s="2"/>
      <c r="B2540" s="2"/>
      <c r="C2540" s="1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</row>
    <row r="2541" spans="1:23" x14ac:dyDescent="0.25">
      <c r="A2541" s="2"/>
      <c r="B2541" s="2"/>
      <c r="C2541" s="1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</row>
    <row r="2542" spans="1:23" x14ac:dyDescent="0.25">
      <c r="A2542" s="2"/>
      <c r="B2542" s="2"/>
      <c r="C2542" s="1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</row>
    <row r="2543" spans="1:23" x14ac:dyDescent="0.25">
      <c r="A2543" s="2"/>
      <c r="B2543" s="2"/>
      <c r="C2543" s="1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</row>
    <row r="2544" spans="1:23" x14ac:dyDescent="0.25">
      <c r="A2544" s="2"/>
      <c r="B2544" s="2"/>
      <c r="C2544" s="1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</row>
    <row r="2545" spans="1:23" x14ac:dyDescent="0.25">
      <c r="A2545" s="2"/>
      <c r="B2545" s="2"/>
      <c r="C2545" s="1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</row>
    <row r="2546" spans="1:23" x14ac:dyDescent="0.25">
      <c r="A2546" s="2"/>
      <c r="B2546" s="2"/>
      <c r="C2546" s="1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</row>
    <row r="2547" spans="1:23" x14ac:dyDescent="0.25">
      <c r="A2547" s="2"/>
      <c r="B2547" s="2"/>
      <c r="C2547" s="1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</row>
    <row r="2548" spans="1:23" x14ac:dyDescent="0.25">
      <c r="A2548" s="2"/>
      <c r="B2548" s="2"/>
      <c r="C2548" s="1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</row>
    <row r="2549" spans="1:23" x14ac:dyDescent="0.25">
      <c r="A2549" s="2"/>
      <c r="B2549" s="2"/>
      <c r="C2549" s="1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</row>
    <row r="2550" spans="1:23" x14ac:dyDescent="0.25">
      <c r="A2550" s="2"/>
      <c r="B2550" s="2"/>
      <c r="C2550" s="1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</row>
    <row r="2551" spans="1:23" x14ac:dyDescent="0.25">
      <c r="A2551" s="2"/>
      <c r="B2551" s="2"/>
      <c r="C2551" s="1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</row>
    <row r="2552" spans="1:23" x14ac:dyDescent="0.25">
      <c r="A2552" s="2"/>
      <c r="B2552" s="2"/>
      <c r="C2552" s="1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</row>
    <row r="2553" spans="1:23" x14ac:dyDescent="0.25">
      <c r="A2553" s="2"/>
      <c r="B2553" s="2"/>
      <c r="C2553" s="1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</row>
    <row r="2554" spans="1:23" x14ac:dyDescent="0.25">
      <c r="A2554" s="2"/>
      <c r="B2554" s="2"/>
      <c r="C2554" s="1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</row>
    <row r="2555" spans="1:23" x14ac:dyDescent="0.25">
      <c r="A2555" s="2"/>
      <c r="B2555" s="2"/>
      <c r="C2555" s="1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</row>
    <row r="2556" spans="1:23" x14ac:dyDescent="0.25">
      <c r="A2556" s="2"/>
      <c r="B2556" s="2"/>
      <c r="C2556" s="1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</row>
    <row r="2557" spans="1:23" x14ac:dyDescent="0.25">
      <c r="A2557" s="2"/>
      <c r="B2557" s="2"/>
      <c r="C2557" s="1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</row>
    <row r="2558" spans="1:23" x14ac:dyDescent="0.25">
      <c r="A2558" s="2"/>
      <c r="B2558" s="2"/>
      <c r="C2558" s="1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</row>
    <row r="2559" spans="1:23" x14ac:dyDescent="0.25">
      <c r="A2559" s="2"/>
      <c r="B2559" s="2"/>
      <c r="C2559" s="1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</row>
    <row r="2560" spans="1:23" x14ac:dyDescent="0.25">
      <c r="A2560" s="2"/>
      <c r="B2560" s="2"/>
      <c r="C2560" s="1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</row>
    <row r="2561" spans="1:23" x14ac:dyDescent="0.25">
      <c r="A2561" s="2"/>
      <c r="B2561" s="2"/>
      <c r="C2561" s="1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</row>
    <row r="2562" spans="1:23" x14ac:dyDescent="0.25">
      <c r="A2562" s="2"/>
      <c r="B2562" s="2"/>
      <c r="C2562" s="1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</row>
    <row r="2563" spans="1:23" x14ac:dyDescent="0.25">
      <c r="A2563" s="2"/>
      <c r="B2563" s="2"/>
      <c r="C2563" s="1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</row>
    <row r="2564" spans="1:23" x14ac:dyDescent="0.25">
      <c r="A2564" s="2"/>
      <c r="B2564" s="2"/>
      <c r="C2564" s="1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</row>
    <row r="2565" spans="1:23" x14ac:dyDescent="0.25">
      <c r="A2565" s="2"/>
      <c r="B2565" s="2"/>
      <c r="C2565" s="1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</row>
    <row r="2566" spans="1:23" x14ac:dyDescent="0.25">
      <c r="A2566" s="2"/>
      <c r="B2566" s="2"/>
      <c r="C2566" s="1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</row>
    <row r="2567" spans="1:23" x14ac:dyDescent="0.25">
      <c r="A2567" s="2"/>
      <c r="B2567" s="2"/>
      <c r="C2567" s="1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</row>
    <row r="2568" spans="1:23" x14ac:dyDescent="0.25">
      <c r="A2568" s="2"/>
      <c r="B2568" s="2"/>
      <c r="C2568" s="1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</row>
    <row r="2569" spans="1:23" x14ac:dyDescent="0.25">
      <c r="A2569" s="2"/>
      <c r="B2569" s="2"/>
      <c r="C2569" s="1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</row>
    <row r="2570" spans="1:23" x14ac:dyDescent="0.25">
      <c r="A2570" s="2"/>
      <c r="B2570" s="2"/>
      <c r="C2570" s="1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</row>
    <row r="2571" spans="1:23" x14ac:dyDescent="0.25">
      <c r="A2571" s="2"/>
      <c r="B2571" s="2"/>
      <c r="C2571" s="1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</row>
    <row r="2572" spans="1:23" x14ac:dyDescent="0.25">
      <c r="A2572" s="2"/>
      <c r="B2572" s="2"/>
      <c r="C2572" s="1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</row>
    <row r="2573" spans="1:23" x14ac:dyDescent="0.25">
      <c r="A2573" s="2"/>
      <c r="B2573" s="2"/>
      <c r="C2573" s="1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</row>
    <row r="2574" spans="1:23" x14ac:dyDescent="0.25">
      <c r="A2574" s="2"/>
      <c r="B2574" s="2"/>
      <c r="C2574" s="1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</row>
    <row r="2575" spans="1:23" x14ac:dyDescent="0.25">
      <c r="A2575" s="2"/>
      <c r="B2575" s="2"/>
      <c r="C2575" s="1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</row>
    <row r="2576" spans="1:23" x14ac:dyDescent="0.25">
      <c r="A2576" s="2"/>
      <c r="B2576" s="2"/>
      <c r="C2576" s="1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</row>
    <row r="2577" spans="1:23" x14ac:dyDescent="0.25">
      <c r="A2577" s="2"/>
      <c r="B2577" s="2"/>
      <c r="C2577" s="1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</row>
    <row r="2578" spans="1:23" x14ac:dyDescent="0.25">
      <c r="A2578" s="2"/>
      <c r="B2578" s="2"/>
      <c r="C2578" s="1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</row>
    <row r="2579" spans="1:23" x14ac:dyDescent="0.25">
      <c r="A2579" s="2"/>
      <c r="B2579" s="2"/>
      <c r="C2579" s="1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</row>
    <row r="2580" spans="1:23" x14ac:dyDescent="0.25">
      <c r="A2580" s="2"/>
      <c r="B2580" s="2"/>
      <c r="C2580" s="1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</row>
    <row r="2581" spans="1:23" x14ac:dyDescent="0.25">
      <c r="A2581" s="2"/>
      <c r="B2581" s="2"/>
      <c r="C2581" s="1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</row>
    <row r="2582" spans="1:23" x14ac:dyDescent="0.25">
      <c r="A2582" s="2"/>
      <c r="B2582" s="2"/>
      <c r="C2582" s="1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</row>
    <row r="2583" spans="1:23" x14ac:dyDescent="0.25">
      <c r="A2583" s="2"/>
      <c r="B2583" s="2"/>
      <c r="C2583" s="1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</row>
    <row r="2584" spans="1:23" x14ac:dyDescent="0.25">
      <c r="A2584" s="2"/>
      <c r="B2584" s="2"/>
      <c r="C2584" s="1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</row>
    <row r="2585" spans="1:23" x14ac:dyDescent="0.25">
      <c r="A2585" s="2"/>
      <c r="B2585" s="2"/>
      <c r="C2585" s="1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</row>
    <row r="2586" spans="1:23" x14ac:dyDescent="0.25">
      <c r="A2586" s="2"/>
      <c r="B2586" s="2"/>
      <c r="C2586" s="1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</row>
    <row r="2587" spans="1:23" x14ac:dyDescent="0.25">
      <c r="A2587" s="2"/>
      <c r="B2587" s="2"/>
      <c r="C2587" s="1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</row>
    <row r="2588" spans="1:23" x14ac:dyDescent="0.25">
      <c r="A2588" s="2"/>
      <c r="B2588" s="2"/>
      <c r="C2588" s="1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</row>
    <row r="2589" spans="1:23" x14ac:dyDescent="0.25">
      <c r="A2589" s="2"/>
      <c r="B2589" s="2"/>
      <c r="C2589" s="1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</row>
    <row r="2590" spans="1:23" x14ac:dyDescent="0.25">
      <c r="A2590" s="2"/>
      <c r="B2590" s="2"/>
      <c r="C2590" s="1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</row>
    <row r="2591" spans="1:23" x14ac:dyDescent="0.25">
      <c r="A2591" s="2"/>
      <c r="B2591" s="2"/>
      <c r="C2591" s="1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</row>
    <row r="2592" spans="1:23" x14ac:dyDescent="0.25">
      <c r="A2592" s="2"/>
      <c r="B2592" s="2"/>
      <c r="C2592" s="1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</row>
    <row r="2593" spans="1:23" x14ac:dyDescent="0.25">
      <c r="A2593" s="2"/>
      <c r="B2593" s="2"/>
      <c r="C2593" s="1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</row>
    <row r="2594" spans="1:23" x14ac:dyDescent="0.25">
      <c r="A2594" s="2"/>
      <c r="B2594" s="2"/>
      <c r="C2594" s="1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</row>
    <row r="2595" spans="1:23" x14ac:dyDescent="0.25">
      <c r="A2595" s="2"/>
      <c r="B2595" s="2"/>
      <c r="C2595" s="1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</row>
    <row r="2596" spans="1:23" x14ac:dyDescent="0.25">
      <c r="A2596" s="2"/>
      <c r="B2596" s="2"/>
      <c r="C2596" s="1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</row>
    <row r="2597" spans="1:23" x14ac:dyDescent="0.25">
      <c r="A2597" s="2"/>
      <c r="B2597" s="2"/>
      <c r="C2597" s="1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</row>
    <row r="2598" spans="1:23" x14ac:dyDescent="0.25">
      <c r="A2598" s="2"/>
      <c r="B2598" s="2"/>
      <c r="C2598" s="1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</row>
    <row r="2599" spans="1:23" x14ac:dyDescent="0.25">
      <c r="A2599" s="2"/>
      <c r="B2599" s="2"/>
      <c r="C2599" s="1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</row>
    <row r="2600" spans="1:23" x14ac:dyDescent="0.25">
      <c r="A2600" s="2"/>
      <c r="B2600" s="2"/>
      <c r="C2600" s="1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</row>
    <row r="2601" spans="1:23" x14ac:dyDescent="0.25">
      <c r="A2601" s="2"/>
      <c r="B2601" s="2"/>
      <c r="C2601" s="1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</row>
    <row r="2602" spans="1:23" x14ac:dyDescent="0.25">
      <c r="A2602" s="2"/>
      <c r="B2602" s="2"/>
      <c r="C2602" s="1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</row>
    <row r="2603" spans="1:23" x14ac:dyDescent="0.25">
      <c r="A2603" s="2"/>
      <c r="B2603" s="2"/>
      <c r="C2603" s="1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</row>
    <row r="2604" spans="1:23" x14ac:dyDescent="0.25">
      <c r="A2604" s="2"/>
      <c r="B2604" s="2"/>
      <c r="C2604" s="1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</row>
    <row r="2605" spans="1:23" x14ac:dyDescent="0.25">
      <c r="A2605" s="2"/>
      <c r="B2605" s="2"/>
      <c r="C2605" s="1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</row>
    <row r="2606" spans="1:23" x14ac:dyDescent="0.25">
      <c r="A2606" s="2"/>
      <c r="B2606" s="2"/>
      <c r="C2606" s="1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</row>
    <row r="2607" spans="1:23" x14ac:dyDescent="0.25">
      <c r="A2607" s="2"/>
      <c r="B2607" s="2"/>
      <c r="C2607" s="1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</row>
    <row r="2608" spans="1:23" x14ac:dyDescent="0.25">
      <c r="A2608" s="2"/>
      <c r="B2608" s="2"/>
      <c r="C2608" s="1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</row>
    <row r="2609" spans="1:23" x14ac:dyDescent="0.25">
      <c r="A2609" s="2"/>
      <c r="B2609" s="2"/>
      <c r="C2609" s="1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</row>
    <row r="2610" spans="1:23" x14ac:dyDescent="0.25">
      <c r="A2610" s="2"/>
      <c r="B2610" s="2"/>
      <c r="C2610" s="1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</row>
    <row r="2611" spans="1:23" x14ac:dyDescent="0.25">
      <c r="A2611" s="2"/>
      <c r="B2611" s="2"/>
      <c r="C2611" s="1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</row>
    <row r="2612" spans="1:23" x14ac:dyDescent="0.25">
      <c r="A2612" s="2"/>
      <c r="B2612" s="2"/>
      <c r="C2612" s="1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</row>
    <row r="2613" spans="1:23" x14ac:dyDescent="0.25">
      <c r="A2613" s="2"/>
      <c r="B2613" s="2"/>
      <c r="C2613" s="1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</row>
    <row r="2614" spans="1:23" x14ac:dyDescent="0.25">
      <c r="A2614" s="2"/>
      <c r="B2614" s="2"/>
      <c r="C2614" s="1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</row>
    <row r="2615" spans="1:23" x14ac:dyDescent="0.25">
      <c r="A2615" s="2"/>
      <c r="B2615" s="2"/>
      <c r="C2615" s="1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</row>
    <row r="2616" spans="1:23" x14ac:dyDescent="0.25">
      <c r="A2616" s="2"/>
      <c r="B2616" s="2"/>
      <c r="C2616" s="1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</row>
    <row r="2617" spans="1:23" x14ac:dyDescent="0.25">
      <c r="A2617" s="2"/>
      <c r="B2617" s="2"/>
      <c r="C2617" s="1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</row>
    <row r="2618" spans="1:23" x14ac:dyDescent="0.25">
      <c r="A2618" s="2"/>
      <c r="B2618" s="2"/>
      <c r="C2618" s="1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</row>
    <row r="2619" spans="1:23" x14ac:dyDescent="0.25">
      <c r="A2619" s="2"/>
      <c r="B2619" s="2"/>
      <c r="C2619" s="1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</row>
    <row r="2620" spans="1:23" x14ac:dyDescent="0.25">
      <c r="A2620" s="2"/>
      <c r="B2620" s="2"/>
      <c r="C2620" s="1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</row>
    <row r="2621" spans="1:23" x14ac:dyDescent="0.25">
      <c r="A2621" s="2"/>
      <c r="B2621" s="2"/>
      <c r="C2621" s="1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</row>
    <row r="2622" spans="1:23" x14ac:dyDescent="0.25">
      <c r="A2622" s="2"/>
      <c r="B2622" s="2"/>
      <c r="C2622" s="1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</row>
    <row r="2623" spans="1:23" x14ac:dyDescent="0.25">
      <c r="A2623" s="2"/>
      <c r="B2623" s="2"/>
      <c r="C2623" s="1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</row>
    <row r="2624" spans="1:23" x14ac:dyDescent="0.25">
      <c r="A2624" s="2"/>
      <c r="B2624" s="2"/>
      <c r="C2624" s="1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</row>
    <row r="2625" spans="1:23" x14ac:dyDescent="0.25">
      <c r="A2625" s="2"/>
      <c r="B2625" s="2"/>
      <c r="C2625" s="1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</row>
    <row r="2626" spans="1:23" x14ac:dyDescent="0.25">
      <c r="A2626" s="2"/>
      <c r="B2626" s="2"/>
      <c r="C2626" s="1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</row>
    <row r="2627" spans="1:23" x14ac:dyDescent="0.25">
      <c r="A2627" s="2"/>
      <c r="B2627" s="2"/>
      <c r="C2627" s="1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</row>
    <row r="2628" spans="1:23" x14ac:dyDescent="0.25">
      <c r="A2628" s="2"/>
      <c r="B2628" s="2"/>
      <c r="C2628" s="1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</row>
    <row r="2629" spans="1:23" x14ac:dyDescent="0.25">
      <c r="A2629" s="2"/>
      <c r="B2629" s="2"/>
      <c r="C2629" s="1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</row>
    <row r="2630" spans="1:23" x14ac:dyDescent="0.25">
      <c r="A2630" s="2"/>
      <c r="B2630" s="2"/>
      <c r="C2630" s="1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</row>
    <row r="2631" spans="1:23" x14ac:dyDescent="0.25">
      <c r="A2631" s="2"/>
      <c r="B2631" s="2"/>
      <c r="C2631" s="1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</row>
    <row r="2632" spans="1:23" x14ac:dyDescent="0.25">
      <c r="A2632" s="2"/>
      <c r="B2632" s="2"/>
      <c r="C2632" s="1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</row>
    <row r="2633" spans="1:23" x14ac:dyDescent="0.25">
      <c r="A2633" s="2"/>
      <c r="B2633" s="2"/>
      <c r="C2633" s="1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</row>
    <row r="2634" spans="1:23" x14ac:dyDescent="0.25">
      <c r="A2634" s="2"/>
      <c r="B2634" s="2"/>
      <c r="C2634" s="1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</row>
    <row r="2635" spans="1:23" x14ac:dyDescent="0.25">
      <c r="A2635" s="2"/>
      <c r="B2635" s="2"/>
      <c r="C2635" s="1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</row>
    <row r="2636" spans="1:23" x14ac:dyDescent="0.25">
      <c r="A2636" s="2"/>
      <c r="B2636" s="2"/>
      <c r="C2636" s="1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</row>
    <row r="2637" spans="1:23" x14ac:dyDescent="0.25">
      <c r="A2637" s="2"/>
      <c r="B2637" s="2"/>
      <c r="C2637" s="1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</row>
    <row r="2638" spans="1:23" x14ac:dyDescent="0.25">
      <c r="A2638" s="2"/>
      <c r="B2638" s="2"/>
      <c r="C2638" s="1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</row>
    <row r="2639" spans="1:23" x14ac:dyDescent="0.25">
      <c r="A2639" s="2"/>
      <c r="B2639" s="2"/>
      <c r="C2639" s="1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</row>
    <row r="2640" spans="1:23" x14ac:dyDescent="0.25">
      <c r="A2640" s="2"/>
      <c r="B2640" s="2"/>
      <c r="C2640" s="1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</row>
    <row r="2641" spans="1:23" x14ac:dyDescent="0.25">
      <c r="A2641" s="2"/>
      <c r="B2641" s="2"/>
      <c r="C2641" s="1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</row>
    <row r="2642" spans="1:23" x14ac:dyDescent="0.25">
      <c r="A2642" s="2"/>
      <c r="B2642" s="2"/>
      <c r="C2642" s="1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</row>
    <row r="2643" spans="1:23" x14ac:dyDescent="0.25">
      <c r="A2643" s="2"/>
      <c r="B2643" s="2"/>
      <c r="C2643" s="1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</row>
    <row r="2644" spans="1:23" x14ac:dyDescent="0.25">
      <c r="A2644" s="2"/>
      <c r="B2644" s="2"/>
      <c r="C2644" s="1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</row>
    <row r="2645" spans="1:23" x14ac:dyDescent="0.25">
      <c r="A2645" s="2"/>
      <c r="B2645" s="2"/>
      <c r="C2645" s="1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</row>
    <row r="2646" spans="1:23" x14ac:dyDescent="0.25">
      <c r="A2646" s="2"/>
      <c r="B2646" s="2"/>
      <c r="C2646" s="1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</row>
    <row r="2647" spans="1:23" x14ac:dyDescent="0.25">
      <c r="A2647" s="2"/>
      <c r="B2647" s="2"/>
      <c r="C2647" s="1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</row>
    <row r="2648" spans="1:23" x14ac:dyDescent="0.25">
      <c r="A2648" s="2"/>
      <c r="B2648" s="2"/>
      <c r="C2648" s="1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</row>
    <row r="2649" spans="1:23" x14ac:dyDescent="0.25">
      <c r="A2649" s="2"/>
      <c r="B2649" s="2"/>
      <c r="C2649" s="1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</row>
    <row r="2650" spans="1:23" x14ac:dyDescent="0.25">
      <c r="A2650" s="2"/>
      <c r="B2650" s="2"/>
      <c r="C2650" s="1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</row>
    <row r="2651" spans="1:23" x14ac:dyDescent="0.25">
      <c r="A2651" s="2"/>
      <c r="B2651" s="2"/>
      <c r="C2651" s="1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</row>
    <row r="2652" spans="1:23" x14ac:dyDescent="0.25">
      <c r="A2652" s="2"/>
      <c r="B2652" s="2"/>
      <c r="C2652" s="1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</row>
    <row r="2653" spans="1:23" x14ac:dyDescent="0.25">
      <c r="A2653" s="2"/>
      <c r="B2653" s="2"/>
      <c r="C2653" s="1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</row>
    <row r="2654" spans="1:23" x14ac:dyDescent="0.25">
      <c r="A2654" s="2"/>
      <c r="B2654" s="2"/>
      <c r="C2654" s="1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</row>
    <row r="2655" spans="1:23" x14ac:dyDescent="0.25">
      <c r="A2655" s="2"/>
      <c r="B2655" s="2"/>
      <c r="C2655" s="1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</row>
    <row r="2656" spans="1:23" x14ac:dyDescent="0.25">
      <c r="A2656" s="2"/>
      <c r="B2656" s="2"/>
      <c r="C2656" s="1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</row>
    <row r="2657" spans="1:23" x14ac:dyDescent="0.25">
      <c r="A2657" s="2"/>
      <c r="B2657" s="2"/>
      <c r="C2657" s="1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</row>
    <row r="2658" spans="1:23" x14ac:dyDescent="0.25">
      <c r="A2658" s="2"/>
      <c r="B2658" s="2"/>
      <c r="C2658" s="1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</row>
    <row r="2659" spans="1:23" x14ac:dyDescent="0.25">
      <c r="A2659" s="2"/>
      <c r="B2659" s="2"/>
      <c r="C2659" s="1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</row>
    <row r="2660" spans="1:23" x14ac:dyDescent="0.25">
      <c r="A2660" s="2"/>
      <c r="B2660" s="2"/>
      <c r="C2660" s="1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</row>
    <row r="2661" spans="1:23" x14ac:dyDescent="0.25">
      <c r="A2661" s="2"/>
      <c r="B2661" s="2"/>
      <c r="C2661" s="1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</row>
    <row r="2662" spans="1:23" x14ac:dyDescent="0.25">
      <c r="A2662" s="2"/>
      <c r="B2662" s="2"/>
      <c r="C2662" s="1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</row>
    <row r="2663" spans="1:23" x14ac:dyDescent="0.25">
      <c r="A2663" s="2"/>
      <c r="B2663" s="2"/>
      <c r="C2663" s="1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</row>
    <row r="2664" spans="1:23" x14ac:dyDescent="0.25">
      <c r="A2664" s="2"/>
      <c r="B2664" s="2"/>
      <c r="C2664" s="1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</row>
    <row r="2665" spans="1:23" x14ac:dyDescent="0.25">
      <c r="A2665" s="2"/>
      <c r="B2665" s="2"/>
      <c r="C2665" s="1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</row>
    <row r="2666" spans="1:23" x14ac:dyDescent="0.25">
      <c r="A2666" s="2"/>
      <c r="B2666" s="2"/>
      <c r="C2666" s="1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</row>
    <row r="2667" spans="1:23" x14ac:dyDescent="0.25">
      <c r="A2667" s="2"/>
      <c r="B2667" s="2"/>
      <c r="C2667" s="1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</row>
    <row r="2668" spans="1:23" x14ac:dyDescent="0.25">
      <c r="A2668" s="2"/>
      <c r="B2668" s="2"/>
      <c r="C2668" s="1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</row>
    <row r="2669" spans="1:23" x14ac:dyDescent="0.25">
      <c r="A2669" s="2"/>
      <c r="B2669" s="2"/>
      <c r="C2669" s="1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</row>
    <row r="2670" spans="1:23" x14ac:dyDescent="0.25">
      <c r="A2670" s="2"/>
      <c r="B2670" s="2"/>
      <c r="C2670" s="1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</row>
    <row r="2671" spans="1:23" x14ac:dyDescent="0.25">
      <c r="A2671" s="2"/>
      <c r="B2671" s="2"/>
      <c r="C2671" s="1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</row>
    <row r="2672" spans="1:23" x14ac:dyDescent="0.25">
      <c r="A2672" s="2"/>
      <c r="B2672" s="2"/>
      <c r="C2672" s="1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</row>
    <row r="2673" spans="1:23" x14ac:dyDescent="0.25">
      <c r="A2673" s="2"/>
      <c r="B2673" s="2"/>
      <c r="C2673" s="1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</row>
    <row r="2674" spans="1:23" x14ac:dyDescent="0.25">
      <c r="A2674" s="2"/>
      <c r="B2674" s="2"/>
      <c r="C2674" s="1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</row>
    <row r="2675" spans="1:23" x14ac:dyDescent="0.25">
      <c r="A2675" s="2"/>
      <c r="B2675" s="2"/>
      <c r="C2675" s="1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</row>
    <row r="2676" spans="1:23" x14ac:dyDescent="0.25">
      <c r="A2676" s="2"/>
      <c r="B2676" s="2"/>
      <c r="C2676" s="1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</row>
    <row r="2677" spans="1:23" x14ac:dyDescent="0.25">
      <c r="A2677" s="2"/>
      <c r="B2677" s="2"/>
      <c r="C2677" s="1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</row>
    <row r="2678" spans="1:23" x14ac:dyDescent="0.25">
      <c r="A2678" s="2"/>
      <c r="B2678" s="2"/>
      <c r="C2678" s="1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</row>
    <row r="2679" spans="1:23" x14ac:dyDescent="0.25">
      <c r="A2679" s="2"/>
      <c r="B2679" s="2"/>
      <c r="C2679" s="1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</row>
    <row r="2680" spans="1:23" x14ac:dyDescent="0.25">
      <c r="A2680" s="2"/>
      <c r="B2680" s="2"/>
      <c r="C2680" s="1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</row>
    <row r="2681" spans="1:23" x14ac:dyDescent="0.25">
      <c r="A2681" s="2"/>
      <c r="B2681" s="2"/>
      <c r="C2681" s="1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</row>
    <row r="2682" spans="1:23" x14ac:dyDescent="0.25">
      <c r="A2682" s="2"/>
      <c r="B2682" s="2"/>
      <c r="C2682" s="1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</row>
    <row r="2683" spans="1:23" x14ac:dyDescent="0.25">
      <c r="A2683" s="2"/>
      <c r="B2683" s="2"/>
      <c r="C2683" s="1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</row>
    <row r="2684" spans="1:23" x14ac:dyDescent="0.25">
      <c r="A2684" s="2"/>
      <c r="B2684" s="2"/>
      <c r="C2684" s="1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</row>
    <row r="2685" spans="1:23" x14ac:dyDescent="0.25">
      <c r="A2685" s="2"/>
      <c r="B2685" s="2"/>
      <c r="C2685" s="1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</row>
    <row r="2686" spans="1:23" x14ac:dyDescent="0.25">
      <c r="A2686" s="2"/>
      <c r="B2686" s="2"/>
      <c r="C2686" s="1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</row>
    <row r="2687" spans="1:23" x14ac:dyDescent="0.25">
      <c r="A2687" s="2"/>
      <c r="B2687" s="2"/>
      <c r="C2687" s="1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</row>
    <row r="2688" spans="1:23" x14ac:dyDescent="0.25">
      <c r="A2688" s="2"/>
      <c r="B2688" s="2"/>
      <c r="C2688" s="1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</row>
    <row r="2689" spans="1:23" x14ac:dyDescent="0.25">
      <c r="A2689" s="2"/>
      <c r="B2689" s="2"/>
      <c r="C2689" s="1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</row>
    <row r="2690" spans="1:23" x14ac:dyDescent="0.25">
      <c r="A2690" s="2"/>
      <c r="B2690" s="2"/>
      <c r="C2690" s="1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</row>
    <row r="2691" spans="1:23" x14ac:dyDescent="0.25">
      <c r="A2691" s="2"/>
      <c r="B2691" s="2"/>
      <c r="C2691" s="1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</row>
    <row r="2692" spans="1:23" x14ac:dyDescent="0.25">
      <c r="A2692" s="2"/>
      <c r="B2692" s="2"/>
      <c r="C2692" s="1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</row>
    <row r="2693" spans="1:23" x14ac:dyDescent="0.25">
      <c r="A2693" s="2"/>
      <c r="B2693" s="2"/>
      <c r="C2693" s="1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</row>
    <row r="2694" spans="1:23" x14ac:dyDescent="0.25">
      <c r="A2694" s="2"/>
      <c r="B2694" s="2"/>
      <c r="C2694" s="1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</row>
    <row r="2695" spans="1:23" x14ac:dyDescent="0.25">
      <c r="A2695" s="2"/>
      <c r="B2695" s="2"/>
      <c r="C2695" s="1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</row>
    <row r="2696" spans="1:23" x14ac:dyDescent="0.25">
      <c r="A2696" s="2"/>
      <c r="B2696" s="2"/>
      <c r="C2696" s="1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</row>
    <row r="2697" spans="1:23" x14ac:dyDescent="0.25">
      <c r="A2697" s="2"/>
      <c r="B2697" s="2"/>
      <c r="C2697" s="1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</row>
    <row r="2698" spans="1:23" x14ac:dyDescent="0.25">
      <c r="A2698" s="2"/>
      <c r="B2698" s="2"/>
      <c r="C2698" s="1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</row>
    <row r="2699" spans="1:23" x14ac:dyDescent="0.25">
      <c r="A2699" s="2"/>
      <c r="B2699" s="2"/>
      <c r="C2699" s="1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</row>
    <row r="2700" spans="1:23" x14ac:dyDescent="0.25">
      <c r="A2700" s="2"/>
      <c r="B2700" s="2"/>
      <c r="C2700" s="1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</row>
    <row r="2701" spans="1:23" x14ac:dyDescent="0.25">
      <c r="A2701" s="2"/>
      <c r="B2701" s="2"/>
      <c r="C2701" s="1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</row>
    <row r="2702" spans="1:23" x14ac:dyDescent="0.25">
      <c r="A2702" s="2"/>
      <c r="B2702" s="2"/>
      <c r="C2702" s="1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</row>
    <row r="2703" spans="1:23" x14ac:dyDescent="0.25">
      <c r="A2703" s="2"/>
      <c r="B2703" s="2"/>
      <c r="C2703" s="1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</row>
    <row r="2704" spans="1:23" x14ac:dyDescent="0.25">
      <c r="A2704" s="2"/>
      <c r="B2704" s="2"/>
      <c r="C2704" s="1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</row>
    <row r="2705" spans="1:23" x14ac:dyDescent="0.25">
      <c r="A2705" s="2"/>
      <c r="B2705" s="2"/>
      <c r="C2705" s="1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</row>
    <row r="2706" spans="1:23" x14ac:dyDescent="0.25">
      <c r="A2706" s="2"/>
      <c r="B2706" s="2"/>
      <c r="C2706" s="1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</row>
    <row r="2707" spans="1:23" x14ac:dyDescent="0.25">
      <c r="A2707" s="2"/>
      <c r="B2707" s="2"/>
      <c r="C2707" s="1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</row>
    <row r="2708" spans="1:23" x14ac:dyDescent="0.25">
      <c r="A2708" s="2"/>
      <c r="B2708" s="2"/>
      <c r="C2708" s="1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</row>
    <row r="2709" spans="1:23" x14ac:dyDescent="0.25">
      <c r="A2709" s="2"/>
      <c r="B2709" s="2"/>
      <c r="C2709" s="1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</row>
    <row r="2710" spans="1:23" x14ac:dyDescent="0.25">
      <c r="A2710" s="2"/>
      <c r="B2710" s="2"/>
      <c r="C2710" s="1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</row>
    <row r="2711" spans="1:23" x14ac:dyDescent="0.25">
      <c r="A2711" s="2"/>
      <c r="B2711" s="2"/>
      <c r="C2711" s="1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</row>
    <row r="2712" spans="1:23" x14ac:dyDescent="0.25">
      <c r="A2712" s="2"/>
      <c r="B2712" s="2"/>
      <c r="C2712" s="1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</row>
    <row r="2713" spans="1:23" x14ac:dyDescent="0.25">
      <c r="A2713" s="2"/>
      <c r="B2713" s="2"/>
      <c r="C2713" s="1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</row>
    <row r="2714" spans="1:23" x14ac:dyDescent="0.25">
      <c r="A2714" s="2"/>
      <c r="B2714" s="2"/>
      <c r="C2714" s="1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</row>
    <row r="2715" spans="1:23" x14ac:dyDescent="0.25">
      <c r="A2715" s="2"/>
      <c r="B2715" s="2"/>
      <c r="C2715" s="1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</row>
    <row r="2716" spans="1:23" x14ac:dyDescent="0.25">
      <c r="A2716" s="2"/>
      <c r="B2716" s="2"/>
      <c r="C2716" s="1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</row>
    <row r="2717" spans="1:23" x14ac:dyDescent="0.25">
      <c r="A2717" s="2"/>
      <c r="B2717" s="2"/>
      <c r="C2717" s="1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</row>
    <row r="2718" spans="1:23" x14ac:dyDescent="0.25">
      <c r="A2718" s="2"/>
      <c r="B2718" s="2"/>
      <c r="C2718" s="1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</row>
    <row r="2719" spans="1:23" x14ac:dyDescent="0.25">
      <c r="A2719" s="2"/>
      <c r="B2719" s="2"/>
      <c r="C2719" s="1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</row>
    <row r="2720" spans="1:23" x14ac:dyDescent="0.25">
      <c r="A2720" s="2"/>
      <c r="B2720" s="2"/>
      <c r="C2720" s="1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</row>
    <row r="2721" spans="1:23" x14ac:dyDescent="0.25">
      <c r="A2721" s="2"/>
      <c r="B2721" s="2"/>
      <c r="C2721" s="1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</row>
    <row r="2722" spans="1:23" x14ac:dyDescent="0.25">
      <c r="A2722" s="2"/>
      <c r="B2722" s="2"/>
      <c r="C2722" s="1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</row>
    <row r="2723" spans="1:23" x14ac:dyDescent="0.25">
      <c r="A2723" s="2"/>
      <c r="B2723" s="2"/>
      <c r="C2723" s="1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</row>
    <row r="2724" spans="1:23" x14ac:dyDescent="0.25">
      <c r="A2724" s="2"/>
      <c r="B2724" s="2"/>
      <c r="C2724" s="1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</row>
    <row r="2725" spans="1:23" x14ac:dyDescent="0.25">
      <c r="A2725" s="2"/>
      <c r="B2725" s="2"/>
      <c r="C2725" s="1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</row>
    <row r="2726" spans="1:23" x14ac:dyDescent="0.25">
      <c r="A2726" s="2"/>
      <c r="B2726" s="2"/>
      <c r="C2726" s="1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</row>
    <row r="2727" spans="1:23" x14ac:dyDescent="0.25">
      <c r="A2727" s="2"/>
      <c r="B2727" s="2"/>
      <c r="C2727" s="1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</row>
    <row r="2728" spans="1:23" x14ac:dyDescent="0.25">
      <c r="A2728" s="2"/>
      <c r="B2728" s="2"/>
      <c r="C2728" s="1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</row>
    <row r="2729" spans="1:23" x14ac:dyDescent="0.25">
      <c r="A2729" s="2"/>
      <c r="B2729" s="2"/>
      <c r="C2729" s="1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</row>
    <row r="2730" spans="1:23" x14ac:dyDescent="0.25">
      <c r="A2730" s="2"/>
      <c r="B2730" s="2"/>
      <c r="C2730" s="1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</row>
    <row r="2731" spans="1:23" x14ac:dyDescent="0.25">
      <c r="A2731" s="2"/>
      <c r="B2731" s="2"/>
      <c r="C2731" s="1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</row>
    <row r="2732" spans="1:23" x14ac:dyDescent="0.25">
      <c r="A2732" s="2"/>
      <c r="B2732" s="2"/>
      <c r="C2732" s="1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</row>
    <row r="2733" spans="1:23" x14ac:dyDescent="0.25">
      <c r="A2733" s="2"/>
      <c r="B2733" s="2"/>
      <c r="C2733" s="1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</row>
    <row r="2734" spans="1:23" x14ac:dyDescent="0.25">
      <c r="A2734" s="2"/>
      <c r="B2734" s="2"/>
      <c r="C2734" s="1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</row>
    <row r="2735" spans="1:23" x14ac:dyDescent="0.25">
      <c r="A2735" s="2"/>
      <c r="B2735" s="2"/>
      <c r="C2735" s="1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</row>
    <row r="2736" spans="1:23" x14ac:dyDescent="0.25">
      <c r="A2736" s="2"/>
      <c r="B2736" s="2"/>
      <c r="C2736" s="1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</row>
    <row r="2737" spans="1:23" x14ac:dyDescent="0.25">
      <c r="A2737" s="2"/>
      <c r="B2737" s="2"/>
      <c r="C2737" s="1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</row>
    <row r="2738" spans="1:23" x14ac:dyDescent="0.25">
      <c r="A2738" s="2"/>
      <c r="B2738" s="2"/>
      <c r="C2738" s="1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</row>
    <row r="2739" spans="1:23" x14ac:dyDescent="0.25">
      <c r="A2739" s="2"/>
      <c r="B2739" s="2"/>
      <c r="C2739" s="1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</row>
    <row r="2740" spans="1:23" x14ac:dyDescent="0.25">
      <c r="A2740" s="2"/>
      <c r="B2740" s="2"/>
      <c r="C2740" s="1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</row>
    <row r="2741" spans="1:23" x14ac:dyDescent="0.25">
      <c r="A2741" s="2"/>
      <c r="B2741" s="2"/>
      <c r="C2741" s="1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</row>
    <row r="2742" spans="1:23" x14ac:dyDescent="0.25">
      <c r="A2742" s="2"/>
      <c r="B2742" s="2"/>
      <c r="C2742" s="1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</row>
    <row r="2743" spans="1:23" x14ac:dyDescent="0.25">
      <c r="A2743" s="2"/>
      <c r="B2743" s="2"/>
      <c r="C2743" s="1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</row>
    <row r="2744" spans="1:23" x14ac:dyDescent="0.25">
      <c r="A2744" s="2"/>
      <c r="B2744" s="2"/>
      <c r="C2744" s="1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</row>
    <row r="2745" spans="1:23" x14ac:dyDescent="0.25">
      <c r="A2745" s="2"/>
      <c r="B2745" s="2"/>
      <c r="C2745" s="1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</row>
    <row r="2746" spans="1:23" x14ac:dyDescent="0.25">
      <c r="A2746" s="2"/>
      <c r="B2746" s="2"/>
      <c r="C2746" s="1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</row>
    <row r="2747" spans="1:23" x14ac:dyDescent="0.25">
      <c r="A2747" s="2"/>
      <c r="B2747" s="2"/>
      <c r="C2747" s="1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</row>
    <row r="2748" spans="1:23" x14ac:dyDescent="0.25">
      <c r="A2748" s="2"/>
      <c r="B2748" s="2"/>
      <c r="C2748" s="1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</row>
    <row r="2749" spans="1:23" x14ac:dyDescent="0.25">
      <c r="A2749" s="2"/>
      <c r="B2749" s="2"/>
      <c r="C2749" s="1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</row>
    <row r="2750" spans="1:23" x14ac:dyDescent="0.25">
      <c r="A2750" s="2"/>
      <c r="B2750" s="2"/>
      <c r="C2750" s="1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</row>
    <row r="2751" spans="1:23" x14ac:dyDescent="0.25">
      <c r="A2751" s="2"/>
      <c r="B2751" s="2"/>
      <c r="C2751" s="1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</row>
    <row r="2752" spans="1:23" x14ac:dyDescent="0.25">
      <c r="A2752" s="2"/>
      <c r="B2752" s="2"/>
      <c r="C2752" s="1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</row>
    <row r="2753" spans="1:23" x14ac:dyDescent="0.25">
      <c r="A2753" s="2"/>
      <c r="B2753" s="2"/>
      <c r="C2753" s="1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</row>
    <row r="2754" spans="1:23" x14ac:dyDescent="0.25">
      <c r="A2754" s="2"/>
      <c r="B2754" s="2"/>
      <c r="C2754" s="1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</row>
    <row r="2755" spans="1:23" x14ac:dyDescent="0.25">
      <c r="A2755" s="2"/>
      <c r="B2755" s="2"/>
      <c r="C2755" s="1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</row>
    <row r="2756" spans="1:23" x14ac:dyDescent="0.25">
      <c r="A2756" s="2"/>
      <c r="B2756" s="2"/>
      <c r="C2756" s="1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</row>
    <row r="2757" spans="1:23" x14ac:dyDescent="0.25">
      <c r="A2757" s="2"/>
      <c r="B2757" s="2"/>
      <c r="C2757" s="1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</row>
    <row r="2758" spans="1:23" x14ac:dyDescent="0.25">
      <c r="A2758" s="2"/>
      <c r="B2758" s="2"/>
      <c r="C2758" s="1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</row>
    <row r="2759" spans="1:23" x14ac:dyDescent="0.25">
      <c r="A2759" s="2"/>
      <c r="B2759" s="2"/>
      <c r="C2759" s="1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</row>
    <row r="2760" spans="1:23" x14ac:dyDescent="0.25">
      <c r="A2760" s="2"/>
      <c r="B2760" s="2"/>
      <c r="C2760" s="1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</row>
    <row r="2761" spans="1:23" x14ac:dyDescent="0.25">
      <c r="A2761" s="2"/>
      <c r="B2761" s="2"/>
      <c r="C2761" s="1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</row>
    <row r="2762" spans="1:23" x14ac:dyDescent="0.25">
      <c r="A2762" s="2"/>
      <c r="B2762" s="2"/>
      <c r="C2762" s="1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</row>
    <row r="2763" spans="1:23" x14ac:dyDescent="0.25">
      <c r="A2763" s="2"/>
      <c r="B2763" s="2"/>
      <c r="C2763" s="1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</row>
    <row r="2764" spans="1:23" x14ac:dyDescent="0.25">
      <c r="A2764" s="2"/>
      <c r="B2764" s="2"/>
      <c r="C2764" s="1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</row>
    <row r="2765" spans="1:23" x14ac:dyDescent="0.25">
      <c r="A2765" s="2"/>
      <c r="B2765" s="2"/>
      <c r="C2765" s="1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</row>
    <row r="2766" spans="1:23" x14ac:dyDescent="0.25">
      <c r="A2766" s="2"/>
      <c r="B2766" s="2"/>
      <c r="C2766" s="1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</row>
    <row r="2767" spans="1:23" x14ac:dyDescent="0.25">
      <c r="A2767" s="2"/>
      <c r="B2767" s="2"/>
      <c r="C2767" s="1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</row>
    <row r="2768" spans="1:23" x14ac:dyDescent="0.25">
      <c r="A2768" s="2"/>
      <c r="B2768" s="2"/>
      <c r="C2768" s="1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</row>
    <row r="2769" spans="1:23" x14ac:dyDescent="0.25">
      <c r="A2769" s="2"/>
      <c r="B2769" s="2"/>
      <c r="C2769" s="1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</row>
    <row r="2770" spans="1:23" x14ac:dyDescent="0.25">
      <c r="A2770" s="2"/>
      <c r="B2770" s="2"/>
      <c r="C2770" s="1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</row>
    <row r="2771" spans="1:23" x14ac:dyDescent="0.25">
      <c r="A2771" s="2"/>
      <c r="B2771" s="2"/>
      <c r="C2771" s="1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</row>
    <row r="2772" spans="1:23" x14ac:dyDescent="0.25">
      <c r="A2772" s="2"/>
      <c r="B2772" s="2"/>
      <c r="C2772" s="1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</row>
    <row r="2773" spans="1:23" x14ac:dyDescent="0.25">
      <c r="A2773" s="2"/>
      <c r="B2773" s="2"/>
      <c r="C2773" s="1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</row>
    <row r="2774" spans="1:23" x14ac:dyDescent="0.25">
      <c r="A2774" s="2"/>
      <c r="B2774" s="2"/>
      <c r="C2774" s="1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</row>
    <row r="2775" spans="1:23" x14ac:dyDescent="0.25">
      <c r="A2775" s="2"/>
      <c r="B2775" s="2"/>
      <c r="C2775" s="1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</row>
    <row r="2776" spans="1:23" x14ac:dyDescent="0.25">
      <c r="A2776" s="2"/>
      <c r="B2776" s="2"/>
      <c r="C2776" s="1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</row>
    <row r="2777" spans="1:23" x14ac:dyDescent="0.25">
      <c r="A2777" s="2"/>
      <c r="B2777" s="2"/>
      <c r="C2777" s="1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</row>
    <row r="2778" spans="1:23" x14ac:dyDescent="0.25">
      <c r="A2778" s="2"/>
      <c r="B2778" s="2"/>
      <c r="C2778" s="1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</row>
    <row r="2779" spans="1:23" x14ac:dyDescent="0.25">
      <c r="A2779" s="2"/>
      <c r="B2779" s="2"/>
      <c r="C2779" s="1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</row>
    <row r="2780" spans="1:23" x14ac:dyDescent="0.25">
      <c r="A2780" s="2"/>
      <c r="B2780" s="2"/>
      <c r="C2780" s="1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</row>
    <row r="2781" spans="1:23" x14ac:dyDescent="0.25">
      <c r="A2781" s="2"/>
      <c r="B2781" s="2"/>
      <c r="C2781" s="1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</row>
    <row r="2782" spans="1:23" x14ac:dyDescent="0.25">
      <c r="A2782" s="2"/>
      <c r="B2782" s="2"/>
      <c r="C2782" s="1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</row>
    <row r="2783" spans="1:23" x14ac:dyDescent="0.25">
      <c r="A2783" s="2"/>
      <c r="B2783" s="2"/>
      <c r="C2783" s="1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</row>
    <row r="2784" spans="1:23" x14ac:dyDescent="0.25">
      <c r="A2784" s="2"/>
      <c r="B2784" s="2"/>
      <c r="C2784" s="1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</row>
    <row r="2785" spans="1:23" x14ac:dyDescent="0.25">
      <c r="A2785" s="2"/>
      <c r="B2785" s="2"/>
      <c r="C2785" s="1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</row>
    <row r="2786" spans="1:23" x14ac:dyDescent="0.25">
      <c r="A2786" s="2"/>
      <c r="B2786" s="2"/>
      <c r="C2786" s="1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</row>
    <row r="2787" spans="1:23" x14ac:dyDescent="0.25">
      <c r="A2787" s="2"/>
      <c r="B2787" s="2"/>
      <c r="C2787" s="1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</row>
    <row r="2788" spans="1:23" x14ac:dyDescent="0.25">
      <c r="A2788" s="2"/>
      <c r="B2788" s="2"/>
      <c r="C2788" s="1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</row>
    <row r="2789" spans="1:23" x14ac:dyDescent="0.25">
      <c r="A2789" s="2"/>
      <c r="B2789" s="2"/>
      <c r="C2789" s="1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</row>
    <row r="2790" spans="1:23" x14ac:dyDescent="0.25">
      <c r="A2790" s="2"/>
      <c r="B2790" s="2"/>
      <c r="C2790" s="1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</row>
    <row r="2791" spans="1:23" x14ac:dyDescent="0.25">
      <c r="A2791" s="2"/>
      <c r="B2791" s="2"/>
      <c r="C2791" s="1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</row>
    <row r="2792" spans="1:23" x14ac:dyDescent="0.25">
      <c r="A2792" s="2"/>
      <c r="B2792" s="2"/>
      <c r="C2792" s="1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</row>
    <row r="2793" spans="1:23" x14ac:dyDescent="0.25">
      <c r="A2793" s="2"/>
      <c r="B2793" s="2"/>
      <c r="C2793" s="1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</row>
    <row r="2794" spans="1:23" x14ac:dyDescent="0.25">
      <c r="A2794" s="2"/>
      <c r="B2794" s="2"/>
      <c r="C2794" s="1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</row>
    <row r="2795" spans="1:23" x14ac:dyDescent="0.25">
      <c r="A2795" s="2"/>
      <c r="B2795" s="2"/>
      <c r="C2795" s="1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</row>
    <row r="2796" spans="1:23" x14ac:dyDescent="0.25">
      <c r="A2796" s="2"/>
      <c r="B2796" s="2"/>
      <c r="C2796" s="1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</row>
    <row r="2797" spans="1:23" x14ac:dyDescent="0.25">
      <c r="A2797" s="2"/>
      <c r="B2797" s="2"/>
      <c r="C2797" s="1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</row>
    <row r="2798" spans="1:23" x14ac:dyDescent="0.25">
      <c r="A2798" s="2"/>
      <c r="B2798" s="2"/>
      <c r="C2798" s="1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</row>
    <row r="2799" spans="1:23" x14ac:dyDescent="0.25">
      <c r="A2799" s="2"/>
      <c r="B2799" s="2"/>
      <c r="C2799" s="1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</row>
    <row r="2800" spans="1:23" x14ac:dyDescent="0.25">
      <c r="A2800" s="2"/>
      <c r="B2800" s="2"/>
      <c r="C2800" s="1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</row>
    <row r="2801" spans="1:23" x14ac:dyDescent="0.25">
      <c r="A2801" s="2"/>
      <c r="B2801" s="2"/>
      <c r="C2801" s="1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</row>
    <row r="2802" spans="1:23" x14ac:dyDescent="0.25">
      <c r="A2802" s="2"/>
      <c r="B2802" s="2"/>
      <c r="C2802" s="1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</row>
    <row r="2803" spans="1:23" x14ac:dyDescent="0.25">
      <c r="A2803" s="2"/>
      <c r="B2803" s="2"/>
      <c r="C2803" s="1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</row>
    <row r="2804" spans="1:23" x14ac:dyDescent="0.25">
      <c r="A2804" s="2"/>
      <c r="B2804" s="2"/>
      <c r="C2804" s="1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</row>
    <row r="2805" spans="1:23" x14ac:dyDescent="0.25">
      <c r="A2805" s="2"/>
      <c r="B2805" s="2"/>
      <c r="C2805" s="1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</row>
    <row r="2806" spans="1:23" x14ac:dyDescent="0.25">
      <c r="A2806" s="2"/>
      <c r="B2806" s="2"/>
      <c r="C2806" s="1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</row>
    <row r="2807" spans="1:23" x14ac:dyDescent="0.25">
      <c r="A2807" s="2"/>
      <c r="B2807" s="2"/>
      <c r="C2807" s="1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</row>
    <row r="2808" spans="1:23" x14ac:dyDescent="0.25">
      <c r="A2808" s="2"/>
      <c r="B2808" s="2"/>
      <c r="C2808" s="1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</row>
    <row r="2809" spans="1:23" x14ac:dyDescent="0.25">
      <c r="A2809" s="2"/>
      <c r="B2809" s="2"/>
      <c r="C2809" s="1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</row>
    <row r="2810" spans="1:23" x14ac:dyDescent="0.25">
      <c r="A2810" s="2"/>
      <c r="B2810" s="2"/>
      <c r="C2810" s="1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</row>
    <row r="2811" spans="1:23" x14ac:dyDescent="0.25">
      <c r="A2811" s="2"/>
      <c r="B2811" s="2"/>
      <c r="C2811" s="1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</row>
    <row r="2812" spans="1:23" x14ac:dyDescent="0.25">
      <c r="A2812" s="2"/>
      <c r="B2812" s="2"/>
      <c r="C2812" s="1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</row>
    <row r="2813" spans="1:23" x14ac:dyDescent="0.25">
      <c r="A2813" s="2"/>
      <c r="B2813" s="2"/>
      <c r="C2813" s="1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</row>
    <row r="2814" spans="1:23" x14ac:dyDescent="0.25">
      <c r="A2814" s="2"/>
      <c r="B2814" s="2"/>
      <c r="C2814" s="1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</row>
    <row r="2815" spans="1:23" x14ac:dyDescent="0.25">
      <c r="A2815" s="2"/>
      <c r="B2815" s="2"/>
      <c r="C2815" s="1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</row>
    <row r="2816" spans="1:23" x14ac:dyDescent="0.25">
      <c r="A2816" s="2"/>
      <c r="B2816" s="2"/>
      <c r="C2816" s="1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</row>
    <row r="2817" spans="1:23" x14ac:dyDescent="0.25">
      <c r="A2817" s="2"/>
      <c r="B2817" s="2"/>
      <c r="C2817" s="1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</row>
    <row r="2818" spans="1:23" x14ac:dyDescent="0.25">
      <c r="A2818" s="2"/>
      <c r="B2818" s="2"/>
      <c r="C2818" s="1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</row>
    <row r="2819" spans="1:23" x14ac:dyDescent="0.25">
      <c r="A2819" s="2"/>
      <c r="B2819" s="2"/>
      <c r="C2819" s="1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</row>
    <row r="2820" spans="1:23" x14ac:dyDescent="0.25">
      <c r="A2820" s="2"/>
      <c r="B2820" s="2"/>
      <c r="C2820" s="1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</row>
    <row r="2821" spans="1:23" x14ac:dyDescent="0.25">
      <c r="A2821" s="2"/>
      <c r="B2821" s="2"/>
      <c r="C2821" s="1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</row>
    <row r="2822" spans="1:23" x14ac:dyDescent="0.25">
      <c r="A2822" s="2"/>
      <c r="B2822" s="2"/>
      <c r="C2822" s="1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</row>
    <row r="2823" spans="1:23" x14ac:dyDescent="0.25">
      <c r="A2823" s="2"/>
      <c r="B2823" s="2"/>
      <c r="C2823" s="1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</row>
    <row r="2824" spans="1:23" x14ac:dyDescent="0.25">
      <c r="A2824" s="2"/>
      <c r="B2824" s="2"/>
      <c r="C2824" s="1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</row>
    <row r="2825" spans="1:23" x14ac:dyDescent="0.25">
      <c r="A2825" s="2"/>
      <c r="B2825" s="2"/>
      <c r="C2825" s="1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</row>
    <row r="2826" spans="1:23" x14ac:dyDescent="0.25">
      <c r="A2826" s="2"/>
      <c r="B2826" s="2"/>
      <c r="C2826" s="1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</row>
    <row r="2827" spans="1:23" x14ac:dyDescent="0.25">
      <c r="A2827" s="2"/>
      <c r="B2827" s="2"/>
      <c r="C2827" s="1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</row>
    <row r="2828" spans="1:23" x14ac:dyDescent="0.25">
      <c r="A2828" s="2"/>
      <c r="B2828" s="2"/>
      <c r="C2828" s="1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</row>
    <row r="2829" spans="1:23" x14ac:dyDescent="0.25">
      <c r="A2829" s="2"/>
      <c r="B2829" s="2"/>
      <c r="C2829" s="1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</row>
    <row r="2830" spans="1:23" x14ac:dyDescent="0.25">
      <c r="A2830" s="2"/>
      <c r="B2830" s="2"/>
      <c r="C2830" s="1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</row>
    <row r="2831" spans="1:23" x14ac:dyDescent="0.25">
      <c r="A2831" s="2"/>
      <c r="B2831" s="2"/>
      <c r="C2831" s="1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</row>
    <row r="2832" spans="1:23" x14ac:dyDescent="0.25">
      <c r="A2832" s="2"/>
      <c r="B2832" s="2"/>
      <c r="C2832" s="1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</row>
    <row r="2833" spans="1:23" x14ac:dyDescent="0.25">
      <c r="A2833" s="2"/>
      <c r="B2833" s="2"/>
      <c r="C2833" s="1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</row>
    <row r="2834" spans="1:23" x14ac:dyDescent="0.25">
      <c r="A2834" s="2"/>
      <c r="B2834" s="2"/>
      <c r="C2834" s="1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</row>
    <row r="2835" spans="1:23" x14ac:dyDescent="0.25">
      <c r="A2835" s="2"/>
      <c r="B2835" s="2"/>
      <c r="C2835" s="1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</row>
    <row r="2836" spans="1:23" x14ac:dyDescent="0.25">
      <c r="A2836" s="2"/>
      <c r="B2836" s="2"/>
      <c r="C2836" s="1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</row>
    <row r="2837" spans="1:23" x14ac:dyDescent="0.25">
      <c r="A2837" s="2"/>
      <c r="B2837" s="2"/>
      <c r="C2837" s="1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</row>
    <row r="2838" spans="1:23" x14ac:dyDescent="0.25">
      <c r="A2838" s="2"/>
      <c r="B2838" s="2"/>
      <c r="C2838" s="1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</row>
    <row r="2839" spans="1:23" x14ac:dyDescent="0.25">
      <c r="A2839" s="2"/>
      <c r="B2839" s="2"/>
      <c r="C2839" s="1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</row>
    <row r="2840" spans="1:23" x14ac:dyDescent="0.25">
      <c r="A2840" s="2"/>
      <c r="B2840" s="2"/>
      <c r="C2840" s="1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</row>
    <row r="2841" spans="1:23" x14ac:dyDescent="0.25">
      <c r="A2841" s="2"/>
      <c r="B2841" s="2"/>
      <c r="C2841" s="1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</row>
    <row r="2842" spans="1:23" x14ac:dyDescent="0.25">
      <c r="A2842" s="2"/>
      <c r="B2842" s="2"/>
      <c r="C2842" s="1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</row>
    <row r="2843" spans="1:23" x14ac:dyDescent="0.25">
      <c r="A2843" s="2"/>
      <c r="B2843" s="2"/>
      <c r="C2843" s="1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</row>
    <row r="2844" spans="1:23" x14ac:dyDescent="0.25">
      <c r="A2844" s="2"/>
      <c r="B2844" s="2"/>
      <c r="C2844" s="1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</row>
    <row r="2845" spans="1:23" x14ac:dyDescent="0.25">
      <c r="A2845" s="2"/>
      <c r="B2845" s="2"/>
      <c r="C2845" s="1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</row>
    <row r="2846" spans="1:23" x14ac:dyDescent="0.25">
      <c r="A2846" s="2"/>
      <c r="B2846" s="2"/>
      <c r="C2846" s="1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</row>
    <row r="2847" spans="1:23" x14ac:dyDescent="0.25">
      <c r="A2847" s="2"/>
      <c r="B2847" s="2"/>
      <c r="C2847" s="1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</row>
    <row r="2848" spans="1:23" x14ac:dyDescent="0.25">
      <c r="A2848" s="2"/>
      <c r="B2848" s="2"/>
      <c r="C2848" s="1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</row>
    <row r="2849" spans="1:23" x14ac:dyDescent="0.25">
      <c r="A2849" s="2"/>
      <c r="B2849" s="2"/>
      <c r="C2849" s="1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</row>
    <row r="2850" spans="1:23" x14ac:dyDescent="0.25">
      <c r="A2850" s="2"/>
      <c r="B2850" s="2"/>
      <c r="C2850" s="1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</row>
    <row r="2851" spans="1:23" x14ac:dyDescent="0.25">
      <c r="A2851" s="2"/>
      <c r="B2851" s="2"/>
      <c r="C2851" s="1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</row>
    <row r="2852" spans="1:23" x14ac:dyDescent="0.25">
      <c r="A2852" s="2"/>
      <c r="B2852" s="2"/>
      <c r="C2852" s="1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</row>
    <row r="2853" spans="1:23" x14ac:dyDescent="0.25">
      <c r="A2853" s="2"/>
      <c r="B2853" s="2"/>
      <c r="C2853" s="1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</row>
    <row r="2854" spans="1:23" x14ac:dyDescent="0.25">
      <c r="A2854" s="2"/>
      <c r="B2854" s="2"/>
      <c r="C2854" s="1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</row>
    <row r="2855" spans="1:23" x14ac:dyDescent="0.25">
      <c r="A2855" s="2"/>
      <c r="B2855" s="2"/>
      <c r="C2855" s="1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</row>
    <row r="2856" spans="1:23" x14ac:dyDescent="0.25">
      <c r="A2856" s="2"/>
      <c r="B2856" s="2"/>
      <c r="C2856" s="1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</row>
    <row r="2857" spans="1:23" x14ac:dyDescent="0.25">
      <c r="A2857" s="2"/>
      <c r="B2857" s="2"/>
      <c r="C2857" s="1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</row>
    <row r="2858" spans="1:23" x14ac:dyDescent="0.25">
      <c r="A2858" s="2"/>
      <c r="B2858" s="2"/>
      <c r="C2858" s="1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</row>
    <row r="2859" spans="1:23" x14ac:dyDescent="0.25">
      <c r="A2859" s="2"/>
      <c r="B2859" s="2"/>
      <c r="C2859" s="1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</row>
    <row r="2860" spans="1:23" x14ac:dyDescent="0.25">
      <c r="A2860" s="2"/>
      <c r="B2860" s="2"/>
      <c r="C2860" s="1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</row>
    <row r="2861" spans="1:23" x14ac:dyDescent="0.25">
      <c r="A2861" s="2"/>
      <c r="B2861" s="2"/>
      <c r="C2861" s="1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</row>
    <row r="2862" spans="1:23" x14ac:dyDescent="0.25">
      <c r="A2862" s="2"/>
      <c r="B2862" s="2"/>
      <c r="C2862" s="1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</row>
    <row r="2863" spans="1:23" x14ac:dyDescent="0.25">
      <c r="A2863" s="2"/>
      <c r="B2863" s="2"/>
      <c r="C2863" s="1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</row>
    <row r="2864" spans="1:23" x14ac:dyDescent="0.25">
      <c r="A2864" s="2"/>
      <c r="B2864" s="2"/>
      <c r="C2864" s="1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</row>
    <row r="2865" spans="1:23" x14ac:dyDescent="0.25">
      <c r="A2865" s="2"/>
      <c r="B2865" s="2"/>
      <c r="C2865" s="1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</row>
    <row r="2866" spans="1:23" x14ac:dyDescent="0.25">
      <c r="A2866" s="2"/>
      <c r="B2866" s="2"/>
      <c r="C2866" s="1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</row>
    <row r="2867" spans="1:23" x14ac:dyDescent="0.25">
      <c r="A2867" s="2"/>
      <c r="B2867" s="2"/>
      <c r="C2867" s="1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</row>
    <row r="2868" spans="1:23" x14ac:dyDescent="0.25">
      <c r="A2868" s="2"/>
      <c r="B2868" s="2"/>
      <c r="C2868" s="1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</row>
    <row r="2869" spans="1:23" x14ac:dyDescent="0.25">
      <c r="A2869" s="2"/>
      <c r="B2869" s="2"/>
      <c r="C2869" s="1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</row>
    <row r="2870" spans="1:23" x14ac:dyDescent="0.25">
      <c r="A2870" s="2"/>
      <c r="B2870" s="2"/>
      <c r="C2870" s="1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</row>
    <row r="2871" spans="1:23" x14ac:dyDescent="0.25">
      <c r="A2871" s="2"/>
      <c r="B2871" s="2"/>
      <c r="C2871" s="1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</row>
    <row r="2872" spans="1:23" x14ac:dyDescent="0.25">
      <c r="A2872" s="2"/>
      <c r="B2872" s="2"/>
      <c r="C2872" s="1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</row>
    <row r="2873" spans="1:23" x14ac:dyDescent="0.25">
      <c r="A2873" s="2"/>
      <c r="B2873" s="2"/>
      <c r="C2873" s="1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</row>
    <row r="2874" spans="1:23" x14ac:dyDescent="0.25">
      <c r="A2874" s="2"/>
      <c r="B2874" s="2"/>
      <c r="C2874" s="1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</row>
    <row r="2875" spans="1:23" x14ac:dyDescent="0.25">
      <c r="A2875" s="2"/>
      <c r="B2875" s="2"/>
      <c r="C2875" s="1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</row>
    <row r="2876" spans="1:23" x14ac:dyDescent="0.25">
      <c r="A2876" s="2"/>
      <c r="B2876" s="2"/>
      <c r="C2876" s="1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</row>
    <row r="2877" spans="1:23" x14ac:dyDescent="0.25">
      <c r="A2877" s="2"/>
      <c r="B2877" s="2"/>
      <c r="C2877" s="1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</row>
    <row r="2878" spans="1:23" x14ac:dyDescent="0.25">
      <c r="A2878" s="2"/>
      <c r="B2878" s="2"/>
      <c r="C2878" s="1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</row>
    <row r="2879" spans="1:23" x14ac:dyDescent="0.25">
      <c r="A2879" s="2"/>
      <c r="B2879" s="2"/>
      <c r="C2879" s="1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</row>
    <row r="2880" spans="1:23" x14ac:dyDescent="0.25">
      <c r="A2880" s="2"/>
      <c r="B2880" s="2"/>
      <c r="C2880" s="1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</row>
    <row r="2881" spans="1:23" x14ac:dyDescent="0.25">
      <c r="A2881" s="2"/>
      <c r="B2881" s="2"/>
      <c r="C2881" s="1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</row>
    <row r="2882" spans="1:23" x14ac:dyDescent="0.25">
      <c r="A2882" s="2"/>
      <c r="B2882" s="2"/>
      <c r="C2882" s="1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</row>
    <row r="2883" spans="1:23" x14ac:dyDescent="0.25">
      <c r="A2883" s="2"/>
      <c r="B2883" s="2"/>
      <c r="C2883" s="1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</row>
    <row r="2884" spans="1:23" x14ac:dyDescent="0.25">
      <c r="A2884" s="2"/>
      <c r="B2884" s="2"/>
      <c r="C2884" s="1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</row>
    <row r="2885" spans="1:23" x14ac:dyDescent="0.25">
      <c r="A2885" s="2"/>
      <c r="B2885" s="2"/>
      <c r="C2885" s="1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</row>
    <row r="2886" spans="1:23" x14ac:dyDescent="0.25">
      <c r="A2886" s="2"/>
      <c r="B2886" s="2"/>
      <c r="C2886" s="1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</row>
    <row r="2887" spans="1:23" x14ac:dyDescent="0.25">
      <c r="A2887" s="2"/>
      <c r="B2887" s="2"/>
      <c r="C2887" s="1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</row>
    <row r="2888" spans="1:23" x14ac:dyDescent="0.25">
      <c r="A2888" s="2"/>
      <c r="B2888" s="2"/>
      <c r="C2888" s="1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</row>
    <row r="2889" spans="1:23" x14ac:dyDescent="0.25">
      <c r="A2889" s="2"/>
      <c r="B2889" s="2"/>
      <c r="C2889" s="1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</row>
    <row r="2890" spans="1:23" x14ac:dyDescent="0.25">
      <c r="A2890" s="2"/>
      <c r="B2890" s="2"/>
      <c r="C2890" s="1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</row>
    <row r="2891" spans="1:23" x14ac:dyDescent="0.25">
      <c r="A2891" s="2"/>
      <c r="B2891" s="2"/>
      <c r="C2891" s="1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</row>
    <row r="2892" spans="1:23" x14ac:dyDescent="0.25">
      <c r="A2892" s="2"/>
      <c r="B2892" s="2"/>
      <c r="C2892" s="1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</row>
    <row r="2893" spans="1:23" x14ac:dyDescent="0.25">
      <c r="A2893" s="2"/>
      <c r="B2893" s="2"/>
      <c r="C2893" s="1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</row>
    <row r="2894" spans="1:23" x14ac:dyDescent="0.25">
      <c r="A2894" s="2"/>
      <c r="B2894" s="2"/>
      <c r="C2894" s="1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</row>
    <row r="2895" spans="1:23" x14ac:dyDescent="0.25">
      <c r="A2895" s="2"/>
      <c r="B2895" s="2"/>
      <c r="C2895" s="1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</row>
    <row r="2896" spans="1:23" x14ac:dyDescent="0.25">
      <c r="A2896" s="2"/>
      <c r="B2896" s="2"/>
      <c r="C2896" s="1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</row>
    <row r="2897" spans="1:23" x14ac:dyDescent="0.25">
      <c r="A2897" s="2"/>
      <c r="B2897" s="2"/>
      <c r="C2897" s="1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</row>
    <row r="2898" spans="1:23" x14ac:dyDescent="0.25">
      <c r="A2898" s="2"/>
      <c r="B2898" s="2"/>
      <c r="C2898" s="1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</row>
    <row r="2899" spans="1:23" x14ac:dyDescent="0.25">
      <c r="A2899" s="2"/>
      <c r="B2899" s="2"/>
      <c r="C2899" s="1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</row>
    <row r="2900" spans="1:23" x14ac:dyDescent="0.25">
      <c r="A2900" s="2"/>
      <c r="B2900" s="2"/>
      <c r="C2900" s="1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</row>
    <row r="2901" spans="1:23" x14ac:dyDescent="0.25">
      <c r="A2901" s="2"/>
      <c r="B2901" s="2"/>
      <c r="C2901" s="1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</row>
    <row r="2902" spans="1:23" x14ac:dyDescent="0.25">
      <c r="A2902" s="2"/>
      <c r="B2902" s="2"/>
      <c r="C2902" s="1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</row>
    <row r="2903" spans="1:23" x14ac:dyDescent="0.25">
      <c r="A2903" s="2"/>
      <c r="B2903" s="2"/>
      <c r="C2903" s="1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</row>
    <row r="2904" spans="1:23" x14ac:dyDescent="0.25">
      <c r="A2904" s="2"/>
      <c r="B2904" s="2"/>
      <c r="C2904" s="1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</row>
    <row r="2905" spans="1:23" x14ac:dyDescent="0.25">
      <c r="A2905" s="2"/>
      <c r="B2905" s="2"/>
      <c r="C2905" s="1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</row>
    <row r="2906" spans="1:23" x14ac:dyDescent="0.25">
      <c r="A2906" s="2"/>
      <c r="B2906" s="2"/>
      <c r="C2906" s="1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</row>
    <row r="2907" spans="1:23" x14ac:dyDescent="0.25">
      <c r="A2907" s="2"/>
      <c r="B2907" s="2"/>
      <c r="C2907" s="1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</row>
    <row r="2908" spans="1:23" x14ac:dyDescent="0.25">
      <c r="A2908" s="2"/>
      <c r="B2908" s="2"/>
      <c r="C2908" s="1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</row>
    <row r="2909" spans="1:23" x14ac:dyDescent="0.25">
      <c r="A2909" s="2"/>
      <c r="B2909" s="2"/>
      <c r="C2909" s="1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</row>
    <row r="2910" spans="1:23" x14ac:dyDescent="0.25">
      <c r="A2910" s="2"/>
      <c r="B2910" s="2"/>
      <c r="C2910" s="1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</row>
    <row r="2911" spans="1:23" x14ac:dyDescent="0.25">
      <c r="A2911" s="2"/>
      <c r="B2911" s="2"/>
      <c r="C2911" s="1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</row>
    <row r="2912" spans="1:23" x14ac:dyDescent="0.25">
      <c r="A2912" s="2"/>
      <c r="B2912" s="2"/>
      <c r="C2912" s="1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</row>
    <row r="2913" spans="1:23" x14ac:dyDescent="0.25">
      <c r="A2913" s="2"/>
      <c r="B2913" s="2"/>
      <c r="C2913" s="1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</row>
    <row r="2914" spans="1:23" x14ac:dyDescent="0.25">
      <c r="A2914" s="2"/>
      <c r="B2914" s="2"/>
      <c r="C2914" s="1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</row>
    <row r="2915" spans="1:23" x14ac:dyDescent="0.25">
      <c r="A2915" s="2"/>
      <c r="B2915" s="2"/>
      <c r="C2915" s="1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</row>
    <row r="2916" spans="1:23" x14ac:dyDescent="0.25">
      <c r="A2916" s="2"/>
      <c r="B2916" s="2"/>
      <c r="C2916" s="1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</row>
    <row r="2917" spans="1:23" x14ac:dyDescent="0.25">
      <c r="A2917" s="2"/>
      <c r="B2917" s="2"/>
      <c r="C2917" s="1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</row>
    <row r="2918" spans="1:23" x14ac:dyDescent="0.25">
      <c r="A2918" s="2"/>
      <c r="B2918" s="2"/>
      <c r="C2918" s="1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</row>
    <row r="2919" spans="1:23" x14ac:dyDescent="0.25">
      <c r="A2919" s="2"/>
      <c r="B2919" s="2"/>
      <c r="C2919" s="1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</row>
    <row r="2920" spans="1:23" x14ac:dyDescent="0.25">
      <c r="A2920" s="2"/>
      <c r="B2920" s="2"/>
      <c r="C2920" s="1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</row>
    <row r="2921" spans="1:23" x14ac:dyDescent="0.25">
      <c r="A2921" s="2"/>
      <c r="B2921" s="2"/>
      <c r="C2921" s="1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</row>
    <row r="2922" spans="1:23" x14ac:dyDescent="0.25">
      <c r="A2922" s="2"/>
      <c r="B2922" s="2"/>
      <c r="C2922" s="1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</row>
    <row r="2923" spans="1:23" x14ac:dyDescent="0.25">
      <c r="A2923" s="2"/>
      <c r="B2923" s="2"/>
      <c r="C2923" s="1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</row>
    <row r="2924" spans="1:23" x14ac:dyDescent="0.25">
      <c r="A2924" s="2"/>
      <c r="B2924" s="2"/>
      <c r="C2924" s="1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</row>
    <row r="2925" spans="1:23" x14ac:dyDescent="0.25">
      <c r="A2925" s="2"/>
      <c r="B2925" s="2"/>
      <c r="C2925" s="1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</row>
    <row r="2926" spans="1:23" x14ac:dyDescent="0.25">
      <c r="A2926" s="2"/>
      <c r="B2926" s="2"/>
      <c r="C2926" s="1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</row>
    <row r="2927" spans="1:23" x14ac:dyDescent="0.25">
      <c r="A2927" s="2"/>
      <c r="B2927" s="2"/>
      <c r="C2927" s="1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</row>
    <row r="2928" spans="1:23" x14ac:dyDescent="0.25">
      <c r="A2928" s="2"/>
      <c r="B2928" s="2"/>
      <c r="C2928" s="1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</row>
    <row r="2929" spans="1:23" x14ac:dyDescent="0.25">
      <c r="A2929" s="2"/>
      <c r="B2929" s="2"/>
      <c r="C2929" s="1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</row>
    <row r="2930" spans="1:23" x14ac:dyDescent="0.25">
      <c r="A2930" s="2"/>
      <c r="B2930" s="2"/>
      <c r="C2930" s="1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</row>
    <row r="2931" spans="1:23" x14ac:dyDescent="0.25">
      <c r="A2931" s="2"/>
      <c r="B2931" s="2"/>
      <c r="C2931" s="1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</row>
    <row r="2932" spans="1:23" x14ac:dyDescent="0.25">
      <c r="A2932" s="2"/>
      <c r="B2932" s="2"/>
      <c r="C2932" s="1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</row>
    <row r="2933" spans="1:23" x14ac:dyDescent="0.25">
      <c r="A2933" s="2"/>
      <c r="B2933" s="2"/>
      <c r="C2933" s="1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</row>
    <row r="2934" spans="1:23" x14ac:dyDescent="0.25">
      <c r="A2934" s="2"/>
      <c r="B2934" s="2"/>
      <c r="C2934" s="1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</row>
    <row r="2935" spans="1:23" x14ac:dyDescent="0.25">
      <c r="A2935" s="2"/>
      <c r="B2935" s="2"/>
      <c r="C2935" s="1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</row>
    <row r="2936" spans="1:23" x14ac:dyDescent="0.25">
      <c r="A2936" s="2"/>
      <c r="B2936" s="2"/>
      <c r="C2936" s="1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</row>
    <row r="2937" spans="1:23" x14ac:dyDescent="0.25">
      <c r="A2937" s="2"/>
      <c r="B2937" s="2"/>
      <c r="C2937" s="1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</row>
    <row r="2938" spans="1:23" x14ac:dyDescent="0.25">
      <c r="A2938" s="2"/>
      <c r="B2938" s="2"/>
      <c r="C2938" s="1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</row>
    <row r="2939" spans="1:23" x14ac:dyDescent="0.25">
      <c r="A2939" s="2"/>
      <c r="B2939" s="2"/>
      <c r="C2939" s="1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</row>
    <row r="2940" spans="1:23" x14ac:dyDescent="0.25">
      <c r="A2940" s="2"/>
      <c r="B2940" s="2"/>
      <c r="C2940" s="1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</row>
    <row r="2941" spans="1:23" x14ac:dyDescent="0.25">
      <c r="A2941" s="2"/>
      <c r="B2941" s="2"/>
      <c r="C2941" s="1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</row>
    <row r="2942" spans="1:23" x14ac:dyDescent="0.25">
      <c r="A2942" s="2"/>
      <c r="B2942" s="2"/>
      <c r="C2942" s="1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</row>
    <row r="2943" spans="1:23" x14ac:dyDescent="0.25">
      <c r="A2943" s="2"/>
      <c r="B2943" s="2"/>
      <c r="C2943" s="1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</row>
    <row r="2944" spans="1:23" x14ac:dyDescent="0.25">
      <c r="A2944" s="2"/>
      <c r="B2944" s="2"/>
      <c r="C2944" s="1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</row>
    <row r="2945" spans="1:23" x14ac:dyDescent="0.25">
      <c r="A2945" s="2"/>
      <c r="B2945" s="2"/>
      <c r="C2945" s="1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</row>
    <row r="2946" spans="1:23" x14ac:dyDescent="0.25">
      <c r="A2946" s="2"/>
      <c r="B2946" s="2"/>
      <c r="C2946" s="1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</row>
    <row r="2947" spans="1:23" x14ac:dyDescent="0.25">
      <c r="A2947" s="2"/>
      <c r="B2947" s="2"/>
      <c r="C2947" s="1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</row>
    <row r="2948" spans="1:23" x14ac:dyDescent="0.25">
      <c r="A2948" s="2"/>
      <c r="B2948" s="2"/>
      <c r="C2948" s="1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</row>
    <row r="2949" spans="1:23" x14ac:dyDescent="0.25">
      <c r="A2949" s="2"/>
      <c r="B2949" s="2"/>
      <c r="C2949" s="1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</row>
    <row r="2950" spans="1:23" x14ac:dyDescent="0.25">
      <c r="A2950" s="2"/>
      <c r="B2950" s="2"/>
      <c r="C2950" s="1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</row>
    <row r="2951" spans="1:23" x14ac:dyDescent="0.25">
      <c r="A2951" s="2"/>
      <c r="B2951" s="2"/>
      <c r="C2951" s="1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</row>
    <row r="2952" spans="1:23" x14ac:dyDescent="0.25">
      <c r="A2952" s="2"/>
      <c r="B2952" s="2"/>
      <c r="C2952" s="1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</row>
    <row r="2953" spans="1:23" x14ac:dyDescent="0.25">
      <c r="A2953" s="2"/>
      <c r="B2953" s="2"/>
      <c r="C2953" s="1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</row>
    <row r="2954" spans="1:23" x14ac:dyDescent="0.25">
      <c r="A2954" s="2"/>
      <c r="B2954" s="2"/>
      <c r="C2954" s="1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</row>
    <row r="2955" spans="1:23" x14ac:dyDescent="0.25">
      <c r="A2955" s="2"/>
      <c r="B2955" s="2"/>
      <c r="C2955" s="1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</row>
    <row r="2956" spans="1:23" x14ac:dyDescent="0.25">
      <c r="A2956" s="2"/>
      <c r="B2956" s="2"/>
      <c r="C2956" s="1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</row>
    <row r="2957" spans="1:23" x14ac:dyDescent="0.25">
      <c r="A2957" s="2"/>
      <c r="B2957" s="2"/>
      <c r="C2957" s="1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</row>
    <row r="2958" spans="1:23" x14ac:dyDescent="0.25">
      <c r="A2958" s="2"/>
      <c r="B2958" s="2"/>
      <c r="C2958" s="1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</row>
    <row r="2959" spans="1:23" x14ac:dyDescent="0.25">
      <c r="A2959" s="2"/>
      <c r="B2959" s="2"/>
      <c r="C2959" s="1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</row>
    <row r="2960" spans="1:23" x14ac:dyDescent="0.25">
      <c r="A2960" s="2"/>
      <c r="B2960" s="2"/>
      <c r="C2960" s="1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</row>
    <row r="2961" spans="1:23" x14ac:dyDescent="0.25">
      <c r="A2961" s="2"/>
      <c r="B2961" s="2"/>
      <c r="C2961" s="1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</row>
    <row r="2962" spans="1:23" x14ac:dyDescent="0.25">
      <c r="A2962" s="2"/>
      <c r="B2962" s="2"/>
      <c r="C2962" s="1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</row>
    <row r="2963" spans="1:23" x14ac:dyDescent="0.25">
      <c r="A2963" s="2"/>
      <c r="B2963" s="2"/>
      <c r="C2963" s="1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</row>
    <row r="2964" spans="1:23" x14ac:dyDescent="0.25">
      <c r="A2964" s="2"/>
      <c r="B2964" s="2"/>
      <c r="C2964" s="1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</row>
    <row r="2965" spans="1:23" x14ac:dyDescent="0.25">
      <c r="A2965" s="2"/>
      <c r="B2965" s="2"/>
      <c r="C2965" s="1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</row>
    <row r="2966" spans="1:23" x14ac:dyDescent="0.25">
      <c r="A2966" s="2"/>
      <c r="B2966" s="2"/>
      <c r="C2966" s="1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</row>
    <row r="2967" spans="1:23" x14ac:dyDescent="0.25">
      <c r="A2967" s="2"/>
      <c r="B2967" s="2"/>
      <c r="C2967" s="1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</row>
    <row r="2968" spans="1:23" x14ac:dyDescent="0.25">
      <c r="A2968" s="2"/>
      <c r="B2968" s="2"/>
      <c r="C2968" s="1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</row>
    <row r="2969" spans="1:23" x14ac:dyDescent="0.25">
      <c r="A2969" s="2"/>
      <c r="B2969" s="2"/>
      <c r="C2969" s="1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</row>
    <row r="2970" spans="1:23" x14ac:dyDescent="0.25">
      <c r="A2970" s="2"/>
      <c r="B2970" s="2"/>
      <c r="C2970" s="1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</row>
    <row r="2971" spans="1:23" x14ac:dyDescent="0.25">
      <c r="A2971" s="2"/>
      <c r="B2971" s="2"/>
      <c r="C2971" s="1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</row>
    <row r="2972" spans="1:23" x14ac:dyDescent="0.25">
      <c r="A2972" s="2"/>
      <c r="B2972" s="2"/>
      <c r="C2972" s="1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</row>
    <row r="2973" spans="1:23" x14ac:dyDescent="0.25">
      <c r="A2973" s="2"/>
      <c r="B2973" s="2"/>
      <c r="C2973" s="1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</row>
    <row r="2974" spans="1:23" x14ac:dyDescent="0.25">
      <c r="A2974" s="2"/>
      <c r="B2974" s="2"/>
      <c r="C2974" s="1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</row>
    <row r="2975" spans="1:23" x14ac:dyDescent="0.25">
      <c r="A2975" s="2"/>
      <c r="B2975" s="2"/>
      <c r="C2975" s="1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</row>
    <row r="2976" spans="1:23" x14ac:dyDescent="0.25">
      <c r="A2976" s="2"/>
      <c r="B2976" s="2"/>
      <c r="C2976" s="1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</row>
    <row r="2977" spans="1:23" x14ac:dyDescent="0.25">
      <c r="A2977" s="2"/>
      <c r="B2977" s="2"/>
      <c r="C2977" s="1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</row>
    <row r="2978" spans="1:23" x14ac:dyDescent="0.25">
      <c r="A2978" s="2"/>
      <c r="B2978" s="2"/>
      <c r="C2978" s="1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</row>
    <row r="2979" spans="1:23" x14ac:dyDescent="0.25">
      <c r="A2979" s="2"/>
      <c r="B2979" s="2"/>
      <c r="C2979" s="1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</row>
    <row r="2980" spans="1:23" x14ac:dyDescent="0.25">
      <c r="A2980" s="2"/>
      <c r="B2980" s="2"/>
      <c r="C2980" s="1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</row>
    <row r="2981" spans="1:23" x14ac:dyDescent="0.25">
      <c r="A2981" s="2"/>
      <c r="B2981" s="2"/>
      <c r="C2981" s="1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</row>
    <row r="2982" spans="1:23" x14ac:dyDescent="0.25">
      <c r="A2982" s="2"/>
      <c r="B2982" s="2"/>
      <c r="C2982" s="1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</row>
    <row r="2983" spans="1:23" x14ac:dyDescent="0.25">
      <c r="A2983" s="2"/>
      <c r="B2983" s="2"/>
      <c r="C2983" s="1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</row>
    <row r="2984" spans="1:23" x14ac:dyDescent="0.25">
      <c r="A2984" s="2"/>
      <c r="B2984" s="2"/>
      <c r="C2984" s="1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</row>
    <row r="2985" spans="1:23" x14ac:dyDescent="0.25">
      <c r="A2985" s="2"/>
      <c r="B2985" s="2"/>
      <c r="C2985" s="1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</row>
    <row r="2986" spans="1:23" x14ac:dyDescent="0.25">
      <c r="A2986" s="2"/>
      <c r="B2986" s="2"/>
      <c r="C2986" s="1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</row>
    <row r="2987" spans="1:23" x14ac:dyDescent="0.25">
      <c r="A2987" s="2"/>
      <c r="B2987" s="2"/>
      <c r="C2987" s="1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</row>
    <row r="2988" spans="1:23" x14ac:dyDescent="0.25">
      <c r="A2988" s="2"/>
      <c r="B2988" s="2"/>
      <c r="C2988" s="1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</row>
    <row r="2989" spans="1:23" x14ac:dyDescent="0.25">
      <c r="A2989" s="2"/>
      <c r="B2989" s="2"/>
      <c r="C2989" s="1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</row>
    <row r="2990" spans="1:23" x14ac:dyDescent="0.25">
      <c r="A2990" s="2"/>
      <c r="B2990" s="2"/>
      <c r="C2990" s="1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</row>
    <row r="2991" spans="1:23" x14ac:dyDescent="0.25">
      <c r="A2991" s="2"/>
      <c r="B2991" s="2"/>
      <c r="C2991" s="1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</row>
    <row r="2992" spans="1:23" x14ac:dyDescent="0.25">
      <c r="A2992" s="2"/>
      <c r="B2992" s="2"/>
      <c r="C2992" s="1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</row>
    <row r="2993" spans="1:23" x14ac:dyDescent="0.25">
      <c r="A2993" s="2"/>
      <c r="B2993" s="2"/>
      <c r="C2993" s="1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</row>
    <row r="2994" spans="1:23" x14ac:dyDescent="0.25">
      <c r="A2994" s="2"/>
      <c r="B2994" s="2"/>
      <c r="C2994" s="1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</row>
    <row r="2995" spans="1:23" x14ac:dyDescent="0.25">
      <c r="A2995" s="2"/>
      <c r="B2995" s="2"/>
      <c r="C2995" s="1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</row>
    <row r="2996" spans="1:23" x14ac:dyDescent="0.25">
      <c r="A2996" s="2"/>
      <c r="B2996" s="2"/>
      <c r="C2996" s="1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</row>
    <row r="2997" spans="1:23" x14ac:dyDescent="0.25">
      <c r="A2997" s="2"/>
      <c r="B2997" s="2"/>
      <c r="C2997" s="1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</row>
    <row r="2998" spans="1:23" x14ac:dyDescent="0.25">
      <c r="A2998" s="2"/>
      <c r="B2998" s="2"/>
      <c r="C2998" s="1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</row>
    <row r="2999" spans="1:23" x14ac:dyDescent="0.25">
      <c r="A2999" s="2"/>
      <c r="B2999" s="2"/>
      <c r="C2999" s="1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</row>
    <row r="3000" spans="1:23" x14ac:dyDescent="0.25">
      <c r="A3000" s="2"/>
      <c r="B3000" s="2"/>
      <c r="C3000" s="1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</row>
    <row r="3001" spans="1:23" x14ac:dyDescent="0.25">
      <c r="A3001" s="2"/>
      <c r="B3001" s="2"/>
      <c r="C3001" s="1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</row>
    <row r="3002" spans="1:23" x14ac:dyDescent="0.25">
      <c r="A3002" s="2"/>
      <c r="B3002" s="2"/>
      <c r="C3002" s="1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</row>
    <row r="3003" spans="1:23" x14ac:dyDescent="0.25">
      <c r="A3003" s="2"/>
      <c r="B3003" s="2"/>
      <c r="C3003" s="1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</row>
    <row r="3004" spans="1:23" x14ac:dyDescent="0.25">
      <c r="A3004" s="2"/>
      <c r="B3004" s="2"/>
      <c r="C3004" s="1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</row>
    <row r="3005" spans="1:23" x14ac:dyDescent="0.25">
      <c r="A3005" s="2"/>
      <c r="B3005" s="2"/>
      <c r="C3005" s="1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</row>
    <row r="3006" spans="1:23" x14ac:dyDescent="0.25">
      <c r="A3006" s="2"/>
      <c r="B3006" s="2"/>
      <c r="C3006" s="1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</row>
    <row r="3007" spans="1:23" x14ac:dyDescent="0.25">
      <c r="A3007" s="2"/>
      <c r="B3007" s="2"/>
      <c r="C3007" s="1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</row>
    <row r="3008" spans="1:23" x14ac:dyDescent="0.25">
      <c r="A3008" s="2"/>
      <c r="B3008" s="2"/>
      <c r="C3008" s="1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</row>
    <row r="3009" spans="1:23" x14ac:dyDescent="0.25">
      <c r="A3009" s="2"/>
      <c r="B3009" s="2"/>
      <c r="C3009" s="1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</row>
    <row r="3010" spans="1:23" x14ac:dyDescent="0.25">
      <c r="A3010" s="2"/>
      <c r="B3010" s="2"/>
      <c r="C3010" s="1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</row>
    <row r="3011" spans="1:23" x14ac:dyDescent="0.25">
      <c r="A3011" s="2"/>
      <c r="B3011" s="2"/>
      <c r="C3011" s="1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</row>
    <row r="3012" spans="1:23" x14ac:dyDescent="0.25">
      <c r="A3012" s="2"/>
      <c r="B3012" s="2"/>
      <c r="C3012" s="1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</row>
    <row r="3013" spans="1:23" x14ac:dyDescent="0.25">
      <c r="A3013" s="2"/>
      <c r="B3013" s="2"/>
      <c r="C3013" s="1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</row>
    <row r="3014" spans="1:23" x14ac:dyDescent="0.25">
      <c r="A3014" s="2"/>
      <c r="B3014" s="2"/>
      <c r="C3014" s="1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</row>
    <row r="3015" spans="1:23" x14ac:dyDescent="0.25">
      <c r="A3015" s="2"/>
      <c r="B3015" s="2"/>
      <c r="C3015" s="1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</row>
    <row r="3016" spans="1:23" x14ac:dyDescent="0.25">
      <c r="A3016" s="2"/>
      <c r="B3016" s="2"/>
      <c r="C3016" s="1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</row>
    <row r="3017" spans="1:23" x14ac:dyDescent="0.25">
      <c r="A3017" s="2"/>
      <c r="B3017" s="2"/>
      <c r="C3017" s="1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</row>
    <row r="3018" spans="1:23" x14ac:dyDescent="0.25">
      <c r="A3018" s="2"/>
      <c r="B3018" s="2"/>
      <c r="C3018" s="1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</row>
    <row r="3019" spans="1:23" x14ac:dyDescent="0.25">
      <c r="A3019" s="2"/>
      <c r="B3019" s="2"/>
      <c r="C3019" s="1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</row>
    <row r="3020" spans="1:23" x14ac:dyDescent="0.25">
      <c r="A3020" s="2"/>
      <c r="B3020" s="2"/>
      <c r="C3020" s="1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</row>
    <row r="3021" spans="1:23" x14ac:dyDescent="0.25">
      <c r="A3021" s="2"/>
      <c r="B3021" s="2"/>
      <c r="C3021" s="1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</row>
    <row r="3022" spans="1:23" x14ac:dyDescent="0.25">
      <c r="A3022" s="2"/>
      <c r="B3022" s="2"/>
      <c r="C3022" s="1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</row>
    <row r="3023" spans="1:23" x14ac:dyDescent="0.25">
      <c r="A3023" s="2"/>
      <c r="B3023" s="2"/>
      <c r="C3023" s="1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</row>
    <row r="3024" spans="1:23" x14ac:dyDescent="0.25">
      <c r="A3024" s="2"/>
      <c r="B3024" s="2"/>
      <c r="C3024" s="1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</row>
    <row r="3025" spans="1:23" x14ac:dyDescent="0.25">
      <c r="A3025" s="2"/>
      <c r="B3025" s="2"/>
      <c r="C3025" s="1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</row>
    <row r="3026" spans="1:23" x14ac:dyDescent="0.25">
      <c r="A3026" s="2"/>
      <c r="B3026" s="2"/>
      <c r="C3026" s="1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</row>
    <row r="3027" spans="1:23" x14ac:dyDescent="0.25">
      <c r="A3027" s="2"/>
      <c r="B3027" s="2"/>
      <c r="C3027" s="1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</row>
    <row r="3028" spans="1:23" x14ac:dyDescent="0.25">
      <c r="A3028" s="2"/>
      <c r="B3028" s="2"/>
      <c r="C3028" s="1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</row>
    <row r="3029" spans="1:23" x14ac:dyDescent="0.25">
      <c r="A3029" s="2"/>
      <c r="B3029" s="2"/>
      <c r="C3029" s="1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</row>
    <row r="3030" spans="1:23" x14ac:dyDescent="0.25">
      <c r="A3030" s="2"/>
      <c r="B3030" s="2"/>
      <c r="C3030" s="1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</row>
    <row r="3031" spans="1:23" x14ac:dyDescent="0.25">
      <c r="A3031" s="2"/>
      <c r="B3031" s="2"/>
      <c r="C3031" s="1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</row>
    <row r="3032" spans="1:23" x14ac:dyDescent="0.25">
      <c r="A3032" s="2"/>
      <c r="B3032" s="2"/>
      <c r="C3032" s="1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</row>
    <row r="3033" spans="1:23" x14ac:dyDescent="0.25">
      <c r="A3033" s="2"/>
      <c r="B3033" s="2"/>
      <c r="C3033" s="1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</row>
    <row r="3034" spans="1:23" x14ac:dyDescent="0.25">
      <c r="A3034" s="2"/>
      <c r="B3034" s="2"/>
      <c r="C3034" s="1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</row>
    <row r="3035" spans="1:23" x14ac:dyDescent="0.25">
      <c r="A3035" s="2"/>
      <c r="B3035" s="2"/>
      <c r="C3035" s="1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</row>
    <row r="3036" spans="1:23" x14ac:dyDescent="0.25">
      <c r="A3036" s="2"/>
      <c r="B3036" s="2"/>
      <c r="C3036" s="1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</row>
    <row r="3037" spans="1:23" x14ac:dyDescent="0.25">
      <c r="A3037" s="2"/>
      <c r="B3037" s="2"/>
      <c r="C3037" s="1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</row>
    <row r="3038" spans="1:23" x14ac:dyDescent="0.25">
      <c r="A3038" s="2"/>
      <c r="B3038" s="2"/>
      <c r="C3038" s="1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</row>
    <row r="3039" spans="1:23" x14ac:dyDescent="0.25">
      <c r="A3039" s="2"/>
      <c r="B3039" s="2"/>
      <c r="C3039" s="1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</row>
    <row r="3040" spans="1:23" x14ac:dyDescent="0.25">
      <c r="A3040" s="2"/>
      <c r="B3040" s="2"/>
      <c r="C3040" s="1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</row>
    <row r="3041" spans="1:23" x14ac:dyDescent="0.25">
      <c r="A3041" s="2"/>
      <c r="B3041" s="2"/>
      <c r="C3041" s="1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</row>
    <row r="3042" spans="1:23" x14ac:dyDescent="0.25">
      <c r="A3042" s="2"/>
      <c r="B3042" s="2"/>
      <c r="C3042" s="1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</row>
    <row r="3043" spans="1:23" x14ac:dyDescent="0.25">
      <c r="A3043" s="2"/>
      <c r="B3043" s="2"/>
      <c r="C3043" s="1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</row>
    <row r="3044" spans="1:23" x14ac:dyDescent="0.25">
      <c r="A3044" s="2"/>
      <c r="B3044" s="2"/>
      <c r="C3044" s="1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</row>
    <row r="3045" spans="1:23" x14ac:dyDescent="0.25">
      <c r="A3045" s="2"/>
      <c r="B3045" s="2"/>
      <c r="C3045" s="1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</row>
    <row r="3046" spans="1:23" x14ac:dyDescent="0.25">
      <c r="A3046" s="2"/>
      <c r="B3046" s="2"/>
      <c r="C3046" s="1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</row>
    <row r="3047" spans="1:23" x14ac:dyDescent="0.25">
      <c r="A3047" s="2"/>
      <c r="B3047" s="2"/>
      <c r="C3047" s="1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</row>
    <row r="3048" spans="1:23" x14ac:dyDescent="0.25">
      <c r="A3048" s="2"/>
      <c r="B3048" s="2"/>
      <c r="C3048" s="1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</row>
    <row r="3049" spans="1:23" x14ac:dyDescent="0.25">
      <c r="A3049" s="2"/>
      <c r="B3049" s="2"/>
      <c r="C3049" s="1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</row>
    <row r="3050" spans="1:23" x14ac:dyDescent="0.25">
      <c r="A3050" s="2"/>
      <c r="B3050" s="2"/>
      <c r="C3050" s="1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</row>
    <row r="3051" spans="1:23" x14ac:dyDescent="0.25">
      <c r="A3051" s="2"/>
      <c r="B3051" s="2"/>
      <c r="C3051" s="1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</row>
    <row r="3052" spans="1:23" x14ac:dyDescent="0.25">
      <c r="A3052" s="2"/>
      <c r="B3052" s="2"/>
      <c r="C3052" s="1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</row>
    <row r="3053" spans="1:23" x14ac:dyDescent="0.25">
      <c r="A3053" s="2"/>
      <c r="B3053" s="2"/>
      <c r="C3053" s="1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</row>
    <row r="3054" spans="1:23" x14ac:dyDescent="0.25">
      <c r="A3054" s="2"/>
      <c r="B3054" s="2"/>
      <c r="C3054" s="1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</row>
    <row r="3055" spans="1:23" x14ac:dyDescent="0.25">
      <c r="A3055" s="2"/>
      <c r="B3055" s="2"/>
      <c r="C3055" s="1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</row>
    <row r="3056" spans="1:23" x14ac:dyDescent="0.25">
      <c r="A3056" s="2"/>
      <c r="B3056" s="2"/>
      <c r="C3056" s="1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</row>
    <row r="3057" spans="1:23" x14ac:dyDescent="0.25">
      <c r="A3057" s="2"/>
      <c r="B3057" s="2"/>
      <c r="C3057" s="1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</row>
    <row r="3058" spans="1:23" x14ac:dyDescent="0.25">
      <c r="A3058" s="2"/>
      <c r="B3058" s="2"/>
      <c r="C3058" s="1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</row>
    <row r="3059" spans="1:23" x14ac:dyDescent="0.25">
      <c r="A3059" s="2"/>
      <c r="B3059" s="2"/>
      <c r="C3059" s="1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</row>
    <row r="3060" spans="1:23" x14ac:dyDescent="0.25">
      <c r="A3060" s="2"/>
      <c r="B3060" s="2"/>
      <c r="C3060" s="1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</row>
    <row r="3061" spans="1:23" x14ac:dyDescent="0.25">
      <c r="A3061" s="2"/>
      <c r="B3061" s="2"/>
      <c r="C3061" s="1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</row>
    <row r="3062" spans="1:23" x14ac:dyDescent="0.25">
      <c r="A3062" s="2"/>
      <c r="B3062" s="2"/>
      <c r="C3062" s="1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</row>
    <row r="3063" spans="1:23" x14ac:dyDescent="0.25">
      <c r="A3063" s="2"/>
      <c r="B3063" s="2"/>
      <c r="C3063" s="1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</row>
    <row r="3064" spans="1:23" x14ac:dyDescent="0.25">
      <c r="A3064" s="2"/>
      <c r="B3064" s="2"/>
      <c r="C3064" s="1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</row>
    <row r="3065" spans="1:23" x14ac:dyDescent="0.25">
      <c r="A3065" s="2"/>
      <c r="B3065" s="2"/>
      <c r="C3065" s="1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</row>
    <row r="3066" spans="1:23" x14ac:dyDescent="0.25">
      <c r="A3066" s="2"/>
      <c r="B3066" s="2"/>
      <c r="C3066" s="1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</row>
    <row r="3067" spans="1:23" x14ac:dyDescent="0.25">
      <c r="A3067" s="2"/>
      <c r="B3067" s="2"/>
      <c r="C3067" s="1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</row>
    <row r="3068" spans="1:23" x14ac:dyDescent="0.25">
      <c r="A3068" s="2"/>
      <c r="B3068" s="2"/>
      <c r="C3068" s="1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</row>
    <row r="3069" spans="1:23" x14ac:dyDescent="0.25">
      <c r="A3069" s="2"/>
      <c r="B3069" s="2"/>
      <c r="C3069" s="1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</row>
    <row r="3070" spans="1:23" x14ac:dyDescent="0.25">
      <c r="A3070" s="2"/>
      <c r="B3070" s="2"/>
      <c r="C3070" s="1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</row>
    <row r="3071" spans="1:23" x14ac:dyDescent="0.25">
      <c r="A3071" s="2"/>
      <c r="B3071" s="2"/>
      <c r="C3071" s="1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</row>
    <row r="3072" spans="1:23" x14ac:dyDescent="0.25">
      <c r="A3072" s="2"/>
      <c r="B3072" s="2"/>
      <c r="C3072" s="1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</row>
    <row r="3073" spans="1:23" x14ac:dyDescent="0.25">
      <c r="A3073" s="2"/>
      <c r="B3073" s="2"/>
      <c r="C3073" s="1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</row>
    <row r="3074" spans="1:23" x14ac:dyDescent="0.25">
      <c r="A3074" s="2"/>
      <c r="B3074" s="2"/>
      <c r="C3074" s="1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</row>
    <row r="3075" spans="1:23" x14ac:dyDescent="0.25">
      <c r="A3075" s="2"/>
      <c r="B3075" s="2"/>
      <c r="C3075" s="1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</row>
    <row r="3076" spans="1:23" x14ac:dyDescent="0.25">
      <c r="A3076" s="2"/>
      <c r="B3076" s="2"/>
      <c r="C3076" s="1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</row>
    <row r="3077" spans="1:23" x14ac:dyDescent="0.25">
      <c r="A3077" s="2"/>
      <c r="B3077" s="2"/>
      <c r="C3077" s="1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</row>
    <row r="3078" spans="1:23" x14ac:dyDescent="0.25">
      <c r="A3078" s="2"/>
      <c r="B3078" s="2"/>
      <c r="C3078" s="1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</row>
    <row r="3079" spans="1:23" x14ac:dyDescent="0.25">
      <c r="A3079" s="2"/>
      <c r="B3079" s="2"/>
      <c r="C3079" s="1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</row>
    <row r="3080" spans="1:23" x14ac:dyDescent="0.25">
      <c r="A3080" s="2"/>
      <c r="B3080" s="2"/>
      <c r="C3080" s="1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</row>
    <row r="3081" spans="1:23" x14ac:dyDescent="0.25">
      <c r="A3081" s="2"/>
      <c r="B3081" s="2"/>
      <c r="C3081" s="1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</row>
    <row r="3082" spans="1:23" x14ac:dyDescent="0.25">
      <c r="A3082" s="2"/>
      <c r="B3082" s="2"/>
      <c r="C3082" s="1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</row>
    <row r="3083" spans="1:23" x14ac:dyDescent="0.25">
      <c r="A3083" s="2"/>
      <c r="B3083" s="2"/>
      <c r="C3083" s="1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</row>
    <row r="3084" spans="1:23" x14ac:dyDescent="0.25">
      <c r="A3084" s="2"/>
      <c r="B3084" s="2"/>
      <c r="C3084" s="1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</row>
    <row r="3085" spans="1:23" x14ac:dyDescent="0.25">
      <c r="A3085" s="2"/>
      <c r="B3085" s="2"/>
      <c r="C3085" s="1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</row>
    <row r="3086" spans="1:23" x14ac:dyDescent="0.25">
      <c r="A3086" s="2"/>
      <c r="B3086" s="2"/>
      <c r="C3086" s="1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</row>
    <row r="3087" spans="1:23" x14ac:dyDescent="0.25">
      <c r="A3087" s="2"/>
      <c r="B3087" s="2"/>
      <c r="C3087" s="1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</row>
    <row r="3088" spans="1:23" x14ac:dyDescent="0.25">
      <c r="A3088" s="2"/>
      <c r="B3088" s="2"/>
      <c r="C3088" s="1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</row>
    <row r="3089" spans="1:23" x14ac:dyDescent="0.25">
      <c r="A3089" s="2"/>
      <c r="B3089" s="2"/>
      <c r="C3089" s="1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</row>
    <row r="3090" spans="1:23" x14ac:dyDescent="0.25">
      <c r="A3090" s="2"/>
      <c r="B3090" s="2"/>
      <c r="C3090" s="1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</row>
    <row r="3091" spans="1:23" x14ac:dyDescent="0.25">
      <c r="A3091" s="2"/>
      <c r="B3091" s="2"/>
      <c r="C3091" s="1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</row>
    <row r="3092" spans="1:23" x14ac:dyDescent="0.25">
      <c r="A3092" s="2"/>
      <c r="B3092" s="2"/>
      <c r="C3092" s="1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</row>
    <row r="3093" spans="1:23" x14ac:dyDescent="0.25">
      <c r="A3093" s="2"/>
      <c r="B3093" s="2"/>
      <c r="C3093" s="1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</row>
    <row r="3094" spans="1:23" x14ac:dyDescent="0.25">
      <c r="A3094" s="2"/>
      <c r="B3094" s="2"/>
      <c r="C3094" s="1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</row>
    <row r="3095" spans="1:23" x14ac:dyDescent="0.25">
      <c r="A3095" s="2"/>
      <c r="B3095" s="2"/>
      <c r="C3095" s="1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</row>
    <row r="3096" spans="1:23" x14ac:dyDescent="0.25">
      <c r="A3096" s="2"/>
      <c r="B3096" s="2"/>
      <c r="C3096" s="1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</row>
    <row r="3097" spans="1:23" x14ac:dyDescent="0.25">
      <c r="A3097" s="2"/>
      <c r="B3097" s="2"/>
      <c r="C3097" s="1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</row>
    <row r="3098" spans="1:23" x14ac:dyDescent="0.25">
      <c r="A3098" s="2"/>
      <c r="B3098" s="2"/>
      <c r="C3098" s="1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</row>
    <row r="3099" spans="1:23" x14ac:dyDescent="0.25">
      <c r="A3099" s="2"/>
      <c r="B3099" s="2"/>
      <c r="C3099" s="1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</row>
    <row r="3100" spans="1:23" x14ac:dyDescent="0.25">
      <c r="A3100" s="2"/>
      <c r="B3100" s="2"/>
      <c r="C3100" s="1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</row>
    <row r="3101" spans="1:23" x14ac:dyDescent="0.25">
      <c r="A3101" s="2"/>
      <c r="B3101" s="2"/>
      <c r="C3101" s="1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</row>
    <row r="3102" spans="1:23" x14ac:dyDescent="0.25">
      <c r="A3102" s="2"/>
      <c r="B3102" s="2"/>
      <c r="C3102" s="1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</row>
    <row r="3103" spans="1:23" x14ac:dyDescent="0.25">
      <c r="A3103" s="2"/>
      <c r="B3103" s="2"/>
      <c r="C3103" s="1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</row>
    <row r="3104" spans="1:23" x14ac:dyDescent="0.25">
      <c r="A3104" s="2"/>
      <c r="B3104" s="2"/>
      <c r="C3104" s="1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</row>
    <row r="3105" spans="1:23" x14ac:dyDescent="0.25">
      <c r="A3105" s="2"/>
      <c r="B3105" s="2"/>
      <c r="C3105" s="1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</row>
    <row r="3106" spans="1:23" x14ac:dyDescent="0.25">
      <c r="A3106" s="2"/>
      <c r="B3106" s="2"/>
      <c r="C3106" s="1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</row>
    <row r="3107" spans="1:23" x14ac:dyDescent="0.25">
      <c r="A3107" s="2"/>
      <c r="B3107" s="2"/>
      <c r="C3107" s="1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</row>
    <row r="3108" spans="1:23" x14ac:dyDescent="0.25">
      <c r="A3108" s="2"/>
      <c r="B3108" s="2"/>
      <c r="C3108" s="1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</row>
    <row r="3109" spans="1:23" x14ac:dyDescent="0.25">
      <c r="A3109" s="2"/>
      <c r="B3109" s="2"/>
      <c r="C3109" s="1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</row>
    <row r="3110" spans="1:23" x14ac:dyDescent="0.25">
      <c r="A3110" s="2"/>
      <c r="B3110" s="2"/>
      <c r="C3110" s="1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</row>
    <row r="3111" spans="1:23" x14ac:dyDescent="0.25">
      <c r="A3111" s="2"/>
      <c r="B3111" s="2"/>
      <c r="C3111" s="1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</row>
    <row r="3112" spans="1:23" x14ac:dyDescent="0.25">
      <c r="A3112" s="2"/>
      <c r="B3112" s="2"/>
      <c r="C3112" s="1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</row>
    <row r="3113" spans="1:23" x14ac:dyDescent="0.25">
      <c r="A3113" s="2"/>
      <c r="B3113" s="2"/>
      <c r="C3113" s="1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</row>
    <row r="3114" spans="1:23" x14ac:dyDescent="0.25">
      <c r="A3114" s="2"/>
      <c r="B3114" s="2"/>
      <c r="C3114" s="1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</row>
    <row r="3115" spans="1:23" x14ac:dyDescent="0.25">
      <c r="A3115" s="2"/>
      <c r="B3115" s="2"/>
      <c r="C3115" s="1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</row>
    <row r="3116" spans="1:23" x14ac:dyDescent="0.25">
      <c r="A3116" s="2"/>
      <c r="B3116" s="2"/>
      <c r="C3116" s="1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</row>
    <row r="3117" spans="1:23" x14ac:dyDescent="0.25">
      <c r="A3117" s="2"/>
      <c r="B3117" s="2"/>
      <c r="C3117" s="1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</row>
    <row r="3118" spans="1:23" x14ac:dyDescent="0.25">
      <c r="A3118" s="2"/>
      <c r="B3118" s="2"/>
      <c r="C3118" s="1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</row>
    <row r="3119" spans="1:23" x14ac:dyDescent="0.25">
      <c r="A3119" s="2"/>
      <c r="B3119" s="2"/>
      <c r="C3119" s="1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</row>
    <row r="3120" spans="1:23" x14ac:dyDescent="0.25">
      <c r="A3120" s="2"/>
      <c r="B3120" s="2"/>
      <c r="C3120" s="1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</row>
    <row r="3121" spans="1:23" x14ac:dyDescent="0.25">
      <c r="A3121" s="2"/>
      <c r="B3121" s="2"/>
      <c r="C3121" s="1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</row>
    <row r="3122" spans="1:23" x14ac:dyDescent="0.25">
      <c r="A3122" s="2"/>
      <c r="B3122" s="2"/>
      <c r="C3122" s="1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</row>
    <row r="3123" spans="1:23" x14ac:dyDescent="0.25">
      <c r="A3123" s="2"/>
      <c r="B3123" s="2"/>
      <c r="C3123" s="1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</row>
    <row r="3124" spans="1:23" x14ac:dyDescent="0.25">
      <c r="A3124" s="2"/>
      <c r="B3124" s="2"/>
      <c r="C3124" s="1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</row>
    <row r="3125" spans="1:23" x14ac:dyDescent="0.25">
      <c r="A3125" s="2"/>
      <c r="B3125" s="2"/>
      <c r="C3125" s="1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</row>
    <row r="3126" spans="1:23" x14ac:dyDescent="0.25">
      <c r="A3126" s="2"/>
      <c r="B3126" s="2"/>
      <c r="C3126" s="1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</row>
    <row r="3127" spans="1:23" x14ac:dyDescent="0.25">
      <c r="A3127" s="2"/>
      <c r="B3127" s="2"/>
      <c r="C3127" s="1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</row>
    <row r="3128" spans="1:23" x14ac:dyDescent="0.25">
      <c r="A3128" s="2"/>
      <c r="B3128" s="2"/>
      <c r="C3128" s="1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</row>
    <row r="3129" spans="1:23" x14ac:dyDescent="0.25">
      <c r="A3129" s="2"/>
      <c r="B3129" s="2"/>
      <c r="C3129" s="1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</row>
    <row r="3130" spans="1:23" x14ac:dyDescent="0.25">
      <c r="A3130" s="2"/>
      <c r="B3130" s="2"/>
      <c r="C3130" s="1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</row>
    <row r="3131" spans="1:23" x14ac:dyDescent="0.25">
      <c r="A3131" s="2"/>
      <c r="B3131" s="2"/>
      <c r="C3131" s="1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</row>
    <row r="3132" spans="1:23" x14ac:dyDescent="0.25">
      <c r="A3132" s="2"/>
      <c r="B3132" s="2"/>
      <c r="C3132" s="1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</row>
    <row r="3133" spans="1:23" x14ac:dyDescent="0.25">
      <c r="A3133" s="2"/>
      <c r="B3133" s="2"/>
      <c r="C3133" s="1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</row>
    <row r="3134" spans="1:23" x14ac:dyDescent="0.25">
      <c r="A3134" s="2"/>
      <c r="B3134" s="2"/>
      <c r="C3134" s="1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</row>
    <row r="3135" spans="1:23" x14ac:dyDescent="0.25">
      <c r="A3135" s="2"/>
      <c r="B3135" s="2"/>
      <c r="C3135" s="1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</row>
    <row r="3136" spans="1:23" x14ac:dyDescent="0.25">
      <c r="A3136" s="2"/>
      <c r="B3136" s="2"/>
      <c r="C3136" s="1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</row>
    <row r="3137" spans="1:23" x14ac:dyDescent="0.25">
      <c r="A3137" s="2"/>
      <c r="B3137" s="2"/>
      <c r="C3137" s="1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</row>
    <row r="3138" spans="1:23" x14ac:dyDescent="0.25">
      <c r="A3138" s="2"/>
      <c r="B3138" s="2"/>
      <c r="C3138" s="1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</row>
    <row r="3139" spans="1:23" x14ac:dyDescent="0.25">
      <c r="A3139" s="2"/>
      <c r="B3139" s="2"/>
      <c r="C3139" s="1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</row>
    <row r="3140" spans="1:23" x14ac:dyDescent="0.25">
      <c r="A3140" s="2"/>
      <c r="B3140" s="2"/>
      <c r="C3140" s="1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</row>
    <row r="3141" spans="1:23" x14ac:dyDescent="0.25">
      <c r="A3141" s="2"/>
      <c r="B3141" s="2"/>
      <c r="C3141" s="1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</row>
    <row r="3142" spans="1:23" x14ac:dyDescent="0.25">
      <c r="A3142" s="2"/>
      <c r="B3142" s="2"/>
      <c r="C3142" s="1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</row>
    <row r="3143" spans="1:23" x14ac:dyDescent="0.25">
      <c r="A3143" s="2"/>
      <c r="B3143" s="2"/>
      <c r="C3143" s="1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</row>
    <row r="3144" spans="1:23" x14ac:dyDescent="0.25">
      <c r="A3144" s="2"/>
      <c r="B3144" s="2"/>
      <c r="C3144" s="1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</row>
    <row r="3145" spans="1:23" x14ac:dyDescent="0.25">
      <c r="A3145" s="2"/>
      <c r="B3145" s="2"/>
      <c r="C3145" s="1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</row>
    <row r="3146" spans="1:23" x14ac:dyDescent="0.25">
      <c r="A3146" s="2"/>
      <c r="B3146" s="2"/>
      <c r="C3146" s="1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</row>
    <row r="3147" spans="1:23" x14ac:dyDescent="0.25">
      <c r="A3147" s="2"/>
      <c r="B3147" s="2"/>
      <c r="C3147" s="1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</row>
    <row r="3148" spans="1:23" x14ac:dyDescent="0.25">
      <c r="A3148" s="2"/>
      <c r="B3148" s="2"/>
      <c r="C3148" s="1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</row>
    <row r="3149" spans="1:23" x14ac:dyDescent="0.25">
      <c r="A3149" s="2"/>
      <c r="B3149" s="2"/>
      <c r="C3149" s="1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</row>
    <row r="3150" spans="1:23" x14ac:dyDescent="0.25">
      <c r="A3150" s="2"/>
      <c r="B3150" s="2"/>
      <c r="C3150" s="1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</row>
    <row r="3151" spans="1:23" x14ac:dyDescent="0.25">
      <c r="A3151" s="2"/>
      <c r="B3151" s="2"/>
      <c r="C3151" s="1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</row>
    <row r="3152" spans="1:23" x14ac:dyDescent="0.25">
      <c r="A3152" s="2"/>
      <c r="B3152" s="2"/>
      <c r="C3152" s="1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</row>
    <row r="3153" spans="1:23" x14ac:dyDescent="0.25">
      <c r="A3153" s="2"/>
      <c r="B3153" s="2"/>
      <c r="C3153" s="1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</row>
    <row r="3154" spans="1:23" x14ac:dyDescent="0.25">
      <c r="A3154" s="2"/>
      <c r="B3154" s="2"/>
      <c r="C3154" s="1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</row>
    <row r="3155" spans="1:23" x14ac:dyDescent="0.25">
      <c r="A3155" s="2"/>
      <c r="B3155" s="2"/>
      <c r="C3155" s="1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</row>
    <row r="3156" spans="1:23" x14ac:dyDescent="0.25">
      <c r="A3156" s="2"/>
      <c r="B3156" s="2"/>
      <c r="C3156" s="1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</row>
    <row r="3157" spans="1:23" x14ac:dyDescent="0.25">
      <c r="A3157" s="2"/>
      <c r="B3157" s="2"/>
      <c r="C3157" s="1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</row>
    <row r="3158" spans="1:23" x14ac:dyDescent="0.25">
      <c r="A3158" s="2"/>
      <c r="B3158" s="2"/>
      <c r="C3158" s="1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</row>
    <row r="3159" spans="1:23" x14ac:dyDescent="0.25">
      <c r="A3159" s="2"/>
      <c r="B3159" s="2"/>
      <c r="C3159" s="1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</row>
    <row r="3160" spans="1:23" x14ac:dyDescent="0.25">
      <c r="A3160" s="2"/>
      <c r="B3160" s="2"/>
      <c r="C3160" s="1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</row>
    <row r="3161" spans="1:23" x14ac:dyDescent="0.25">
      <c r="A3161" s="2"/>
      <c r="B3161" s="2"/>
      <c r="C3161" s="1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</row>
    <row r="3162" spans="1:23" x14ac:dyDescent="0.25">
      <c r="A3162" s="2"/>
      <c r="B3162" s="2"/>
      <c r="C3162" s="1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</row>
    <row r="3163" spans="1:23" x14ac:dyDescent="0.25">
      <c r="A3163" s="2"/>
      <c r="B3163" s="2"/>
      <c r="C3163" s="1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</row>
    <row r="3164" spans="1:23" x14ac:dyDescent="0.25">
      <c r="A3164" s="2"/>
      <c r="B3164" s="2"/>
      <c r="C3164" s="1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</row>
    <row r="3165" spans="1:23" x14ac:dyDescent="0.25">
      <c r="A3165" s="2"/>
      <c r="B3165" s="2"/>
      <c r="C3165" s="1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</row>
    <row r="3166" spans="1:23" x14ac:dyDescent="0.25">
      <c r="A3166" s="2"/>
      <c r="B3166" s="2"/>
      <c r="C3166" s="1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</row>
    <row r="3167" spans="1:23" x14ac:dyDescent="0.25">
      <c r="A3167" s="2"/>
      <c r="B3167" s="2"/>
      <c r="C3167" s="1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</row>
    <row r="3168" spans="1:23" x14ac:dyDescent="0.25">
      <c r="A3168" s="2"/>
      <c r="B3168" s="2"/>
      <c r="C3168" s="1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</row>
    <row r="3169" spans="1:23" x14ac:dyDescent="0.25">
      <c r="A3169" s="2"/>
      <c r="B3169" s="2"/>
      <c r="C3169" s="1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</row>
    <row r="3170" spans="1:23" x14ac:dyDescent="0.25">
      <c r="A3170" s="2"/>
      <c r="B3170" s="2"/>
      <c r="C3170" s="1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</row>
    <row r="3171" spans="1:23" x14ac:dyDescent="0.25">
      <c r="A3171" s="2"/>
      <c r="B3171" s="2"/>
      <c r="C3171" s="1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</row>
    <row r="3172" spans="1:23" x14ac:dyDescent="0.25">
      <c r="A3172" s="2"/>
      <c r="B3172" s="2"/>
      <c r="C3172" s="1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</row>
    <row r="3173" spans="1:23" x14ac:dyDescent="0.25">
      <c r="A3173" s="2"/>
      <c r="B3173" s="2"/>
      <c r="C3173" s="1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</row>
    <row r="3174" spans="1:23" x14ac:dyDescent="0.25">
      <c r="A3174" s="2"/>
      <c r="B3174" s="2"/>
      <c r="C3174" s="1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</row>
    <row r="3175" spans="1:23" x14ac:dyDescent="0.25">
      <c r="A3175" s="2"/>
      <c r="B3175" s="2"/>
      <c r="C3175" s="1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</row>
    <row r="3176" spans="1:23" x14ac:dyDescent="0.25">
      <c r="A3176" s="2"/>
      <c r="B3176" s="2"/>
      <c r="C3176" s="1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</row>
    <row r="3177" spans="1:23" x14ac:dyDescent="0.25">
      <c r="A3177" s="2"/>
      <c r="B3177" s="2"/>
      <c r="C3177" s="1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</row>
    <row r="3178" spans="1:23" x14ac:dyDescent="0.25">
      <c r="A3178" s="2"/>
      <c r="B3178" s="2"/>
      <c r="C3178" s="1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</row>
    <row r="3179" spans="1:23" x14ac:dyDescent="0.25">
      <c r="A3179" s="2"/>
      <c r="B3179" s="2"/>
      <c r="C3179" s="1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</row>
    <row r="3180" spans="1:23" x14ac:dyDescent="0.25">
      <c r="A3180" s="2"/>
      <c r="B3180" s="2"/>
      <c r="C3180" s="1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</row>
    <row r="3181" spans="1:23" x14ac:dyDescent="0.25">
      <c r="A3181" s="2"/>
      <c r="B3181" s="2"/>
      <c r="C3181" s="1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</row>
    <row r="3182" spans="1:23" x14ac:dyDescent="0.25">
      <c r="A3182" s="2"/>
      <c r="B3182" s="2"/>
      <c r="C3182" s="1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</row>
    <row r="3183" spans="1:23" x14ac:dyDescent="0.25">
      <c r="A3183" s="2"/>
      <c r="B3183" s="2"/>
      <c r="C3183" s="1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</row>
    <row r="3184" spans="1:23" x14ac:dyDescent="0.25">
      <c r="A3184" s="2"/>
      <c r="B3184" s="2"/>
      <c r="C3184" s="1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</row>
    <row r="3185" spans="1:23" x14ac:dyDescent="0.25">
      <c r="A3185" s="2"/>
      <c r="B3185" s="2"/>
      <c r="C3185" s="1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</row>
    <row r="3186" spans="1:23" x14ac:dyDescent="0.25">
      <c r="A3186" s="2"/>
      <c r="B3186" s="2"/>
      <c r="C3186" s="1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</row>
    <row r="3187" spans="1:23" x14ac:dyDescent="0.25">
      <c r="A3187" s="2"/>
      <c r="B3187" s="2"/>
      <c r="C3187" s="1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</row>
    <row r="3188" spans="1:23" x14ac:dyDescent="0.25">
      <c r="A3188" s="2"/>
      <c r="B3188" s="2"/>
      <c r="C3188" s="1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</row>
    <row r="3189" spans="1:23" x14ac:dyDescent="0.25">
      <c r="A3189" s="2"/>
      <c r="B3189" s="2"/>
      <c r="C3189" s="1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</row>
    <row r="3190" spans="1:23" x14ac:dyDescent="0.25">
      <c r="A3190" s="2"/>
      <c r="B3190" s="2"/>
      <c r="C3190" s="1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</row>
    <row r="3191" spans="1:23" x14ac:dyDescent="0.25">
      <c r="A3191" s="2"/>
      <c r="B3191" s="2"/>
      <c r="C3191" s="1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</row>
    <row r="3192" spans="1:23" x14ac:dyDescent="0.25">
      <c r="A3192" s="2"/>
      <c r="B3192" s="2"/>
      <c r="C3192" s="1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</row>
    <row r="3193" spans="1:23" x14ac:dyDescent="0.25">
      <c r="A3193" s="2"/>
      <c r="B3193" s="2"/>
      <c r="C3193" s="1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</row>
    <row r="3194" spans="1:23" x14ac:dyDescent="0.25">
      <c r="A3194" s="2"/>
      <c r="B3194" s="2"/>
      <c r="C3194" s="1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</row>
    <row r="3195" spans="1:23" x14ac:dyDescent="0.25">
      <c r="A3195" s="2"/>
      <c r="B3195" s="2"/>
      <c r="C3195" s="1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</row>
    <row r="3196" spans="1:23" x14ac:dyDescent="0.25">
      <c r="A3196" s="2"/>
      <c r="B3196" s="2"/>
      <c r="C3196" s="1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</row>
    <row r="3197" spans="1:23" x14ac:dyDescent="0.25">
      <c r="A3197" s="2"/>
      <c r="B3197" s="2"/>
      <c r="C3197" s="1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</row>
    <row r="3198" spans="1:23" x14ac:dyDescent="0.25">
      <c r="A3198" s="2"/>
      <c r="B3198" s="2"/>
      <c r="C3198" s="1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</row>
    <row r="3199" spans="1:23" x14ac:dyDescent="0.25">
      <c r="A3199" s="2"/>
      <c r="B3199" s="2"/>
      <c r="C3199" s="1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</row>
    <row r="3200" spans="1:23" x14ac:dyDescent="0.25">
      <c r="A3200" s="2"/>
      <c r="B3200" s="2"/>
      <c r="C3200" s="1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</row>
    <row r="3201" spans="1:23" x14ac:dyDescent="0.25">
      <c r="A3201" s="2"/>
      <c r="B3201" s="2"/>
      <c r="C3201" s="1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</row>
    <row r="3202" spans="1:23" x14ac:dyDescent="0.25">
      <c r="A3202" s="2"/>
      <c r="B3202" s="2"/>
      <c r="C3202" s="1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</row>
    <row r="3203" spans="1:23" x14ac:dyDescent="0.25">
      <c r="A3203" s="2"/>
      <c r="B3203" s="2"/>
      <c r="C3203" s="1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</row>
    <row r="3204" spans="1:23" x14ac:dyDescent="0.25">
      <c r="A3204" s="2"/>
      <c r="B3204" s="2"/>
      <c r="C3204" s="1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</row>
    <row r="3205" spans="1:23" x14ac:dyDescent="0.25">
      <c r="A3205" s="2"/>
      <c r="B3205" s="2"/>
      <c r="C3205" s="1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</row>
    <row r="3206" spans="1:23" x14ac:dyDescent="0.25">
      <c r="A3206" s="2"/>
      <c r="B3206" s="2"/>
      <c r="C3206" s="1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</row>
    <row r="3207" spans="1:23" x14ac:dyDescent="0.25">
      <c r="A3207" s="2"/>
      <c r="B3207" s="2"/>
      <c r="C3207" s="1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</row>
    <row r="3208" spans="1:23" x14ac:dyDescent="0.25">
      <c r="A3208" s="2"/>
      <c r="B3208" s="2"/>
      <c r="C3208" s="1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</row>
    <row r="3209" spans="1:23" x14ac:dyDescent="0.25">
      <c r="A3209" s="2"/>
      <c r="B3209" s="2"/>
      <c r="C3209" s="1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</row>
    <row r="3210" spans="1:23" x14ac:dyDescent="0.25">
      <c r="A3210" s="2"/>
      <c r="B3210" s="2"/>
      <c r="C3210" s="1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</row>
    <row r="3211" spans="1:23" x14ac:dyDescent="0.25">
      <c r="A3211" s="2"/>
      <c r="B3211" s="2"/>
      <c r="C3211" s="1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</row>
    <row r="3212" spans="1:23" x14ac:dyDescent="0.25">
      <c r="A3212" s="2"/>
      <c r="B3212" s="2"/>
      <c r="C3212" s="1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</row>
    <row r="3213" spans="1:23" x14ac:dyDescent="0.25">
      <c r="A3213" s="2"/>
      <c r="B3213" s="2"/>
      <c r="C3213" s="1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</row>
    <row r="3214" spans="1:23" x14ac:dyDescent="0.25">
      <c r="A3214" s="2"/>
      <c r="B3214" s="2"/>
      <c r="C3214" s="1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</row>
    <row r="3215" spans="1:23" x14ac:dyDescent="0.25">
      <c r="A3215" s="2"/>
      <c r="B3215" s="2"/>
      <c r="C3215" s="1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</row>
    <row r="3216" spans="1:23" x14ac:dyDescent="0.25">
      <c r="A3216" s="2"/>
      <c r="B3216" s="2"/>
      <c r="C3216" s="1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</row>
    <row r="3217" spans="1:23" x14ac:dyDescent="0.25">
      <c r="A3217" s="2"/>
      <c r="B3217" s="2"/>
      <c r="C3217" s="1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</row>
    <row r="3218" spans="1:23" x14ac:dyDescent="0.25">
      <c r="A3218" s="2"/>
      <c r="B3218" s="2"/>
      <c r="C3218" s="1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</row>
    <row r="3219" spans="1:23" x14ac:dyDescent="0.25">
      <c r="A3219" s="2"/>
      <c r="B3219" s="2"/>
      <c r="C3219" s="1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</row>
    <row r="3220" spans="1:23" x14ac:dyDescent="0.25">
      <c r="A3220" s="2"/>
      <c r="B3220" s="2"/>
      <c r="C3220" s="1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</row>
    <row r="3221" spans="1:23" x14ac:dyDescent="0.25">
      <c r="A3221" s="2"/>
      <c r="B3221" s="2"/>
      <c r="C3221" s="1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</row>
    <row r="3222" spans="1:23" x14ac:dyDescent="0.25">
      <c r="A3222" s="2"/>
      <c r="B3222" s="2"/>
      <c r="C3222" s="1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</row>
    <row r="3223" spans="1:23" x14ac:dyDescent="0.25">
      <c r="A3223" s="2"/>
      <c r="B3223" s="2"/>
      <c r="C3223" s="1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</row>
    <row r="3224" spans="1:23" x14ac:dyDescent="0.25">
      <c r="A3224" s="2"/>
      <c r="B3224" s="2"/>
      <c r="C3224" s="1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</row>
    <row r="3225" spans="1:23" x14ac:dyDescent="0.25">
      <c r="A3225" s="2"/>
      <c r="B3225" s="2"/>
      <c r="C3225" s="1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</row>
    <row r="3226" spans="1:23" x14ac:dyDescent="0.25">
      <c r="A3226" s="2"/>
      <c r="B3226" s="2"/>
      <c r="C3226" s="1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</row>
    <row r="3227" spans="1:23" x14ac:dyDescent="0.25">
      <c r="A3227" s="2"/>
      <c r="B3227" s="2"/>
      <c r="C3227" s="1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</row>
    <row r="3228" spans="1:23" x14ac:dyDescent="0.25">
      <c r="A3228" s="2"/>
      <c r="B3228" s="2"/>
      <c r="C3228" s="1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</row>
    <row r="3229" spans="1:23" x14ac:dyDescent="0.25">
      <c r="A3229" s="2"/>
      <c r="B3229" s="2"/>
      <c r="C3229" s="1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</row>
    <row r="3230" spans="1:23" x14ac:dyDescent="0.25">
      <c r="A3230" s="2"/>
      <c r="B3230" s="2"/>
      <c r="C3230" s="1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</row>
    <row r="3231" spans="1:23" x14ac:dyDescent="0.25">
      <c r="A3231" s="2"/>
      <c r="B3231" s="2"/>
      <c r="C3231" s="1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</row>
    <row r="3232" spans="1:23" x14ac:dyDescent="0.25">
      <c r="A3232" s="2"/>
      <c r="B3232" s="2"/>
      <c r="C3232" s="1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</row>
    <row r="3233" spans="1:23" x14ac:dyDescent="0.25">
      <c r="A3233" s="2"/>
      <c r="B3233" s="2"/>
      <c r="C3233" s="1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</row>
    <row r="3234" spans="1:23" x14ac:dyDescent="0.25">
      <c r="A3234" s="2"/>
      <c r="B3234" s="2"/>
      <c r="C3234" s="1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</row>
    <row r="3235" spans="1:23" x14ac:dyDescent="0.25">
      <c r="A3235" s="2"/>
      <c r="B3235" s="2"/>
      <c r="C3235" s="1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</row>
    <row r="3236" spans="1:23" x14ac:dyDescent="0.25">
      <c r="A3236" s="2"/>
      <c r="B3236" s="2"/>
      <c r="C3236" s="1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</row>
    <row r="3237" spans="1:23" x14ac:dyDescent="0.25">
      <c r="A3237" s="2"/>
      <c r="B3237" s="2"/>
      <c r="C3237" s="1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</row>
    <row r="3238" spans="1:23" x14ac:dyDescent="0.25">
      <c r="A3238" s="2"/>
      <c r="B3238" s="2"/>
      <c r="C3238" s="1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</row>
    <row r="3239" spans="1:23" x14ac:dyDescent="0.25">
      <c r="A3239" s="2"/>
      <c r="B3239" s="2"/>
      <c r="C3239" s="1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</row>
    <row r="3240" spans="1:23" x14ac:dyDescent="0.25">
      <c r="A3240" s="2"/>
      <c r="B3240" s="2"/>
      <c r="C3240" s="1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</row>
    <row r="3241" spans="1:23" x14ac:dyDescent="0.25">
      <c r="A3241" s="2"/>
      <c r="B3241" s="2"/>
      <c r="C3241" s="1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</row>
    <row r="3242" spans="1:23" x14ac:dyDescent="0.25">
      <c r="A3242" s="2"/>
      <c r="B3242" s="2"/>
      <c r="C3242" s="1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</row>
    <row r="3243" spans="1:23" x14ac:dyDescent="0.25">
      <c r="A3243" s="2"/>
      <c r="B3243" s="2"/>
      <c r="C3243" s="1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</row>
    <row r="3244" spans="1:23" x14ac:dyDescent="0.25">
      <c r="A3244" s="2"/>
      <c r="B3244" s="2"/>
      <c r="C3244" s="1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</row>
    <row r="3245" spans="1:23" x14ac:dyDescent="0.25">
      <c r="A3245" s="2"/>
      <c r="B3245" s="2"/>
      <c r="C3245" s="1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</row>
    <row r="3246" spans="1:23" x14ac:dyDescent="0.25">
      <c r="A3246" s="2"/>
      <c r="B3246" s="2"/>
      <c r="C3246" s="1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</row>
    <row r="3247" spans="1:23" x14ac:dyDescent="0.25">
      <c r="A3247" s="2"/>
      <c r="B3247" s="2"/>
      <c r="C3247" s="1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</row>
    <row r="3248" spans="1:23" x14ac:dyDescent="0.25">
      <c r="A3248" s="2"/>
      <c r="B3248" s="2"/>
      <c r="C3248" s="1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</row>
    <row r="3249" spans="1:23" x14ac:dyDescent="0.25">
      <c r="A3249" s="2"/>
      <c r="B3249" s="2"/>
      <c r="C3249" s="1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</row>
    <row r="3250" spans="1:23" x14ac:dyDescent="0.25">
      <c r="A3250" s="2"/>
      <c r="B3250" s="2"/>
      <c r="C3250" s="1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</row>
    <row r="3251" spans="1:23" x14ac:dyDescent="0.25">
      <c r="A3251" s="2"/>
      <c r="B3251" s="2"/>
      <c r="C3251" s="1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</row>
    <row r="3252" spans="1:23" x14ac:dyDescent="0.25">
      <c r="A3252" s="2"/>
      <c r="B3252" s="2"/>
      <c r="C3252" s="1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</row>
    <row r="3253" spans="1:23" x14ac:dyDescent="0.25">
      <c r="A3253" s="2"/>
      <c r="B3253" s="2"/>
      <c r="C3253" s="1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</row>
    <row r="3254" spans="1:23" x14ac:dyDescent="0.25">
      <c r="A3254" s="2"/>
      <c r="B3254" s="2"/>
      <c r="C3254" s="1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</row>
    <row r="3255" spans="1:23" x14ac:dyDescent="0.25">
      <c r="A3255" s="2"/>
      <c r="B3255" s="2"/>
      <c r="C3255" s="1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</row>
    <row r="3256" spans="1:23" x14ac:dyDescent="0.25">
      <c r="A3256" s="2"/>
      <c r="B3256" s="2"/>
      <c r="C3256" s="1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</row>
    <row r="3257" spans="1:23" x14ac:dyDescent="0.25">
      <c r="A3257" s="2"/>
      <c r="B3257" s="2"/>
      <c r="C3257" s="1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</row>
    <row r="3258" spans="1:23" x14ac:dyDescent="0.25">
      <c r="A3258" s="2"/>
      <c r="B3258" s="2"/>
      <c r="C3258" s="1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</row>
    <row r="3259" spans="1:23" x14ac:dyDescent="0.25">
      <c r="A3259" s="2"/>
      <c r="B3259" s="2"/>
      <c r="C3259" s="1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</row>
    <row r="3260" spans="1:23" x14ac:dyDescent="0.25">
      <c r="A3260" s="2"/>
      <c r="B3260" s="2"/>
      <c r="C3260" s="1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</row>
    <row r="3261" spans="1:23" x14ac:dyDescent="0.25">
      <c r="A3261" s="2"/>
      <c r="B3261" s="2"/>
      <c r="C3261" s="1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</row>
    <row r="3262" spans="1:23" x14ac:dyDescent="0.25">
      <c r="A3262" s="2"/>
      <c r="B3262" s="2"/>
      <c r="C3262" s="1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</row>
    <row r="3263" spans="1:23" x14ac:dyDescent="0.25">
      <c r="A3263" s="2"/>
      <c r="B3263" s="2"/>
      <c r="C3263" s="1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</row>
    <row r="3264" spans="1:23" x14ac:dyDescent="0.25">
      <c r="A3264" s="2"/>
      <c r="B3264" s="2"/>
      <c r="C3264" s="1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</row>
    <row r="3265" spans="1:23" x14ac:dyDescent="0.25">
      <c r="A3265" s="2"/>
      <c r="B3265" s="2"/>
      <c r="C3265" s="1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</row>
    <row r="3266" spans="1:23" x14ac:dyDescent="0.25">
      <c r="A3266" s="2"/>
      <c r="B3266" s="2"/>
      <c r="C3266" s="1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</row>
    <row r="3267" spans="1:23" x14ac:dyDescent="0.25">
      <c r="A3267" s="2"/>
      <c r="B3267" s="2"/>
      <c r="C3267" s="1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</row>
    <row r="3268" spans="1:23" x14ac:dyDescent="0.25">
      <c r="A3268" s="2"/>
      <c r="B3268" s="2"/>
      <c r="C3268" s="1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</row>
    <row r="3269" spans="1:23" x14ac:dyDescent="0.25">
      <c r="A3269" s="2"/>
      <c r="B3269" s="2"/>
      <c r="C3269" s="1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</row>
    <row r="3270" spans="1:23" x14ac:dyDescent="0.25">
      <c r="A3270" s="2"/>
      <c r="B3270" s="2"/>
      <c r="C3270" s="1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</row>
    <row r="3271" spans="1:23" x14ac:dyDescent="0.25">
      <c r="A3271" s="2"/>
      <c r="B3271" s="2"/>
      <c r="C3271" s="1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</row>
    <row r="3272" spans="1:23" x14ac:dyDescent="0.25">
      <c r="A3272" s="2"/>
      <c r="B3272" s="2"/>
      <c r="C3272" s="1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</row>
    <row r="3273" spans="1:23" x14ac:dyDescent="0.25">
      <c r="A3273" s="2"/>
      <c r="B3273" s="2"/>
      <c r="C3273" s="1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</row>
    <row r="3274" spans="1:23" x14ac:dyDescent="0.25">
      <c r="A3274" s="2"/>
      <c r="B3274" s="2"/>
      <c r="C3274" s="1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</row>
    <row r="3275" spans="1:23" x14ac:dyDescent="0.25">
      <c r="A3275" s="2"/>
      <c r="B3275" s="2"/>
      <c r="C3275" s="1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</row>
    <row r="3276" spans="1:23" x14ac:dyDescent="0.25">
      <c r="A3276" s="2"/>
      <c r="B3276" s="2"/>
      <c r="C3276" s="1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</row>
    <row r="3277" spans="1:23" x14ac:dyDescent="0.25">
      <c r="A3277" s="2"/>
      <c r="B3277" s="2"/>
      <c r="C3277" s="1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</row>
    <row r="3278" spans="1:23" x14ac:dyDescent="0.25">
      <c r="A3278" s="2"/>
      <c r="B3278" s="2"/>
      <c r="C3278" s="1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</row>
    <row r="3279" spans="1:23" x14ac:dyDescent="0.25">
      <c r="A3279" s="2"/>
      <c r="B3279" s="2"/>
      <c r="C3279" s="1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</row>
    <row r="3280" spans="1:23" x14ac:dyDescent="0.25">
      <c r="A3280" s="2"/>
      <c r="B3280" s="2"/>
      <c r="C3280" s="1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</row>
    <row r="3281" spans="1:23" x14ac:dyDescent="0.25">
      <c r="A3281" s="2"/>
      <c r="B3281" s="2"/>
      <c r="C3281" s="1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</row>
    <row r="3282" spans="1:23" x14ac:dyDescent="0.25">
      <c r="A3282" s="2"/>
      <c r="B3282" s="2"/>
      <c r="C3282" s="1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</row>
    <row r="3283" spans="1:23" x14ac:dyDescent="0.25">
      <c r="A3283" s="2"/>
      <c r="B3283" s="2"/>
      <c r="C3283" s="1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</row>
    <row r="3284" spans="1:23" x14ac:dyDescent="0.25">
      <c r="A3284" s="2"/>
      <c r="B3284" s="2"/>
      <c r="C3284" s="1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</row>
    <row r="3285" spans="1:23" x14ac:dyDescent="0.25">
      <c r="A3285" s="2"/>
      <c r="B3285" s="2"/>
      <c r="C3285" s="1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</row>
    <row r="3286" spans="1:23" x14ac:dyDescent="0.25">
      <c r="A3286" s="2"/>
      <c r="B3286" s="2"/>
      <c r="C3286" s="1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</row>
    <row r="3287" spans="1:23" x14ac:dyDescent="0.25">
      <c r="A3287" s="2"/>
      <c r="B3287" s="2"/>
      <c r="C3287" s="1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</row>
    <row r="3288" spans="1:23" x14ac:dyDescent="0.25">
      <c r="A3288" s="2"/>
      <c r="B3288" s="2"/>
      <c r="C3288" s="1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</row>
    <row r="3289" spans="1:23" x14ac:dyDescent="0.25">
      <c r="A3289" s="2"/>
      <c r="B3289" s="2"/>
      <c r="C3289" s="1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</row>
    <row r="3290" spans="1:23" x14ac:dyDescent="0.25">
      <c r="A3290" s="2"/>
      <c r="B3290" s="2"/>
      <c r="C3290" s="1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</row>
    <row r="3291" spans="1:23" x14ac:dyDescent="0.25">
      <c r="A3291" s="2"/>
      <c r="B3291" s="2"/>
      <c r="C3291" s="1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</row>
    <row r="3292" spans="1:23" x14ac:dyDescent="0.25">
      <c r="A3292" s="2"/>
      <c r="B3292" s="2"/>
      <c r="C3292" s="1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</row>
    <row r="3293" spans="1:23" x14ac:dyDescent="0.25">
      <c r="A3293" s="2"/>
      <c r="B3293" s="2"/>
      <c r="C3293" s="1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</row>
    <row r="3294" spans="1:23" x14ac:dyDescent="0.25">
      <c r="A3294" s="2"/>
      <c r="B3294" s="2"/>
      <c r="C3294" s="1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</row>
    <row r="3295" spans="1:23" x14ac:dyDescent="0.25">
      <c r="A3295" s="2"/>
      <c r="B3295" s="2"/>
      <c r="C3295" s="1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</row>
    <row r="3296" spans="1:23" x14ac:dyDescent="0.25">
      <c r="A3296" s="2"/>
      <c r="B3296" s="2"/>
      <c r="C3296" s="1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</row>
    <row r="3297" spans="1:23" x14ac:dyDescent="0.25">
      <c r="A3297" s="2"/>
      <c r="B3297" s="2"/>
      <c r="C3297" s="1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</row>
    <row r="3298" spans="1:23" x14ac:dyDescent="0.25">
      <c r="A3298" s="2"/>
      <c r="B3298" s="2"/>
      <c r="C3298" s="1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</row>
    <row r="3299" spans="1:23" x14ac:dyDescent="0.25">
      <c r="A3299" s="2"/>
      <c r="B3299" s="2"/>
      <c r="C3299" s="1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</row>
    <row r="3300" spans="1:23" x14ac:dyDescent="0.25">
      <c r="A3300" s="2"/>
      <c r="B3300" s="2"/>
      <c r="C3300" s="1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</row>
    <row r="3301" spans="1:23" x14ac:dyDescent="0.25">
      <c r="A3301" s="2"/>
      <c r="B3301" s="2"/>
      <c r="C3301" s="1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</row>
    <row r="3302" spans="1:23" x14ac:dyDescent="0.25">
      <c r="A3302" s="2"/>
      <c r="B3302" s="2"/>
      <c r="C3302" s="1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</row>
    <row r="3303" spans="1:23" x14ac:dyDescent="0.25">
      <c r="A3303" s="2"/>
      <c r="B3303" s="2"/>
      <c r="C3303" s="1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</row>
    <row r="3304" spans="1:23" x14ac:dyDescent="0.25">
      <c r="A3304" s="2"/>
      <c r="B3304" s="2"/>
      <c r="C3304" s="1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</row>
    <row r="3305" spans="1:23" x14ac:dyDescent="0.25">
      <c r="A3305" s="2"/>
      <c r="B3305" s="2"/>
      <c r="C3305" s="1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</row>
    <row r="3306" spans="1:23" x14ac:dyDescent="0.25">
      <c r="A3306" s="2"/>
      <c r="B3306" s="2"/>
      <c r="C3306" s="1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</row>
    <row r="3307" spans="1:23" x14ac:dyDescent="0.25">
      <c r="A3307" s="2"/>
      <c r="B3307" s="2"/>
      <c r="C3307" s="1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</row>
    <row r="3308" spans="1:23" x14ac:dyDescent="0.25">
      <c r="A3308" s="2"/>
      <c r="B3308" s="2"/>
      <c r="C3308" s="1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</row>
    <row r="3309" spans="1:23" x14ac:dyDescent="0.25">
      <c r="A3309" s="2"/>
      <c r="B3309" s="2"/>
      <c r="C3309" s="1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</row>
    <row r="3310" spans="1:23" x14ac:dyDescent="0.25">
      <c r="A3310" s="2"/>
      <c r="B3310" s="2"/>
      <c r="C3310" s="1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</row>
    <row r="3311" spans="1:23" x14ac:dyDescent="0.25">
      <c r="A3311" s="2"/>
      <c r="B3311" s="2"/>
      <c r="C3311" s="1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</row>
    <row r="3312" spans="1:23" x14ac:dyDescent="0.25">
      <c r="A3312" s="2"/>
      <c r="B3312" s="2"/>
      <c r="C3312" s="1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</row>
    <row r="3313" spans="1:23" x14ac:dyDescent="0.25">
      <c r="A3313" s="2"/>
      <c r="B3313" s="2"/>
      <c r="C3313" s="1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</row>
    <row r="3314" spans="1:23" x14ac:dyDescent="0.25">
      <c r="A3314" s="2"/>
      <c r="B3314" s="2"/>
      <c r="C3314" s="1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</row>
    <row r="3315" spans="1:23" x14ac:dyDescent="0.25">
      <c r="A3315" s="2"/>
      <c r="B3315" s="2"/>
      <c r="C3315" s="1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</row>
    <row r="3316" spans="1:23" x14ac:dyDescent="0.25">
      <c r="A3316" s="2"/>
      <c r="B3316" s="2"/>
      <c r="C3316" s="1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</row>
    <row r="3317" spans="1:23" x14ac:dyDescent="0.25">
      <c r="A3317" s="2"/>
      <c r="B3317" s="2"/>
      <c r="C3317" s="1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</row>
    <row r="3318" spans="1:23" x14ac:dyDescent="0.25">
      <c r="A3318" s="2"/>
      <c r="B3318" s="2"/>
      <c r="C3318" s="1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</row>
    <row r="3319" spans="1:23" x14ac:dyDescent="0.25">
      <c r="A3319" s="2"/>
      <c r="B3319" s="2"/>
      <c r="C3319" s="1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</row>
    <row r="3320" spans="1:23" x14ac:dyDescent="0.25">
      <c r="A3320" s="2"/>
      <c r="B3320" s="2"/>
      <c r="C3320" s="1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</row>
    <row r="3321" spans="1:23" x14ac:dyDescent="0.25">
      <c r="A3321" s="2"/>
      <c r="B3321" s="2"/>
      <c r="C3321" s="1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</row>
    <row r="3322" spans="1:23" x14ac:dyDescent="0.25">
      <c r="A3322" s="2"/>
      <c r="B3322" s="2"/>
      <c r="C3322" s="1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</row>
    <row r="3323" spans="1:23" x14ac:dyDescent="0.25">
      <c r="A3323" s="2"/>
      <c r="B3323" s="2"/>
      <c r="C3323" s="1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</row>
    <row r="3324" spans="1:23" x14ac:dyDescent="0.25">
      <c r="A3324" s="2"/>
      <c r="B3324" s="2"/>
      <c r="C3324" s="1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</row>
    <row r="3325" spans="1:23" x14ac:dyDescent="0.25">
      <c r="A3325" s="2"/>
      <c r="B3325" s="2"/>
      <c r="C3325" s="1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</row>
    <row r="3326" spans="1:23" x14ac:dyDescent="0.25">
      <c r="A3326" s="2"/>
      <c r="B3326" s="2"/>
      <c r="C3326" s="1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</row>
    <row r="3327" spans="1:23" x14ac:dyDescent="0.25">
      <c r="A3327" s="2"/>
      <c r="B3327" s="2"/>
      <c r="C3327" s="1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</row>
    <row r="3328" spans="1:23" x14ac:dyDescent="0.25">
      <c r="A3328" s="2"/>
      <c r="B3328" s="2"/>
      <c r="C3328" s="1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</row>
    <row r="3329" spans="1:23" x14ac:dyDescent="0.25">
      <c r="A3329" s="2"/>
      <c r="B3329" s="2"/>
      <c r="C3329" s="1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</row>
    <row r="3330" spans="1:23" x14ac:dyDescent="0.25">
      <c r="A3330" s="2"/>
      <c r="B3330" s="2"/>
      <c r="C3330" s="1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</row>
    <row r="3331" spans="1:23" x14ac:dyDescent="0.25">
      <c r="A3331" s="2"/>
      <c r="B3331" s="2"/>
      <c r="C3331" s="1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</row>
    <row r="3332" spans="1:23" x14ac:dyDescent="0.25">
      <c r="A3332" s="2"/>
      <c r="B3332" s="2"/>
      <c r="C3332" s="1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</row>
    <row r="3333" spans="1:23" x14ac:dyDescent="0.25">
      <c r="A3333" s="2"/>
      <c r="B3333" s="2"/>
      <c r="C3333" s="1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</row>
    <row r="3334" spans="1:23" x14ac:dyDescent="0.25">
      <c r="A3334" s="2"/>
      <c r="B3334" s="2"/>
      <c r="C3334" s="1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</row>
    <row r="3335" spans="1:23" x14ac:dyDescent="0.25">
      <c r="A3335" s="2"/>
      <c r="B3335" s="2"/>
      <c r="C3335" s="1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</row>
    <row r="3336" spans="1:23" x14ac:dyDescent="0.25">
      <c r="A3336" s="2"/>
      <c r="B3336" s="2"/>
      <c r="C3336" s="1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</row>
    <row r="3337" spans="1:23" x14ac:dyDescent="0.25">
      <c r="A3337" s="2"/>
      <c r="B3337" s="2"/>
      <c r="C3337" s="1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</row>
    <row r="3338" spans="1:23" x14ac:dyDescent="0.25">
      <c r="A3338" s="2"/>
      <c r="B3338" s="2"/>
      <c r="C3338" s="1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</row>
    <row r="3339" spans="1:23" x14ac:dyDescent="0.25">
      <c r="A3339" s="2"/>
      <c r="B3339" s="2"/>
      <c r="C3339" s="1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</row>
    <row r="3340" spans="1:23" x14ac:dyDescent="0.25">
      <c r="A3340" s="2"/>
      <c r="B3340" s="2"/>
      <c r="C3340" s="1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</row>
    <row r="3341" spans="1:23" x14ac:dyDescent="0.25">
      <c r="A3341" s="2"/>
      <c r="B3341" s="2"/>
      <c r="C3341" s="1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</row>
    <row r="3342" spans="1:23" x14ac:dyDescent="0.25">
      <c r="A3342" s="2"/>
      <c r="B3342" s="2"/>
      <c r="C3342" s="1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</row>
    <row r="3343" spans="1:23" x14ac:dyDescent="0.25">
      <c r="A3343" s="2"/>
      <c r="B3343" s="2"/>
      <c r="C3343" s="1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</row>
    <row r="3344" spans="1:23" x14ac:dyDescent="0.25">
      <c r="A3344" s="2"/>
      <c r="B3344" s="2"/>
      <c r="C3344" s="1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</row>
    <row r="3345" spans="1:23" x14ac:dyDescent="0.25">
      <c r="A3345" s="2"/>
      <c r="B3345" s="2"/>
      <c r="C3345" s="1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</row>
    <row r="3346" spans="1:23" x14ac:dyDescent="0.25">
      <c r="A3346" s="2"/>
      <c r="B3346" s="2"/>
      <c r="C3346" s="1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</row>
    <row r="3347" spans="1:23" x14ac:dyDescent="0.25">
      <c r="A3347" s="2"/>
      <c r="B3347" s="2"/>
      <c r="C3347" s="1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</row>
    <row r="3348" spans="1:23" x14ac:dyDescent="0.25">
      <c r="A3348" s="2"/>
      <c r="B3348" s="2"/>
      <c r="C3348" s="1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</row>
    <row r="3349" spans="1:23" x14ac:dyDescent="0.25">
      <c r="A3349" s="2"/>
      <c r="B3349" s="2"/>
      <c r="C3349" s="1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</row>
    <row r="3350" spans="1:23" x14ac:dyDescent="0.25">
      <c r="A3350" s="2"/>
      <c r="B3350" s="2"/>
      <c r="C3350" s="1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</row>
    <row r="3351" spans="1:23" x14ac:dyDescent="0.25">
      <c r="A3351" s="2"/>
      <c r="B3351" s="2"/>
      <c r="C3351" s="1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</row>
    <row r="3352" spans="1:23" x14ac:dyDescent="0.25">
      <c r="A3352" s="2"/>
      <c r="B3352" s="2"/>
      <c r="C3352" s="1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</row>
    <row r="3353" spans="1:23" x14ac:dyDescent="0.25">
      <c r="A3353" s="2"/>
      <c r="B3353" s="2"/>
      <c r="C3353" s="1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</row>
    <row r="3354" spans="1:23" x14ac:dyDescent="0.25">
      <c r="A3354" s="2"/>
      <c r="B3354" s="2"/>
      <c r="C3354" s="1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</row>
    <row r="3355" spans="1:23" x14ac:dyDescent="0.25">
      <c r="A3355" s="2"/>
      <c r="B3355" s="2"/>
      <c r="C3355" s="1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</row>
    <row r="3356" spans="1:23" x14ac:dyDescent="0.25">
      <c r="A3356" s="2"/>
      <c r="B3356" s="2"/>
      <c r="C3356" s="1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</row>
    <row r="3357" spans="1:23" x14ac:dyDescent="0.25">
      <c r="A3357" s="2"/>
      <c r="B3357" s="2"/>
      <c r="C3357" s="1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</row>
    <row r="3358" spans="1:23" x14ac:dyDescent="0.25">
      <c r="A3358" s="2"/>
      <c r="B3358" s="2"/>
      <c r="C3358" s="1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</row>
    <row r="3359" spans="1:23" x14ac:dyDescent="0.25">
      <c r="A3359" s="2"/>
      <c r="B3359" s="2"/>
      <c r="C3359" s="1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</row>
    <row r="3360" spans="1:23" x14ac:dyDescent="0.25">
      <c r="A3360" s="2"/>
      <c r="B3360" s="2"/>
      <c r="C3360" s="1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</row>
    <row r="3361" spans="1:23" x14ac:dyDescent="0.25">
      <c r="A3361" s="2"/>
      <c r="B3361" s="2"/>
      <c r="C3361" s="1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</row>
    <row r="3362" spans="1:23" x14ac:dyDescent="0.25">
      <c r="A3362" s="2"/>
      <c r="B3362" s="2"/>
      <c r="C3362" s="1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</row>
    <row r="3363" spans="1:23" x14ac:dyDescent="0.25">
      <c r="A3363" s="2"/>
      <c r="B3363" s="2"/>
      <c r="C3363" s="1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</row>
    <row r="3364" spans="1:23" x14ac:dyDescent="0.25">
      <c r="A3364" s="2"/>
      <c r="B3364" s="2"/>
      <c r="C3364" s="1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</row>
    <row r="3365" spans="1:23" x14ac:dyDescent="0.25">
      <c r="A3365" s="2"/>
      <c r="B3365" s="2"/>
      <c r="C3365" s="1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</row>
    <row r="3366" spans="1:23" x14ac:dyDescent="0.25">
      <c r="A3366" s="2"/>
      <c r="B3366" s="2"/>
      <c r="C3366" s="1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</row>
    <row r="3367" spans="1:23" x14ac:dyDescent="0.25">
      <c r="A3367" s="2"/>
      <c r="B3367" s="2"/>
      <c r="C3367" s="1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</row>
    <row r="3368" spans="1:23" x14ac:dyDescent="0.25">
      <c r="A3368" s="2"/>
      <c r="B3368" s="2"/>
      <c r="C3368" s="1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</row>
    <row r="3369" spans="1:23" x14ac:dyDescent="0.25">
      <c r="A3369" s="2"/>
      <c r="B3369" s="2"/>
      <c r="C3369" s="1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</row>
    <row r="3370" spans="1:23" x14ac:dyDescent="0.25">
      <c r="A3370" s="2"/>
      <c r="B3370" s="2"/>
      <c r="C3370" s="1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</row>
    <row r="3371" spans="1:23" x14ac:dyDescent="0.25">
      <c r="A3371" s="2"/>
      <c r="B3371" s="2"/>
      <c r="C3371" s="1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</row>
    <row r="3372" spans="1:23" x14ac:dyDescent="0.25">
      <c r="A3372" s="2"/>
      <c r="B3372" s="2"/>
      <c r="C3372" s="1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</row>
    <row r="3373" spans="1:23" x14ac:dyDescent="0.25">
      <c r="A3373" s="2"/>
      <c r="B3373" s="2"/>
      <c r="C3373" s="1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</row>
    <row r="3374" spans="1:23" x14ac:dyDescent="0.25">
      <c r="A3374" s="2"/>
      <c r="B3374" s="2"/>
      <c r="C3374" s="1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</row>
    <row r="3375" spans="1:23" x14ac:dyDescent="0.25">
      <c r="A3375" s="2"/>
      <c r="B3375" s="2"/>
      <c r="C3375" s="1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</row>
    <row r="3376" spans="1:23" x14ac:dyDescent="0.25">
      <c r="A3376" s="2"/>
      <c r="B3376" s="2"/>
      <c r="C3376" s="1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</row>
    <row r="3377" spans="1:23" x14ac:dyDescent="0.25">
      <c r="A3377" s="2"/>
      <c r="B3377" s="2"/>
      <c r="C3377" s="1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</row>
    <row r="3378" spans="1:23" x14ac:dyDescent="0.25">
      <c r="A3378" s="2"/>
      <c r="B3378" s="2"/>
      <c r="C3378" s="1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</row>
    <row r="3379" spans="1:23" x14ac:dyDescent="0.25">
      <c r="A3379" s="2"/>
      <c r="B3379" s="2"/>
      <c r="C3379" s="1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</row>
    <row r="3380" spans="1:23" x14ac:dyDescent="0.25">
      <c r="A3380" s="2"/>
      <c r="B3380" s="2"/>
      <c r="C3380" s="1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</row>
    <row r="3381" spans="1:23" x14ac:dyDescent="0.25">
      <c r="A3381" s="2"/>
      <c r="B3381" s="2"/>
      <c r="C3381" s="1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</row>
    <row r="3382" spans="1:23" x14ac:dyDescent="0.25">
      <c r="A3382" s="2"/>
      <c r="B3382" s="2"/>
      <c r="C3382" s="1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</row>
    <row r="3383" spans="1:23" x14ac:dyDescent="0.25">
      <c r="A3383" s="2"/>
      <c r="B3383" s="2"/>
      <c r="C3383" s="1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</row>
    <row r="3384" spans="1:23" x14ac:dyDescent="0.25">
      <c r="A3384" s="2"/>
      <c r="B3384" s="2"/>
      <c r="C3384" s="1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</row>
    <row r="3385" spans="1:23" x14ac:dyDescent="0.25">
      <c r="A3385" s="2"/>
      <c r="B3385" s="2"/>
      <c r="C3385" s="1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</row>
    <row r="3386" spans="1:23" x14ac:dyDescent="0.25">
      <c r="A3386" s="2"/>
      <c r="B3386" s="2"/>
      <c r="C3386" s="1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</row>
    <row r="3387" spans="1:23" x14ac:dyDescent="0.25">
      <c r="A3387" s="2"/>
      <c r="B3387" s="2"/>
      <c r="C3387" s="1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</row>
    <row r="3388" spans="1:23" x14ac:dyDescent="0.25">
      <c r="A3388" s="2"/>
      <c r="B3388" s="2"/>
      <c r="C3388" s="1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</row>
    <row r="3389" spans="1:23" x14ac:dyDescent="0.25">
      <c r="A3389" s="2"/>
      <c r="B3389" s="2"/>
      <c r="C3389" s="1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</row>
    <row r="3390" spans="1:23" x14ac:dyDescent="0.25">
      <c r="A3390" s="2"/>
      <c r="B3390" s="2"/>
      <c r="C3390" s="1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</row>
    <row r="3391" spans="1:23" x14ac:dyDescent="0.25">
      <c r="A3391" s="2"/>
      <c r="B3391" s="2"/>
      <c r="C3391" s="1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</row>
    <row r="3392" spans="1:23" x14ac:dyDescent="0.25">
      <c r="A3392" s="2"/>
      <c r="B3392" s="2"/>
      <c r="C3392" s="1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</row>
    <row r="3393" spans="1:23" x14ac:dyDescent="0.25">
      <c r="A3393" s="2"/>
      <c r="B3393" s="2"/>
      <c r="C3393" s="1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</row>
    <row r="3394" spans="1:23" x14ac:dyDescent="0.25">
      <c r="A3394" s="2"/>
      <c r="B3394" s="2"/>
      <c r="C3394" s="1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</row>
    <row r="3395" spans="1:23" x14ac:dyDescent="0.25">
      <c r="A3395" s="2"/>
      <c r="B3395" s="2"/>
      <c r="C3395" s="1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</row>
    <row r="3396" spans="1:23" x14ac:dyDescent="0.25">
      <c r="A3396" s="2"/>
      <c r="B3396" s="2"/>
      <c r="C3396" s="1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</row>
    <row r="3397" spans="1:23" x14ac:dyDescent="0.25">
      <c r="A3397" s="2"/>
      <c r="B3397" s="2"/>
      <c r="C3397" s="1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</row>
    <row r="3398" spans="1:23" x14ac:dyDescent="0.25">
      <c r="A3398" s="2"/>
      <c r="B3398" s="2"/>
      <c r="C3398" s="1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</row>
    <row r="3399" spans="1:23" x14ac:dyDescent="0.25">
      <c r="A3399" s="2"/>
      <c r="B3399" s="2"/>
      <c r="C3399" s="1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</row>
    <row r="3400" spans="1:23" x14ac:dyDescent="0.25">
      <c r="A3400" s="2"/>
      <c r="B3400" s="2"/>
      <c r="C3400" s="1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</row>
    <row r="3401" spans="1:23" x14ac:dyDescent="0.25">
      <c r="A3401" s="2"/>
      <c r="B3401" s="2"/>
      <c r="C3401" s="1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</row>
    <row r="3402" spans="1:23" x14ac:dyDescent="0.25">
      <c r="A3402" s="2"/>
      <c r="B3402" s="2"/>
      <c r="C3402" s="1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</row>
    <row r="3403" spans="1:23" x14ac:dyDescent="0.25">
      <c r="A3403" s="2"/>
      <c r="B3403" s="2"/>
      <c r="C3403" s="1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</row>
    <row r="3404" spans="1:23" x14ac:dyDescent="0.25">
      <c r="A3404" s="2"/>
      <c r="B3404" s="2"/>
      <c r="C3404" s="1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</row>
    <row r="3405" spans="1:23" x14ac:dyDescent="0.25">
      <c r="A3405" s="2"/>
      <c r="B3405" s="2"/>
      <c r="C3405" s="1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</row>
    <row r="3406" spans="1:23" x14ac:dyDescent="0.25">
      <c r="A3406" s="2"/>
      <c r="B3406" s="2"/>
      <c r="C3406" s="1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</row>
    <row r="3407" spans="1:23" x14ac:dyDescent="0.25">
      <c r="A3407" s="2"/>
      <c r="B3407" s="2"/>
      <c r="C3407" s="1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</row>
    <row r="3408" spans="1:23" x14ac:dyDescent="0.25">
      <c r="A3408" s="2"/>
      <c r="B3408" s="2"/>
      <c r="C3408" s="1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</row>
    <row r="3409" spans="1:23" x14ac:dyDescent="0.25">
      <c r="A3409" s="2"/>
      <c r="B3409" s="2"/>
      <c r="C3409" s="1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</row>
    <row r="3410" spans="1:23" x14ac:dyDescent="0.25">
      <c r="A3410" s="2"/>
      <c r="B3410" s="2"/>
      <c r="C3410" s="1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</row>
    <row r="3411" spans="1:23" x14ac:dyDescent="0.25">
      <c r="A3411" s="2"/>
      <c r="B3411" s="2"/>
      <c r="C3411" s="1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</row>
    <row r="3412" spans="1:23" x14ac:dyDescent="0.25">
      <c r="A3412" s="2"/>
      <c r="B3412" s="2"/>
      <c r="C3412" s="1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</row>
    <row r="3413" spans="1:23" x14ac:dyDescent="0.25">
      <c r="A3413" s="2"/>
      <c r="B3413" s="2"/>
      <c r="C3413" s="1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</row>
    <row r="3414" spans="1:23" x14ac:dyDescent="0.25">
      <c r="A3414" s="2"/>
      <c r="B3414" s="2"/>
      <c r="C3414" s="1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</row>
    <row r="3415" spans="1:23" x14ac:dyDescent="0.25">
      <c r="A3415" s="2"/>
      <c r="B3415" s="2"/>
      <c r="C3415" s="1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</row>
    <row r="3416" spans="1:23" x14ac:dyDescent="0.25">
      <c r="A3416" s="2"/>
      <c r="B3416" s="2"/>
      <c r="C3416" s="1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</row>
    <row r="3417" spans="1:23" x14ac:dyDescent="0.25">
      <c r="A3417" s="2"/>
      <c r="B3417" s="2"/>
      <c r="C3417" s="1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</row>
    <row r="3418" spans="1:23" x14ac:dyDescent="0.25">
      <c r="A3418" s="2"/>
      <c r="B3418" s="2"/>
      <c r="C3418" s="1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</row>
    <row r="3419" spans="1:23" x14ac:dyDescent="0.25">
      <c r="A3419" s="2"/>
      <c r="B3419" s="2"/>
      <c r="C3419" s="1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</row>
    <row r="3420" spans="1:23" x14ac:dyDescent="0.25">
      <c r="A3420" s="2"/>
      <c r="B3420" s="2"/>
      <c r="C3420" s="1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</row>
    <row r="3421" spans="1:23" x14ac:dyDescent="0.25">
      <c r="A3421" s="2"/>
      <c r="B3421" s="2"/>
      <c r="C3421" s="1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</row>
    <row r="3422" spans="1:23" x14ac:dyDescent="0.25">
      <c r="A3422" s="2"/>
      <c r="B3422" s="2"/>
      <c r="C3422" s="1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</row>
    <row r="3423" spans="1:23" x14ac:dyDescent="0.25">
      <c r="A3423" s="2"/>
      <c r="B3423" s="2"/>
      <c r="C3423" s="1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</row>
    <row r="3424" spans="1:23" x14ac:dyDescent="0.25">
      <c r="A3424" s="2"/>
      <c r="B3424" s="2"/>
      <c r="C3424" s="1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</row>
    <row r="3425" spans="1:23" x14ac:dyDescent="0.25">
      <c r="A3425" s="2"/>
      <c r="B3425" s="2"/>
      <c r="C3425" s="1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</row>
    <row r="3426" spans="1:23" x14ac:dyDescent="0.25">
      <c r="A3426" s="2"/>
      <c r="B3426" s="2"/>
      <c r="C3426" s="1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</row>
    <row r="3427" spans="1:23" x14ac:dyDescent="0.25">
      <c r="A3427" s="2"/>
      <c r="B3427" s="2"/>
      <c r="C3427" s="1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</row>
    <row r="3428" spans="1:23" x14ac:dyDescent="0.25">
      <c r="A3428" s="2"/>
      <c r="B3428" s="2"/>
      <c r="C3428" s="1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</row>
    <row r="3429" spans="1:23" x14ac:dyDescent="0.25">
      <c r="A3429" s="2"/>
      <c r="B3429" s="2"/>
      <c r="C3429" s="1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</row>
    <row r="3430" spans="1:23" x14ac:dyDescent="0.25">
      <c r="A3430" s="2"/>
      <c r="B3430" s="2"/>
      <c r="C3430" s="1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</row>
    <row r="3431" spans="1:23" x14ac:dyDescent="0.25">
      <c r="A3431" s="2"/>
      <c r="B3431" s="2"/>
      <c r="C3431" s="1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</row>
    <row r="3432" spans="1:23" x14ac:dyDescent="0.25">
      <c r="A3432" s="2"/>
      <c r="B3432" s="2"/>
      <c r="C3432" s="1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</row>
    <row r="3433" spans="1:23" x14ac:dyDescent="0.25">
      <c r="A3433" s="2"/>
      <c r="B3433" s="2"/>
      <c r="C3433" s="1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</row>
    <row r="3434" spans="1:23" x14ac:dyDescent="0.25">
      <c r="A3434" s="2"/>
      <c r="B3434" s="2"/>
      <c r="C3434" s="1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</row>
    <row r="3435" spans="1:23" x14ac:dyDescent="0.25">
      <c r="A3435" s="2"/>
      <c r="B3435" s="2"/>
      <c r="C3435" s="1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</row>
    <row r="3436" spans="1:23" x14ac:dyDescent="0.25">
      <c r="A3436" s="2"/>
      <c r="B3436" s="2"/>
      <c r="C3436" s="1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</row>
    <row r="3437" spans="1:23" x14ac:dyDescent="0.25">
      <c r="A3437" s="2"/>
      <c r="B3437" s="2"/>
      <c r="C3437" s="1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</row>
    <row r="3438" spans="1:23" x14ac:dyDescent="0.25">
      <c r="A3438" s="2"/>
      <c r="B3438" s="2"/>
      <c r="C3438" s="1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</row>
    <row r="3439" spans="1:23" x14ac:dyDescent="0.25">
      <c r="A3439" s="2"/>
      <c r="B3439" s="2"/>
      <c r="C3439" s="1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</row>
    <row r="3440" spans="1:23" x14ac:dyDescent="0.25">
      <c r="A3440" s="2"/>
      <c r="B3440" s="2"/>
      <c r="C3440" s="1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</row>
    <row r="3441" spans="1:23" x14ac:dyDescent="0.25">
      <c r="A3441" s="2"/>
      <c r="B3441" s="2"/>
      <c r="C3441" s="1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</row>
    <row r="3442" spans="1:23" x14ac:dyDescent="0.25">
      <c r="A3442" s="2"/>
      <c r="B3442" s="2"/>
      <c r="C3442" s="1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</row>
    <row r="3443" spans="1:23" x14ac:dyDescent="0.25">
      <c r="A3443" s="2"/>
      <c r="B3443" s="2"/>
      <c r="C3443" s="1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</row>
    <row r="3444" spans="1:23" x14ac:dyDescent="0.25">
      <c r="A3444" s="2"/>
      <c r="B3444" s="2"/>
      <c r="C3444" s="1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</row>
    <row r="3445" spans="1:23" x14ac:dyDescent="0.25">
      <c r="A3445" s="2"/>
      <c r="B3445" s="2"/>
      <c r="C3445" s="1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</row>
    <row r="3446" spans="1:23" x14ac:dyDescent="0.25">
      <c r="A3446" s="2"/>
      <c r="B3446" s="2"/>
      <c r="C3446" s="1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</row>
    <row r="3447" spans="1:23" x14ac:dyDescent="0.25">
      <c r="A3447" s="2"/>
      <c r="B3447" s="2"/>
      <c r="C3447" s="1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</row>
    <row r="3448" spans="1:23" x14ac:dyDescent="0.25">
      <c r="A3448" s="2"/>
      <c r="B3448" s="2"/>
      <c r="C3448" s="1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</row>
    <row r="3449" spans="1:23" x14ac:dyDescent="0.25">
      <c r="A3449" s="2"/>
      <c r="B3449" s="2"/>
      <c r="C3449" s="1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</row>
    <row r="3450" spans="1:23" x14ac:dyDescent="0.25">
      <c r="A3450" s="2"/>
      <c r="B3450" s="2"/>
      <c r="C3450" s="1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</row>
    <row r="3451" spans="1:23" x14ac:dyDescent="0.25">
      <c r="A3451" s="2"/>
      <c r="B3451" s="2"/>
      <c r="C3451" s="1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</row>
    <row r="3452" spans="1:23" x14ac:dyDescent="0.25">
      <c r="A3452" s="2"/>
      <c r="B3452" s="2"/>
      <c r="C3452" s="1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</row>
    <row r="3453" spans="1:23" x14ac:dyDescent="0.25">
      <c r="A3453" s="2"/>
      <c r="B3453" s="2"/>
      <c r="C3453" s="1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</row>
    <row r="3454" spans="1:23" x14ac:dyDescent="0.25">
      <c r="A3454" s="2"/>
      <c r="B3454" s="2"/>
      <c r="C3454" s="1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</row>
    <row r="3455" spans="1:23" x14ac:dyDescent="0.25">
      <c r="A3455" s="2"/>
      <c r="B3455" s="2"/>
      <c r="C3455" s="1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</row>
    <row r="3456" spans="1:23" x14ac:dyDescent="0.25">
      <c r="A3456" s="2"/>
      <c r="B3456" s="2"/>
      <c r="C3456" s="1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</row>
    <row r="3457" spans="1:23" x14ac:dyDescent="0.25">
      <c r="A3457" s="2"/>
      <c r="B3457" s="2"/>
      <c r="C3457" s="1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</row>
    <row r="3458" spans="1:23" x14ac:dyDescent="0.25">
      <c r="A3458" s="2"/>
      <c r="B3458" s="2"/>
      <c r="C3458" s="1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</row>
    <row r="3459" spans="1:23" x14ac:dyDescent="0.25">
      <c r="A3459" s="2"/>
      <c r="B3459" s="2"/>
      <c r="C3459" s="1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</row>
    <row r="3460" spans="1:23" x14ac:dyDescent="0.25">
      <c r="A3460" s="2"/>
      <c r="B3460" s="2"/>
      <c r="C3460" s="1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</row>
    <row r="3461" spans="1:23" x14ac:dyDescent="0.25">
      <c r="A3461" s="2"/>
      <c r="B3461" s="2"/>
      <c r="C3461" s="1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</row>
    <row r="3462" spans="1:23" x14ac:dyDescent="0.25">
      <c r="A3462" s="2"/>
      <c r="B3462" s="2"/>
      <c r="C3462" s="1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</row>
    <row r="3463" spans="1:23" x14ac:dyDescent="0.25">
      <c r="A3463" s="2"/>
      <c r="B3463" s="2"/>
      <c r="C3463" s="1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</row>
    <row r="3464" spans="1:23" x14ac:dyDescent="0.25">
      <c r="A3464" s="2"/>
      <c r="B3464" s="2"/>
      <c r="C3464" s="1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</row>
    <row r="3465" spans="1:23" x14ac:dyDescent="0.25">
      <c r="A3465" s="2"/>
      <c r="B3465" s="2"/>
      <c r="C3465" s="1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</row>
    <row r="3466" spans="1:23" x14ac:dyDescent="0.25">
      <c r="A3466" s="2"/>
      <c r="B3466" s="2"/>
      <c r="C3466" s="1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</row>
    <row r="3467" spans="1:23" x14ac:dyDescent="0.25">
      <c r="A3467" s="2"/>
      <c r="B3467" s="2"/>
      <c r="C3467" s="1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</row>
    <row r="3468" spans="1:23" x14ac:dyDescent="0.25">
      <c r="A3468" s="2"/>
      <c r="B3468" s="2"/>
      <c r="C3468" s="1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</row>
    <row r="3469" spans="1:23" x14ac:dyDescent="0.25">
      <c r="A3469" s="2"/>
      <c r="B3469" s="2"/>
      <c r="C3469" s="1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</row>
    <row r="3470" spans="1:23" x14ac:dyDescent="0.25">
      <c r="A3470" s="2"/>
      <c r="B3470" s="2"/>
      <c r="C3470" s="1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</row>
    <row r="3471" spans="1:23" x14ac:dyDescent="0.25">
      <c r="A3471" s="2"/>
      <c r="B3471" s="2"/>
      <c r="C3471" s="1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</row>
    <row r="3472" spans="1:23" x14ac:dyDescent="0.25">
      <c r="A3472" s="2"/>
      <c r="B3472" s="2"/>
      <c r="C3472" s="1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</row>
    <row r="3473" spans="1:23" x14ac:dyDescent="0.25">
      <c r="A3473" s="2"/>
      <c r="B3473" s="2"/>
      <c r="C3473" s="1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</row>
    <row r="3474" spans="1:23" x14ac:dyDescent="0.25">
      <c r="A3474" s="2"/>
      <c r="B3474" s="2"/>
      <c r="C3474" s="1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</row>
    <row r="3475" spans="1:23" x14ac:dyDescent="0.25">
      <c r="A3475" s="2"/>
      <c r="B3475" s="2"/>
      <c r="C3475" s="1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</row>
    <row r="3476" spans="1:23" x14ac:dyDescent="0.25">
      <c r="A3476" s="2"/>
      <c r="B3476" s="2"/>
      <c r="C3476" s="1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</row>
    <row r="3477" spans="1:23" x14ac:dyDescent="0.25">
      <c r="A3477" s="2"/>
      <c r="B3477" s="2"/>
      <c r="C3477" s="1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</row>
    <row r="3478" spans="1:23" x14ac:dyDescent="0.25">
      <c r="A3478" s="2"/>
      <c r="B3478" s="2"/>
      <c r="C3478" s="1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</row>
    <row r="3479" spans="1:23" x14ac:dyDescent="0.25">
      <c r="A3479" s="2"/>
      <c r="B3479" s="2"/>
      <c r="C3479" s="1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</row>
    <row r="3480" spans="1:23" x14ac:dyDescent="0.25">
      <c r="A3480" s="2"/>
      <c r="B3480" s="2"/>
      <c r="C3480" s="1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</row>
    <row r="3481" spans="1:23" x14ac:dyDescent="0.25">
      <c r="A3481" s="2"/>
      <c r="B3481" s="2"/>
      <c r="C3481" s="1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</row>
    <row r="3482" spans="1:23" x14ac:dyDescent="0.25">
      <c r="A3482" s="2"/>
      <c r="B3482" s="2"/>
      <c r="C3482" s="1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</row>
    <row r="3483" spans="1:23" x14ac:dyDescent="0.25">
      <c r="A3483" s="2"/>
      <c r="B3483" s="2"/>
      <c r="C3483" s="1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</row>
    <row r="3484" spans="1:23" x14ac:dyDescent="0.25">
      <c r="A3484" s="2"/>
      <c r="B3484" s="2"/>
      <c r="C3484" s="1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</row>
    <row r="3485" spans="1:23" x14ac:dyDescent="0.25">
      <c r="A3485" s="2"/>
      <c r="B3485" s="2"/>
      <c r="C3485" s="1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</row>
    <row r="3486" spans="1:23" x14ac:dyDescent="0.25">
      <c r="A3486" s="2"/>
      <c r="B3486" s="2"/>
      <c r="C3486" s="1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</row>
    <row r="3487" spans="1:23" x14ac:dyDescent="0.25">
      <c r="A3487" s="2"/>
      <c r="B3487" s="2"/>
      <c r="C3487" s="1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</row>
    <row r="3488" spans="1:23" x14ac:dyDescent="0.25">
      <c r="A3488" s="2"/>
      <c r="B3488" s="2"/>
      <c r="C3488" s="1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</row>
    <row r="3489" spans="1:23" x14ac:dyDescent="0.25">
      <c r="A3489" s="2"/>
      <c r="B3489" s="2"/>
      <c r="C3489" s="1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</row>
    <row r="3490" spans="1:23" x14ac:dyDescent="0.25">
      <c r="A3490" s="2"/>
      <c r="B3490" s="2"/>
      <c r="C3490" s="1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</row>
    <row r="3491" spans="1:23" x14ac:dyDescent="0.25">
      <c r="A3491" s="2"/>
      <c r="B3491" s="2"/>
      <c r="C3491" s="1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</row>
    <row r="3492" spans="1:23" x14ac:dyDescent="0.25">
      <c r="A3492" s="2"/>
      <c r="B3492" s="2"/>
      <c r="C3492" s="1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</row>
    <row r="3493" spans="1:23" x14ac:dyDescent="0.25">
      <c r="A3493" s="2"/>
      <c r="B3493" s="2"/>
      <c r="C3493" s="1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</row>
    <row r="3494" spans="1:23" x14ac:dyDescent="0.25">
      <c r="A3494" s="2"/>
      <c r="B3494" s="2"/>
      <c r="C3494" s="1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</row>
    <row r="3495" spans="1:23" x14ac:dyDescent="0.25">
      <c r="A3495" s="2"/>
      <c r="B3495" s="2"/>
      <c r="C3495" s="1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</row>
    <row r="3496" spans="1:23" x14ac:dyDescent="0.25">
      <c r="A3496" s="2"/>
      <c r="B3496" s="2"/>
      <c r="C3496" s="1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</row>
    <row r="3497" spans="1:23" x14ac:dyDescent="0.25">
      <c r="A3497" s="2"/>
      <c r="B3497" s="2"/>
      <c r="C3497" s="1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</row>
    <row r="3498" spans="1:23" x14ac:dyDescent="0.25">
      <c r="A3498" s="2"/>
      <c r="B3498" s="2"/>
      <c r="C3498" s="1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</row>
    <row r="3499" spans="1:23" x14ac:dyDescent="0.25">
      <c r="A3499" s="2"/>
      <c r="B3499" s="2"/>
      <c r="C3499" s="1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</row>
    <row r="3500" spans="1:23" x14ac:dyDescent="0.25">
      <c r="A3500" s="2"/>
      <c r="B3500" s="2"/>
      <c r="C3500" s="1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</row>
    <row r="3501" spans="1:23" x14ac:dyDescent="0.25">
      <c r="A3501" s="2"/>
      <c r="B3501" s="2"/>
      <c r="C3501" s="1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</row>
    <row r="3502" spans="1:23" x14ac:dyDescent="0.25">
      <c r="A3502" s="2"/>
      <c r="B3502" s="2"/>
      <c r="C3502" s="1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</row>
    <row r="3503" spans="1:23" x14ac:dyDescent="0.25">
      <c r="A3503" s="2"/>
      <c r="B3503" s="2"/>
      <c r="C3503" s="1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</row>
    <row r="3504" spans="1:23" x14ac:dyDescent="0.25">
      <c r="A3504" s="2"/>
      <c r="B3504" s="2"/>
      <c r="C3504" s="1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</row>
    <row r="3505" spans="1:23" x14ac:dyDescent="0.25">
      <c r="A3505" s="2"/>
      <c r="B3505" s="2"/>
      <c r="C3505" s="1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</row>
    <row r="3506" spans="1:23" x14ac:dyDescent="0.25">
      <c r="A3506" s="2"/>
      <c r="B3506" s="2"/>
      <c r="C3506" s="1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</row>
    <row r="3507" spans="1:23" x14ac:dyDescent="0.25">
      <c r="A3507" s="2"/>
      <c r="B3507" s="2"/>
      <c r="C3507" s="1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</row>
    <row r="3508" spans="1:23" x14ac:dyDescent="0.25">
      <c r="A3508" s="2"/>
      <c r="B3508" s="2"/>
      <c r="C3508" s="1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</row>
    <row r="3509" spans="1:23" x14ac:dyDescent="0.25">
      <c r="A3509" s="2"/>
      <c r="B3509" s="2"/>
      <c r="C3509" s="1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</row>
    <row r="3510" spans="1:23" x14ac:dyDescent="0.25">
      <c r="A3510" s="2"/>
      <c r="B3510" s="2"/>
      <c r="C3510" s="1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</row>
    <row r="3511" spans="1:23" x14ac:dyDescent="0.25">
      <c r="A3511" s="2"/>
      <c r="B3511" s="2"/>
      <c r="C3511" s="1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</row>
    <row r="3512" spans="1:23" x14ac:dyDescent="0.25">
      <c r="A3512" s="2"/>
      <c r="B3512" s="2"/>
      <c r="C3512" s="1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</row>
    <row r="3513" spans="1:23" x14ac:dyDescent="0.25">
      <c r="A3513" s="2"/>
      <c r="B3513" s="2"/>
      <c r="C3513" s="1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</row>
    <row r="3514" spans="1:23" x14ac:dyDescent="0.25">
      <c r="A3514" s="2"/>
      <c r="B3514" s="2"/>
      <c r="C3514" s="1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</row>
    <row r="3515" spans="1:23" x14ac:dyDescent="0.25">
      <c r="A3515" s="2"/>
      <c r="B3515" s="2"/>
      <c r="C3515" s="1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</row>
    <row r="3516" spans="1:23" x14ac:dyDescent="0.25">
      <c r="A3516" s="2"/>
      <c r="B3516" s="2"/>
      <c r="C3516" s="1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</row>
    <row r="3517" spans="1:23" x14ac:dyDescent="0.25">
      <c r="A3517" s="2"/>
      <c r="B3517" s="2"/>
      <c r="C3517" s="1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</row>
    <row r="3518" spans="1:23" x14ac:dyDescent="0.25">
      <c r="A3518" s="2"/>
      <c r="B3518" s="2"/>
      <c r="C3518" s="1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</row>
    <row r="3519" spans="1:23" x14ac:dyDescent="0.25">
      <c r="A3519" s="2"/>
      <c r="B3519" s="2"/>
      <c r="C3519" s="1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</row>
    <row r="3520" spans="1:23" x14ac:dyDescent="0.25">
      <c r="A3520" s="2"/>
      <c r="B3520" s="2"/>
      <c r="C3520" s="1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</row>
    <row r="3521" spans="1:23" x14ac:dyDescent="0.25">
      <c r="A3521" s="2"/>
      <c r="B3521" s="2"/>
      <c r="C3521" s="1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</row>
    <row r="3522" spans="1:23" x14ac:dyDescent="0.25">
      <c r="A3522" s="2"/>
      <c r="B3522" s="2"/>
      <c r="C3522" s="1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</row>
    <row r="3523" spans="1:23" x14ac:dyDescent="0.25">
      <c r="A3523" s="2"/>
      <c r="B3523" s="2"/>
      <c r="C3523" s="1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</row>
    <row r="3524" spans="1:23" x14ac:dyDescent="0.25">
      <c r="A3524" s="2"/>
      <c r="B3524" s="2"/>
      <c r="C3524" s="1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</row>
    <row r="3525" spans="1:23" x14ac:dyDescent="0.25">
      <c r="A3525" s="2"/>
      <c r="B3525" s="2"/>
      <c r="C3525" s="1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</row>
    <row r="3526" spans="1:23" x14ac:dyDescent="0.25">
      <c r="A3526" s="2"/>
      <c r="B3526" s="2"/>
      <c r="C3526" s="1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</row>
    <row r="3527" spans="1:23" x14ac:dyDescent="0.25">
      <c r="A3527" s="2"/>
      <c r="B3527" s="2"/>
      <c r="C3527" s="1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</row>
    <row r="3528" spans="1:23" x14ac:dyDescent="0.25">
      <c r="A3528" s="2"/>
      <c r="B3528" s="2"/>
      <c r="C3528" s="1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</row>
    <row r="3529" spans="1:23" x14ac:dyDescent="0.25">
      <c r="A3529" s="2"/>
      <c r="B3529" s="2"/>
      <c r="C3529" s="1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</row>
    <row r="3530" spans="1:23" x14ac:dyDescent="0.25">
      <c r="A3530" s="2"/>
      <c r="B3530" s="2"/>
      <c r="C3530" s="1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</row>
    <row r="3531" spans="1:23" x14ac:dyDescent="0.25">
      <c r="A3531" s="2"/>
      <c r="B3531" s="2"/>
      <c r="C3531" s="1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</row>
    <row r="3532" spans="1:23" x14ac:dyDescent="0.25">
      <c r="A3532" s="2"/>
      <c r="B3532" s="2"/>
      <c r="C3532" s="1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</row>
    <row r="3533" spans="1:23" x14ac:dyDescent="0.25">
      <c r="A3533" s="2"/>
      <c r="B3533" s="2"/>
      <c r="C3533" s="1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</row>
    <row r="3534" spans="1:23" x14ac:dyDescent="0.25">
      <c r="A3534" s="2"/>
      <c r="B3534" s="2"/>
      <c r="C3534" s="1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</row>
    <row r="3535" spans="1:23" x14ac:dyDescent="0.25">
      <c r="A3535" s="2"/>
      <c r="B3535" s="2"/>
      <c r="C3535" s="1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</row>
    <row r="3536" spans="1:23" x14ac:dyDescent="0.25">
      <c r="A3536" s="2"/>
      <c r="B3536" s="2"/>
      <c r="C3536" s="1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</row>
    <row r="3537" spans="1:23" x14ac:dyDescent="0.25">
      <c r="A3537" s="2"/>
      <c r="B3537" s="2"/>
      <c r="C3537" s="1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</row>
    <row r="3538" spans="1:23" x14ac:dyDescent="0.25">
      <c r="A3538" s="2"/>
      <c r="B3538" s="2"/>
      <c r="C3538" s="1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</row>
    <row r="3539" spans="1:23" x14ac:dyDescent="0.25">
      <c r="A3539" s="2"/>
      <c r="B3539" s="2"/>
      <c r="C3539" s="1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</row>
    <row r="3540" spans="1:23" x14ac:dyDescent="0.25">
      <c r="A3540" s="2"/>
      <c r="B3540" s="2"/>
      <c r="C3540" s="1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</row>
    <row r="3541" spans="1:23" x14ac:dyDescent="0.25">
      <c r="A3541" s="2"/>
      <c r="B3541" s="2"/>
      <c r="C3541" s="1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</row>
    <row r="3542" spans="1:23" x14ac:dyDescent="0.25">
      <c r="A3542" s="2"/>
      <c r="B3542" s="2"/>
      <c r="C3542" s="1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</row>
    <row r="3543" spans="1:23" x14ac:dyDescent="0.25">
      <c r="A3543" s="2"/>
      <c r="B3543" s="2"/>
      <c r="C3543" s="1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</row>
    <row r="3544" spans="1:23" x14ac:dyDescent="0.25">
      <c r="A3544" s="2"/>
      <c r="B3544" s="2"/>
      <c r="C3544" s="1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</row>
    <row r="3545" spans="1:23" x14ac:dyDescent="0.25">
      <c r="A3545" s="2"/>
      <c r="B3545" s="2"/>
      <c r="C3545" s="1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</row>
    <row r="3546" spans="1:23" x14ac:dyDescent="0.25">
      <c r="A3546" s="2"/>
      <c r="B3546" s="2"/>
      <c r="C3546" s="1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</row>
    <row r="3547" spans="1:23" x14ac:dyDescent="0.25">
      <c r="A3547" s="2"/>
      <c r="B3547" s="2"/>
      <c r="C3547" s="1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</row>
    <row r="3548" spans="1:23" x14ac:dyDescent="0.25">
      <c r="A3548" s="2"/>
      <c r="B3548" s="2"/>
      <c r="C3548" s="1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</row>
    <row r="3549" spans="1:23" x14ac:dyDescent="0.25">
      <c r="A3549" s="2"/>
      <c r="B3549" s="2"/>
      <c r="C3549" s="1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</row>
    <row r="3550" spans="1:23" x14ac:dyDescent="0.25">
      <c r="A3550" s="2"/>
      <c r="B3550" s="2"/>
      <c r="C3550" s="1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</row>
    <row r="3551" spans="1:23" x14ac:dyDescent="0.25">
      <c r="A3551" s="2"/>
      <c r="B3551" s="2"/>
      <c r="C3551" s="1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</row>
    <row r="3552" spans="1:23" x14ac:dyDescent="0.25">
      <c r="A3552" s="2"/>
      <c r="B3552" s="2"/>
      <c r="C3552" s="1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</row>
    <row r="3553" spans="1:23" x14ac:dyDescent="0.25">
      <c r="A3553" s="2"/>
      <c r="B3553" s="2"/>
      <c r="C3553" s="1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</row>
    <row r="3554" spans="1:23" x14ac:dyDescent="0.25">
      <c r="A3554" s="2"/>
      <c r="B3554" s="2"/>
      <c r="C3554" s="1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</row>
    <row r="3555" spans="1:23" x14ac:dyDescent="0.25">
      <c r="A3555" s="2"/>
      <c r="B3555" s="2"/>
      <c r="C3555" s="1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</row>
    <row r="3556" spans="1:23" x14ac:dyDescent="0.25">
      <c r="A3556" s="2"/>
      <c r="B3556" s="2"/>
      <c r="C3556" s="1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</row>
    <row r="3557" spans="1:23" x14ac:dyDescent="0.25">
      <c r="A3557" s="2"/>
      <c r="B3557" s="2"/>
      <c r="C3557" s="1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</row>
    <row r="3558" spans="1:23" x14ac:dyDescent="0.25">
      <c r="A3558" s="2"/>
      <c r="B3558" s="2"/>
      <c r="C3558" s="1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</row>
    <row r="3559" spans="1:23" x14ac:dyDescent="0.25">
      <c r="A3559" s="2"/>
      <c r="B3559" s="2"/>
      <c r="C3559" s="1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</row>
    <row r="3560" spans="1:23" x14ac:dyDescent="0.25">
      <c r="A3560" s="2"/>
      <c r="B3560" s="2"/>
      <c r="C3560" s="1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</row>
    <row r="3561" spans="1:23" x14ac:dyDescent="0.25">
      <c r="A3561" s="2"/>
      <c r="B3561" s="2"/>
      <c r="C3561" s="1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</row>
    <row r="3562" spans="1:23" x14ac:dyDescent="0.25">
      <c r="A3562" s="2"/>
      <c r="B3562" s="2"/>
      <c r="C3562" s="1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</row>
    <row r="3563" spans="1:23" x14ac:dyDescent="0.25">
      <c r="A3563" s="2"/>
      <c r="B3563" s="2"/>
      <c r="C3563" s="1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</row>
    <row r="3564" spans="1:23" x14ac:dyDescent="0.25">
      <c r="A3564" s="2"/>
      <c r="B3564" s="2"/>
      <c r="C3564" s="1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</row>
    <row r="3565" spans="1:23" x14ac:dyDescent="0.25">
      <c r="A3565" s="2"/>
      <c r="B3565" s="2"/>
      <c r="C3565" s="1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</row>
    <row r="3566" spans="1:23" x14ac:dyDescent="0.25">
      <c r="A3566" s="2"/>
      <c r="B3566" s="2"/>
      <c r="C3566" s="1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</row>
    <row r="3567" spans="1:23" x14ac:dyDescent="0.25">
      <c r="A3567" s="2"/>
      <c r="B3567" s="2"/>
      <c r="C3567" s="1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</row>
    <row r="3568" spans="1:23" x14ac:dyDescent="0.25">
      <c r="A3568" s="2"/>
      <c r="B3568" s="2"/>
      <c r="C3568" s="1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</row>
    <row r="3569" spans="1:23" x14ac:dyDescent="0.25">
      <c r="A3569" s="2"/>
      <c r="B3569" s="2"/>
      <c r="C3569" s="1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</row>
    <row r="3570" spans="1:23" x14ac:dyDescent="0.25">
      <c r="A3570" s="2"/>
      <c r="B3570" s="2"/>
      <c r="C3570" s="1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</row>
    <row r="3571" spans="1:23" x14ac:dyDescent="0.25">
      <c r="A3571" s="2"/>
      <c r="B3571" s="2"/>
      <c r="C3571" s="1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</row>
    <row r="3572" spans="1:23" x14ac:dyDescent="0.25">
      <c r="A3572" s="2"/>
      <c r="B3572" s="2"/>
      <c r="C3572" s="1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</row>
    <row r="3573" spans="1:23" x14ac:dyDescent="0.25">
      <c r="A3573" s="2"/>
      <c r="B3573" s="2"/>
      <c r="C3573" s="1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</row>
    <row r="3574" spans="1:23" x14ac:dyDescent="0.25">
      <c r="A3574" s="2"/>
      <c r="B3574" s="2"/>
      <c r="C3574" s="1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</row>
    <row r="3575" spans="1:23" x14ac:dyDescent="0.25">
      <c r="A3575" s="2"/>
      <c r="B3575" s="2"/>
      <c r="C3575" s="1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</row>
    <row r="3576" spans="1:23" x14ac:dyDescent="0.25">
      <c r="A3576" s="2"/>
      <c r="B3576" s="2"/>
      <c r="C3576" s="1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</row>
    <row r="3577" spans="1:23" x14ac:dyDescent="0.25">
      <c r="A3577" s="2"/>
      <c r="B3577" s="2"/>
      <c r="C3577" s="1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</row>
    <row r="3578" spans="1:23" x14ac:dyDescent="0.25">
      <c r="A3578" s="2"/>
      <c r="B3578" s="2"/>
      <c r="C3578" s="1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</row>
    <row r="3579" spans="1:23" x14ac:dyDescent="0.25">
      <c r="A3579" s="2"/>
      <c r="B3579" s="2"/>
      <c r="C3579" s="1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</row>
    <row r="3580" spans="1:23" x14ac:dyDescent="0.25">
      <c r="A3580" s="2"/>
      <c r="B3580" s="2"/>
      <c r="C3580" s="1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</row>
    <row r="3581" spans="1:23" x14ac:dyDescent="0.25">
      <c r="A3581" s="2"/>
      <c r="B3581" s="2"/>
      <c r="C3581" s="1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</row>
    <row r="3582" spans="1:23" x14ac:dyDescent="0.25">
      <c r="A3582" s="2"/>
      <c r="B3582" s="2"/>
      <c r="C3582" s="1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</row>
    <row r="3583" spans="1:23" x14ac:dyDescent="0.25">
      <c r="A3583" s="2"/>
      <c r="B3583" s="2"/>
      <c r="C3583" s="1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</row>
    <row r="3584" spans="1:23" x14ac:dyDescent="0.25">
      <c r="A3584" s="2"/>
      <c r="B3584" s="2"/>
      <c r="C3584" s="1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</row>
    <row r="3585" spans="1:23" x14ac:dyDescent="0.25">
      <c r="A3585" s="2"/>
      <c r="B3585" s="2"/>
      <c r="C3585" s="1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</row>
    <row r="3586" spans="1:23" x14ac:dyDescent="0.25">
      <c r="A3586" s="2"/>
      <c r="B3586" s="2"/>
      <c r="C3586" s="1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</row>
    <row r="3587" spans="1:23" x14ac:dyDescent="0.25">
      <c r="A3587" s="2"/>
      <c r="B3587" s="2"/>
      <c r="C3587" s="1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</row>
    <row r="3588" spans="1:23" x14ac:dyDescent="0.25">
      <c r="A3588" s="2"/>
      <c r="B3588" s="2"/>
      <c r="C3588" s="1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</row>
    <row r="3589" spans="1:23" x14ac:dyDescent="0.25">
      <c r="A3589" s="2"/>
      <c r="B3589" s="2"/>
      <c r="C3589" s="1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</row>
    <row r="3590" spans="1:23" x14ac:dyDescent="0.25">
      <c r="A3590" s="2"/>
      <c r="B3590" s="2"/>
      <c r="C3590" s="1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</row>
    <row r="3591" spans="1:23" x14ac:dyDescent="0.25">
      <c r="A3591" s="2"/>
      <c r="B3591" s="2"/>
      <c r="C3591" s="1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</row>
    <row r="3592" spans="1:23" x14ac:dyDescent="0.25">
      <c r="A3592" s="2"/>
      <c r="B3592" s="2"/>
      <c r="C3592" s="1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</row>
    <row r="3593" spans="1:23" x14ac:dyDescent="0.25">
      <c r="A3593" s="2"/>
      <c r="B3593" s="2"/>
      <c r="C3593" s="1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</row>
    <row r="3594" spans="1:23" x14ac:dyDescent="0.25">
      <c r="A3594" s="2"/>
      <c r="B3594" s="2"/>
      <c r="C3594" s="1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</row>
    <row r="3595" spans="1:23" x14ac:dyDescent="0.25">
      <c r="A3595" s="2"/>
      <c r="B3595" s="2"/>
      <c r="C3595" s="1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</row>
    <row r="3596" spans="1:23" x14ac:dyDescent="0.25">
      <c r="A3596" s="2"/>
      <c r="B3596" s="2"/>
      <c r="C3596" s="1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</row>
    <row r="3597" spans="1:23" x14ac:dyDescent="0.25">
      <c r="A3597" s="2"/>
      <c r="B3597" s="2"/>
      <c r="C3597" s="1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</row>
    <row r="3598" spans="1:23" x14ac:dyDescent="0.25">
      <c r="A3598" s="2"/>
      <c r="B3598" s="2"/>
      <c r="C3598" s="1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</row>
    <row r="3599" spans="1:23" x14ac:dyDescent="0.25">
      <c r="A3599" s="2"/>
      <c r="B3599" s="2"/>
      <c r="C3599" s="1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</row>
    <row r="3600" spans="1:23" x14ac:dyDescent="0.25">
      <c r="A3600" s="2"/>
      <c r="B3600" s="2"/>
      <c r="C3600" s="1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</row>
    <row r="3601" spans="1:23" x14ac:dyDescent="0.25">
      <c r="A3601" s="2"/>
      <c r="B3601" s="2"/>
      <c r="C3601" s="1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</row>
    <row r="3602" spans="1:23" x14ac:dyDescent="0.25">
      <c r="A3602" s="2"/>
      <c r="B3602" s="2"/>
      <c r="C3602" s="1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</row>
    <row r="3603" spans="1:23" x14ac:dyDescent="0.25">
      <c r="A3603" s="2"/>
      <c r="B3603" s="2"/>
      <c r="C3603" s="1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</row>
    <row r="3604" spans="1:23" x14ac:dyDescent="0.25">
      <c r="A3604" s="2"/>
      <c r="B3604" s="2"/>
      <c r="C3604" s="1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</row>
    <row r="3605" spans="1:23" x14ac:dyDescent="0.25">
      <c r="A3605" s="2"/>
      <c r="B3605" s="2"/>
      <c r="C3605" s="1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</row>
    <row r="3606" spans="1:23" x14ac:dyDescent="0.25">
      <c r="A3606" s="2"/>
      <c r="B3606" s="2"/>
      <c r="C3606" s="1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</row>
    <row r="3607" spans="1:23" x14ac:dyDescent="0.25">
      <c r="A3607" s="2"/>
      <c r="B3607" s="2"/>
      <c r="C3607" s="1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</row>
    <row r="3608" spans="1:23" x14ac:dyDescent="0.25">
      <c r="A3608" s="2"/>
      <c r="B3608" s="2"/>
      <c r="C3608" s="1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</row>
    <row r="3609" spans="1:23" x14ac:dyDescent="0.25">
      <c r="A3609" s="2"/>
      <c r="B3609" s="2"/>
      <c r="C3609" s="1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</row>
    <row r="3610" spans="1:23" x14ac:dyDescent="0.25">
      <c r="A3610" s="2"/>
      <c r="B3610" s="2"/>
      <c r="C3610" s="1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</row>
    <row r="3611" spans="1:23" x14ac:dyDescent="0.25">
      <c r="A3611" s="2"/>
      <c r="B3611" s="2"/>
      <c r="C3611" s="1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</row>
    <row r="3612" spans="1:23" x14ac:dyDescent="0.25">
      <c r="A3612" s="2"/>
      <c r="B3612" s="2"/>
      <c r="C3612" s="1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</row>
    <row r="3613" spans="1:23" x14ac:dyDescent="0.25">
      <c r="A3613" s="2"/>
      <c r="B3613" s="2"/>
      <c r="C3613" s="1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</row>
    <row r="3614" spans="1:23" x14ac:dyDescent="0.25">
      <c r="A3614" s="2"/>
      <c r="B3614" s="2"/>
      <c r="C3614" s="1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</row>
    <row r="3615" spans="1:23" x14ac:dyDescent="0.25">
      <c r="A3615" s="2"/>
      <c r="B3615" s="2"/>
      <c r="C3615" s="1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</row>
    <row r="3616" spans="1:23" x14ac:dyDescent="0.25">
      <c r="A3616" s="2"/>
      <c r="B3616" s="2"/>
      <c r="C3616" s="1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</row>
    <row r="3617" spans="1:23" x14ac:dyDescent="0.25">
      <c r="A3617" s="2"/>
      <c r="B3617" s="2"/>
      <c r="C3617" s="1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</row>
    <row r="3618" spans="1:23" x14ac:dyDescent="0.25">
      <c r="A3618" s="2"/>
      <c r="B3618" s="2"/>
      <c r="C3618" s="1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</row>
    <row r="3619" spans="1:23" x14ac:dyDescent="0.25">
      <c r="A3619" s="2"/>
      <c r="B3619" s="2"/>
      <c r="C3619" s="1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</row>
    <row r="3620" spans="1:23" x14ac:dyDescent="0.25">
      <c r="A3620" s="2"/>
      <c r="B3620" s="2"/>
      <c r="C3620" s="1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</row>
    <row r="3621" spans="1:23" x14ac:dyDescent="0.25">
      <c r="A3621" s="2"/>
      <c r="B3621" s="2"/>
      <c r="C3621" s="1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</row>
    <row r="3622" spans="1:23" x14ac:dyDescent="0.25">
      <c r="A3622" s="2"/>
      <c r="B3622" s="2"/>
      <c r="C3622" s="1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</row>
    <row r="3623" spans="1:23" x14ac:dyDescent="0.25">
      <c r="A3623" s="2"/>
      <c r="B3623" s="2"/>
      <c r="C3623" s="1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</row>
    <row r="3624" spans="1:23" x14ac:dyDescent="0.25">
      <c r="A3624" s="2"/>
      <c r="B3624" s="2"/>
      <c r="C3624" s="1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</row>
    <row r="3625" spans="1:23" x14ac:dyDescent="0.25">
      <c r="A3625" s="2"/>
      <c r="B3625" s="2"/>
      <c r="C3625" s="1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</row>
    <row r="3626" spans="1:23" x14ac:dyDescent="0.25">
      <c r="A3626" s="2"/>
      <c r="B3626" s="2"/>
      <c r="C3626" s="1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</row>
    <row r="3627" spans="1:23" x14ac:dyDescent="0.25">
      <c r="A3627" s="2"/>
      <c r="B3627" s="2"/>
      <c r="C3627" s="1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</row>
    <row r="3628" spans="1:23" x14ac:dyDescent="0.25">
      <c r="A3628" s="2"/>
      <c r="B3628" s="2"/>
      <c r="C3628" s="1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</row>
    <row r="3629" spans="1:23" x14ac:dyDescent="0.25">
      <c r="A3629" s="2"/>
      <c r="B3629" s="2"/>
      <c r="C3629" s="1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</row>
    <row r="3630" spans="1:23" x14ac:dyDescent="0.25">
      <c r="A3630" s="2"/>
      <c r="B3630" s="2"/>
      <c r="C3630" s="1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</row>
    <row r="3631" spans="1:23" x14ac:dyDescent="0.25">
      <c r="A3631" s="2"/>
      <c r="B3631" s="2"/>
      <c r="C3631" s="1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</row>
    <row r="3632" spans="1:23" x14ac:dyDescent="0.25">
      <c r="A3632" s="2"/>
      <c r="B3632" s="2"/>
      <c r="C3632" s="1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</row>
    <row r="3633" spans="1:23" x14ac:dyDescent="0.25">
      <c r="A3633" s="2"/>
      <c r="B3633" s="2"/>
      <c r="C3633" s="1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</row>
    <row r="3634" spans="1:23" x14ac:dyDescent="0.25">
      <c r="A3634" s="2"/>
      <c r="B3634" s="2"/>
      <c r="C3634" s="1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</row>
    <row r="3635" spans="1:23" x14ac:dyDescent="0.25">
      <c r="A3635" s="2"/>
      <c r="B3635" s="2"/>
      <c r="C3635" s="1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</row>
    <row r="3636" spans="1:23" x14ac:dyDescent="0.25">
      <c r="A3636" s="2"/>
      <c r="B3636" s="2"/>
      <c r="C3636" s="1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</row>
    <row r="3637" spans="1:23" x14ac:dyDescent="0.25">
      <c r="A3637" s="2"/>
      <c r="B3637" s="2"/>
      <c r="C3637" s="1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</row>
    <row r="3638" spans="1:23" x14ac:dyDescent="0.25">
      <c r="A3638" s="2"/>
      <c r="B3638" s="2"/>
      <c r="C3638" s="1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</row>
    <row r="3639" spans="1:23" x14ac:dyDescent="0.25">
      <c r="A3639" s="2"/>
      <c r="B3639" s="2"/>
      <c r="C3639" s="1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</row>
    <row r="3640" spans="1:23" x14ac:dyDescent="0.25">
      <c r="A3640" s="2"/>
      <c r="B3640" s="2"/>
      <c r="C3640" s="1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</row>
    <row r="3641" spans="1:23" x14ac:dyDescent="0.25">
      <c r="A3641" s="2"/>
      <c r="B3641" s="2"/>
      <c r="C3641" s="1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</row>
    <row r="3642" spans="1:23" x14ac:dyDescent="0.25">
      <c r="A3642" s="2"/>
      <c r="B3642" s="2"/>
      <c r="C3642" s="1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</row>
    <row r="3643" spans="1:23" x14ac:dyDescent="0.25">
      <c r="A3643" s="2"/>
      <c r="B3643" s="2"/>
      <c r="C3643" s="1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</row>
    <row r="3644" spans="1:23" x14ac:dyDescent="0.25">
      <c r="A3644" s="2"/>
      <c r="B3644" s="2"/>
      <c r="C3644" s="1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</row>
    <row r="3645" spans="1:23" x14ac:dyDescent="0.25">
      <c r="A3645" s="2"/>
      <c r="B3645" s="2"/>
      <c r="C3645" s="1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</row>
    <row r="3646" spans="1:23" x14ac:dyDescent="0.25">
      <c r="A3646" s="2"/>
      <c r="B3646" s="2"/>
      <c r="C3646" s="1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</row>
    <row r="3647" spans="1:23" x14ac:dyDescent="0.25">
      <c r="A3647" s="2"/>
      <c r="B3647" s="2"/>
      <c r="C3647" s="1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</row>
    <row r="3648" spans="1:23" x14ac:dyDescent="0.25">
      <c r="A3648" s="2"/>
      <c r="B3648" s="2"/>
      <c r="C3648" s="1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</row>
    <row r="3649" spans="1:23" x14ac:dyDescent="0.25">
      <c r="A3649" s="2"/>
      <c r="B3649" s="2"/>
      <c r="C3649" s="1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</row>
    <row r="3650" spans="1:23" x14ac:dyDescent="0.25">
      <c r="A3650" s="2"/>
      <c r="B3650" s="2"/>
      <c r="C3650" s="1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</row>
    <row r="3651" spans="1:23" x14ac:dyDescent="0.25">
      <c r="A3651" s="2"/>
      <c r="B3651" s="2"/>
      <c r="C3651" s="1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</row>
    <row r="3652" spans="1:23" x14ac:dyDescent="0.25">
      <c r="A3652" s="2"/>
      <c r="B3652" s="2"/>
      <c r="C3652" s="1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</row>
    <row r="3653" spans="1:23" x14ac:dyDescent="0.25">
      <c r="A3653" s="2"/>
      <c r="B3653" s="2"/>
      <c r="C3653" s="1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</row>
    <row r="3654" spans="1:23" x14ac:dyDescent="0.25">
      <c r="A3654" s="2"/>
      <c r="B3654" s="2"/>
      <c r="C3654" s="1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</row>
    <row r="3655" spans="1:23" x14ac:dyDescent="0.25">
      <c r="A3655" s="2"/>
      <c r="B3655" s="2"/>
      <c r="C3655" s="1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</row>
    <row r="3656" spans="1:23" x14ac:dyDescent="0.25">
      <c r="A3656" s="2"/>
      <c r="B3656" s="2"/>
      <c r="C3656" s="1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</row>
    <row r="3657" spans="1:23" x14ac:dyDescent="0.25">
      <c r="A3657" s="2"/>
      <c r="B3657" s="2"/>
      <c r="C3657" s="1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</row>
    <row r="3658" spans="1:23" x14ac:dyDescent="0.25">
      <c r="A3658" s="2"/>
      <c r="B3658" s="2"/>
      <c r="C3658" s="1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</row>
    <row r="3659" spans="1:23" x14ac:dyDescent="0.25">
      <c r="A3659" s="2"/>
      <c r="B3659" s="2"/>
      <c r="C3659" s="1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</row>
    <row r="3660" spans="1:23" x14ac:dyDescent="0.25">
      <c r="A3660" s="2"/>
      <c r="B3660" s="2"/>
      <c r="C3660" s="1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</row>
    <row r="3661" spans="1:23" x14ac:dyDescent="0.25">
      <c r="A3661" s="2"/>
      <c r="B3661" s="2"/>
      <c r="C3661" s="1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</row>
    <row r="3662" spans="1:23" x14ac:dyDescent="0.25">
      <c r="A3662" s="2"/>
      <c r="B3662" s="2"/>
      <c r="C3662" s="1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</row>
    <row r="3663" spans="1:23" x14ac:dyDescent="0.25">
      <c r="A3663" s="2"/>
      <c r="B3663" s="2"/>
      <c r="C3663" s="1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</row>
    <row r="3664" spans="1:23" x14ac:dyDescent="0.25">
      <c r="A3664" s="2"/>
      <c r="B3664" s="2"/>
      <c r="C3664" s="1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</row>
    <row r="3665" spans="1:23" x14ac:dyDescent="0.25">
      <c r="A3665" s="2"/>
      <c r="B3665" s="2"/>
      <c r="C3665" s="1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</row>
    <row r="3666" spans="1:23" x14ac:dyDescent="0.25">
      <c r="A3666" s="2"/>
      <c r="B3666" s="2"/>
      <c r="C3666" s="1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</row>
    <row r="3667" spans="1:23" x14ac:dyDescent="0.25">
      <c r="A3667" s="2"/>
      <c r="B3667" s="2"/>
      <c r="C3667" s="1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</row>
    <row r="3668" spans="1:23" x14ac:dyDescent="0.25">
      <c r="A3668" s="2"/>
      <c r="B3668" s="2"/>
      <c r="C3668" s="1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</row>
    <row r="3669" spans="1:23" x14ac:dyDescent="0.25">
      <c r="A3669" s="2"/>
      <c r="B3669" s="2"/>
      <c r="C3669" s="1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</row>
    <row r="3670" spans="1:23" x14ac:dyDescent="0.25">
      <c r="A3670" s="2"/>
      <c r="B3670" s="2"/>
      <c r="C3670" s="1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</row>
    <row r="3671" spans="1:23" x14ac:dyDescent="0.25">
      <c r="A3671" s="2"/>
      <c r="B3671" s="2"/>
      <c r="C3671" s="1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</row>
    <row r="3672" spans="1:23" x14ac:dyDescent="0.25">
      <c r="A3672" s="2"/>
      <c r="B3672" s="2"/>
      <c r="C3672" s="1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</row>
    <row r="3673" spans="1:23" x14ac:dyDescent="0.25">
      <c r="A3673" s="2"/>
      <c r="B3673" s="2"/>
      <c r="C3673" s="1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</row>
    <row r="3674" spans="1:23" x14ac:dyDescent="0.25">
      <c r="A3674" s="2"/>
      <c r="B3674" s="2"/>
      <c r="C3674" s="1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</row>
    <row r="3675" spans="1:23" x14ac:dyDescent="0.25">
      <c r="A3675" s="2"/>
      <c r="B3675" s="2"/>
      <c r="C3675" s="1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</row>
    <row r="3676" spans="1:23" x14ac:dyDescent="0.25">
      <c r="A3676" s="2"/>
      <c r="B3676" s="2"/>
      <c r="C3676" s="1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</row>
    <row r="3677" spans="1:23" x14ac:dyDescent="0.25">
      <c r="A3677" s="2"/>
      <c r="B3677" s="2"/>
      <c r="C3677" s="1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</row>
    <row r="3678" spans="1:23" x14ac:dyDescent="0.25">
      <c r="A3678" s="2"/>
      <c r="B3678" s="2"/>
      <c r="C3678" s="1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</row>
    <row r="3679" spans="1:23" x14ac:dyDescent="0.25">
      <c r="A3679" s="2"/>
      <c r="B3679" s="2"/>
      <c r="C3679" s="1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</row>
    <row r="3680" spans="1:23" x14ac:dyDescent="0.25">
      <c r="A3680" s="2"/>
      <c r="B3680" s="2"/>
      <c r="C3680" s="1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</row>
    <row r="3681" spans="1:23" x14ac:dyDescent="0.25">
      <c r="A3681" s="2"/>
      <c r="B3681" s="2"/>
      <c r="C3681" s="1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</row>
    <row r="3682" spans="1:23" x14ac:dyDescent="0.25">
      <c r="A3682" s="2"/>
      <c r="B3682" s="2"/>
      <c r="C3682" s="1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</row>
    <row r="3683" spans="1:23" x14ac:dyDescent="0.25">
      <c r="A3683" s="2"/>
      <c r="B3683" s="2"/>
      <c r="C3683" s="1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</row>
    <row r="3684" spans="1:23" x14ac:dyDescent="0.25">
      <c r="A3684" s="2"/>
      <c r="B3684" s="2"/>
      <c r="C3684" s="1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</row>
    <row r="3685" spans="1:23" x14ac:dyDescent="0.25">
      <c r="A3685" s="2"/>
      <c r="B3685" s="2"/>
      <c r="C3685" s="1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</row>
    <row r="3686" spans="1:23" x14ac:dyDescent="0.25">
      <c r="A3686" s="2"/>
      <c r="B3686" s="2"/>
      <c r="C3686" s="1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</row>
    <row r="3687" spans="1:23" x14ac:dyDescent="0.25">
      <c r="A3687" s="2"/>
      <c r="B3687" s="2"/>
      <c r="C3687" s="1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</row>
    <row r="3688" spans="1:23" x14ac:dyDescent="0.25">
      <c r="A3688" s="2"/>
      <c r="B3688" s="2"/>
      <c r="C3688" s="1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</row>
    <row r="3689" spans="1:23" x14ac:dyDescent="0.25">
      <c r="A3689" s="2"/>
      <c r="B3689" s="2"/>
      <c r="C3689" s="1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</row>
    <row r="3690" spans="1:23" x14ac:dyDescent="0.25">
      <c r="A3690" s="2"/>
      <c r="B3690" s="2"/>
      <c r="C3690" s="1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</row>
    <row r="3691" spans="1:23" x14ac:dyDescent="0.25">
      <c r="A3691" s="2"/>
      <c r="B3691" s="2"/>
      <c r="C3691" s="1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</row>
    <row r="3692" spans="1:23" x14ac:dyDescent="0.25">
      <c r="A3692" s="2"/>
      <c r="B3692" s="2"/>
      <c r="C3692" s="1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</row>
    <row r="3693" spans="1:23" x14ac:dyDescent="0.25">
      <c r="A3693" s="2"/>
      <c r="B3693" s="2"/>
      <c r="C3693" s="1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</row>
    <row r="3694" spans="1:23" x14ac:dyDescent="0.25">
      <c r="A3694" s="2"/>
      <c r="B3694" s="2"/>
      <c r="C3694" s="1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</row>
    <row r="3695" spans="1:23" x14ac:dyDescent="0.25">
      <c r="A3695" s="2"/>
      <c r="B3695" s="2"/>
      <c r="C3695" s="1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</row>
    <row r="3696" spans="1:23" x14ac:dyDescent="0.25">
      <c r="A3696" s="2"/>
      <c r="B3696" s="2"/>
      <c r="C3696" s="1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</row>
    <row r="3697" spans="1:23" x14ac:dyDescent="0.25">
      <c r="A3697" s="2"/>
      <c r="B3697" s="2"/>
      <c r="C3697" s="1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</row>
    <row r="3698" spans="1:23" x14ac:dyDescent="0.25">
      <c r="A3698" s="2"/>
      <c r="B3698" s="2"/>
      <c r="C3698" s="1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</row>
    <row r="3699" spans="1:23" x14ac:dyDescent="0.25">
      <c r="A3699" s="2"/>
      <c r="B3699" s="2"/>
      <c r="C3699" s="1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</row>
    <row r="3700" spans="1:23" x14ac:dyDescent="0.25">
      <c r="A3700" s="2"/>
      <c r="B3700" s="2"/>
      <c r="C3700" s="1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</row>
    <row r="3701" spans="1:23" x14ac:dyDescent="0.25">
      <c r="A3701" s="2"/>
      <c r="B3701" s="2"/>
      <c r="C3701" s="1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</row>
    <row r="3702" spans="1:23" x14ac:dyDescent="0.25">
      <c r="A3702" s="2"/>
      <c r="B3702" s="2"/>
      <c r="C3702" s="1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</row>
    <row r="3703" spans="1:23" x14ac:dyDescent="0.25">
      <c r="A3703" s="2"/>
      <c r="B3703" s="2"/>
      <c r="C3703" s="1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</row>
    <row r="3704" spans="1:23" x14ac:dyDescent="0.25">
      <c r="A3704" s="2"/>
      <c r="B3704" s="2"/>
      <c r="C3704" s="1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</row>
    <row r="3705" spans="1:23" x14ac:dyDescent="0.25">
      <c r="A3705" s="2"/>
      <c r="B3705" s="2"/>
      <c r="C3705" s="1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</row>
    <row r="3706" spans="1:23" x14ac:dyDescent="0.25">
      <c r="A3706" s="2"/>
      <c r="B3706" s="2"/>
      <c r="C3706" s="1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</row>
    <row r="3707" spans="1:23" x14ac:dyDescent="0.25">
      <c r="A3707" s="2"/>
      <c r="B3707" s="2"/>
      <c r="C3707" s="1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</row>
    <row r="3708" spans="1:23" x14ac:dyDescent="0.25">
      <c r="A3708" s="2"/>
      <c r="B3708" s="2"/>
      <c r="C3708" s="1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</row>
    <row r="3709" spans="1:23" x14ac:dyDescent="0.25">
      <c r="A3709" s="2"/>
      <c r="B3709" s="2"/>
      <c r="C3709" s="1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</row>
    <row r="3710" spans="1:23" x14ac:dyDescent="0.25">
      <c r="A3710" s="2"/>
      <c r="B3710" s="2"/>
      <c r="C3710" s="1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</row>
    <row r="3711" spans="1:23" x14ac:dyDescent="0.25">
      <c r="A3711" s="2"/>
      <c r="B3711" s="2"/>
      <c r="C3711" s="1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</row>
    <row r="3712" spans="1:23" x14ac:dyDescent="0.25">
      <c r="A3712" s="2"/>
      <c r="B3712" s="2"/>
      <c r="C3712" s="1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</row>
    <row r="3713" spans="1:23" x14ac:dyDescent="0.25">
      <c r="A3713" s="2"/>
      <c r="B3713" s="2"/>
      <c r="C3713" s="1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</row>
    <row r="3714" spans="1:23" x14ac:dyDescent="0.25">
      <c r="A3714" s="2"/>
      <c r="B3714" s="2"/>
      <c r="C3714" s="1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</row>
    <row r="3715" spans="1:23" x14ac:dyDescent="0.25">
      <c r="A3715" s="2"/>
      <c r="B3715" s="2"/>
      <c r="C3715" s="1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</row>
    <row r="3716" spans="1:23" x14ac:dyDescent="0.25">
      <c r="A3716" s="2"/>
      <c r="B3716" s="2"/>
      <c r="C3716" s="1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</row>
    <row r="3717" spans="1:23" x14ac:dyDescent="0.25">
      <c r="A3717" s="2"/>
      <c r="B3717" s="2"/>
      <c r="C3717" s="1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</row>
    <row r="3718" spans="1:23" x14ac:dyDescent="0.25">
      <c r="A3718" s="2"/>
      <c r="B3718" s="2"/>
      <c r="C3718" s="1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</row>
    <row r="3719" spans="1:23" x14ac:dyDescent="0.25">
      <c r="A3719" s="2"/>
      <c r="B3719" s="2"/>
      <c r="C3719" s="1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</row>
    <row r="3720" spans="1:23" x14ac:dyDescent="0.25">
      <c r="A3720" s="2"/>
      <c r="B3720" s="2"/>
      <c r="C3720" s="1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</row>
    <row r="3721" spans="1:23" x14ac:dyDescent="0.25">
      <c r="A3721" s="2"/>
      <c r="B3721" s="2"/>
      <c r="C3721" s="1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</row>
    <row r="3722" spans="1:23" x14ac:dyDescent="0.25">
      <c r="A3722" s="2"/>
      <c r="B3722" s="2"/>
      <c r="C3722" s="1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</row>
    <row r="3723" spans="1:23" x14ac:dyDescent="0.25">
      <c r="A3723" s="2"/>
      <c r="B3723" s="2"/>
      <c r="C3723" s="1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</row>
    <row r="3724" spans="1:23" x14ac:dyDescent="0.25">
      <c r="A3724" s="2"/>
      <c r="B3724" s="2"/>
      <c r="C3724" s="1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</row>
    <row r="3725" spans="1:23" x14ac:dyDescent="0.25">
      <c r="A3725" s="2"/>
      <c r="B3725" s="2"/>
      <c r="C3725" s="1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</row>
    <row r="3726" spans="1:23" x14ac:dyDescent="0.25">
      <c r="A3726" s="2"/>
      <c r="B3726" s="2"/>
      <c r="C3726" s="1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</row>
    <row r="3727" spans="1:23" x14ac:dyDescent="0.25">
      <c r="A3727" s="2"/>
      <c r="B3727" s="2"/>
      <c r="C3727" s="1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</row>
    <row r="3728" spans="1:23" x14ac:dyDescent="0.25">
      <c r="A3728" s="2"/>
      <c r="B3728" s="2"/>
      <c r="C3728" s="1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</row>
    <row r="3729" spans="1:23" x14ac:dyDescent="0.25">
      <c r="A3729" s="2"/>
      <c r="B3729" s="2"/>
      <c r="C3729" s="1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</row>
    <row r="3730" spans="1:23" x14ac:dyDescent="0.25">
      <c r="A3730" s="2"/>
      <c r="B3730" s="2"/>
      <c r="C3730" s="1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</row>
    <row r="3731" spans="1:23" x14ac:dyDescent="0.25">
      <c r="A3731" s="2"/>
      <c r="B3731" s="2"/>
      <c r="C3731" s="1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</row>
    <row r="3732" spans="1:23" x14ac:dyDescent="0.25">
      <c r="A3732" s="2"/>
      <c r="B3732" s="2"/>
      <c r="C3732" s="1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</row>
    <row r="3733" spans="1:23" x14ac:dyDescent="0.25">
      <c r="A3733" s="2"/>
      <c r="B3733" s="2"/>
      <c r="C3733" s="1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</row>
    <row r="3734" spans="1:23" x14ac:dyDescent="0.25">
      <c r="A3734" s="2"/>
      <c r="B3734" s="2"/>
      <c r="C3734" s="1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</row>
    <row r="3735" spans="1:23" x14ac:dyDescent="0.25">
      <c r="A3735" s="2"/>
      <c r="B3735" s="2"/>
      <c r="C3735" s="1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</row>
    <row r="3736" spans="1:23" x14ac:dyDescent="0.25">
      <c r="A3736" s="2"/>
      <c r="B3736" s="2"/>
      <c r="C3736" s="1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</row>
    <row r="3737" spans="1:23" x14ac:dyDescent="0.25">
      <c r="A3737" s="2"/>
      <c r="B3737" s="2"/>
      <c r="C3737" s="1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</row>
    <row r="3738" spans="1:23" x14ac:dyDescent="0.25">
      <c r="A3738" s="2"/>
      <c r="B3738" s="2"/>
      <c r="C3738" s="1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</row>
    <row r="3739" spans="1:23" x14ac:dyDescent="0.25">
      <c r="A3739" s="2"/>
      <c r="B3739" s="2"/>
      <c r="C3739" s="1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</row>
    <row r="3740" spans="1:23" x14ac:dyDescent="0.25">
      <c r="A3740" s="2"/>
      <c r="B3740" s="2"/>
      <c r="C3740" s="1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</row>
    <row r="3741" spans="1:23" x14ac:dyDescent="0.25">
      <c r="A3741" s="2"/>
      <c r="B3741" s="2"/>
      <c r="C3741" s="1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</row>
    <row r="3742" spans="1:23" x14ac:dyDescent="0.25">
      <c r="A3742" s="2"/>
      <c r="B3742" s="2"/>
      <c r="C3742" s="1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</row>
    <row r="3743" spans="1:23" x14ac:dyDescent="0.25">
      <c r="A3743" s="2"/>
      <c r="B3743" s="2"/>
      <c r="C3743" s="1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</row>
    <row r="3744" spans="1:23" x14ac:dyDescent="0.25">
      <c r="A3744" s="2"/>
      <c r="B3744" s="2"/>
      <c r="C3744" s="1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</row>
    <row r="3745" spans="1:23" x14ac:dyDescent="0.25">
      <c r="A3745" s="2"/>
      <c r="B3745" s="2"/>
      <c r="C3745" s="1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</row>
    <row r="3746" spans="1:23" x14ac:dyDescent="0.25">
      <c r="A3746" s="2"/>
      <c r="B3746" s="2"/>
      <c r="C3746" s="1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</row>
    <row r="3747" spans="1:23" x14ac:dyDescent="0.25">
      <c r="A3747" s="2"/>
      <c r="B3747" s="2"/>
      <c r="C3747" s="1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</row>
    <row r="3748" spans="1:23" x14ac:dyDescent="0.25">
      <c r="A3748" s="2"/>
      <c r="B3748" s="2"/>
      <c r="C3748" s="1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</row>
    <row r="3749" spans="1:23" x14ac:dyDescent="0.25">
      <c r="A3749" s="2"/>
      <c r="B3749" s="2"/>
      <c r="C3749" s="1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</row>
    <row r="3750" spans="1:23" x14ac:dyDescent="0.25">
      <c r="A3750" s="2"/>
      <c r="B3750" s="2"/>
      <c r="C3750" s="1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</row>
    <row r="3751" spans="1:23" x14ac:dyDescent="0.25">
      <c r="A3751" s="2"/>
      <c r="B3751" s="2"/>
      <c r="C3751" s="1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</row>
    <row r="3752" spans="1:23" x14ac:dyDescent="0.25">
      <c r="A3752" s="2"/>
      <c r="B3752" s="2"/>
      <c r="C3752" s="1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</row>
    <row r="3753" spans="1:23" x14ac:dyDescent="0.25">
      <c r="A3753" s="2"/>
      <c r="B3753" s="2"/>
      <c r="C3753" s="1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</row>
    <row r="3754" spans="1:23" x14ac:dyDescent="0.25">
      <c r="A3754" s="2"/>
      <c r="B3754" s="2"/>
      <c r="C3754" s="1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</row>
    <row r="3755" spans="1:23" x14ac:dyDescent="0.25">
      <c r="A3755" s="2"/>
      <c r="B3755" s="2"/>
      <c r="C3755" s="1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</row>
    <row r="3756" spans="1:23" x14ac:dyDescent="0.25">
      <c r="A3756" s="2"/>
      <c r="B3756" s="2"/>
      <c r="C3756" s="1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</row>
    <row r="3757" spans="1:23" x14ac:dyDescent="0.25">
      <c r="A3757" s="2"/>
      <c r="B3757" s="2"/>
      <c r="C3757" s="1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</row>
    <row r="3758" spans="1:23" x14ac:dyDescent="0.25">
      <c r="A3758" s="2"/>
      <c r="B3758" s="2"/>
      <c r="C3758" s="1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</row>
    <row r="3759" spans="1:23" x14ac:dyDescent="0.25">
      <c r="A3759" s="2"/>
      <c r="B3759" s="2"/>
      <c r="C3759" s="1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</row>
    <row r="3760" spans="1:23" x14ac:dyDescent="0.25">
      <c r="A3760" s="2"/>
      <c r="B3760" s="2"/>
      <c r="C3760" s="1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</row>
    <row r="3761" spans="1:23" x14ac:dyDescent="0.25">
      <c r="A3761" s="2"/>
      <c r="B3761" s="2"/>
      <c r="C3761" s="1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</row>
    <row r="3762" spans="1:23" x14ac:dyDescent="0.25">
      <c r="A3762" s="2"/>
      <c r="B3762" s="2"/>
      <c r="C3762" s="1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</row>
    <row r="3763" spans="1:23" x14ac:dyDescent="0.25">
      <c r="A3763" s="2"/>
      <c r="B3763" s="2"/>
      <c r="C3763" s="1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</row>
    <row r="3764" spans="1:23" x14ac:dyDescent="0.25">
      <c r="A3764" s="2"/>
      <c r="B3764" s="2"/>
      <c r="C3764" s="1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</row>
    <row r="3765" spans="1:23" x14ac:dyDescent="0.25">
      <c r="A3765" s="2"/>
      <c r="B3765" s="2"/>
      <c r="C3765" s="1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</row>
    <row r="3766" spans="1:23" x14ac:dyDescent="0.25">
      <c r="A3766" s="2"/>
      <c r="B3766" s="2"/>
      <c r="C3766" s="1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</row>
    <row r="3767" spans="1:23" x14ac:dyDescent="0.25">
      <c r="A3767" s="2"/>
      <c r="B3767" s="2"/>
      <c r="C3767" s="1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</row>
    <row r="3768" spans="1:23" x14ac:dyDescent="0.25">
      <c r="A3768" s="2"/>
      <c r="B3768" s="2"/>
      <c r="C3768" s="1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</row>
    <row r="3769" spans="1:23" x14ac:dyDescent="0.25">
      <c r="A3769" s="2"/>
      <c r="B3769" s="2"/>
      <c r="C3769" s="1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</row>
    <row r="3770" spans="1:23" x14ac:dyDescent="0.25">
      <c r="A3770" s="2"/>
      <c r="B3770" s="2"/>
      <c r="C3770" s="1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</row>
    <row r="3771" spans="1:23" x14ac:dyDescent="0.25">
      <c r="A3771" s="2"/>
      <c r="B3771" s="2"/>
      <c r="C3771" s="1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</row>
    <row r="3772" spans="1:23" x14ac:dyDescent="0.25">
      <c r="A3772" s="2"/>
      <c r="B3772" s="2"/>
      <c r="C3772" s="1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</row>
    <row r="3773" spans="1:23" x14ac:dyDescent="0.25">
      <c r="A3773" s="2"/>
      <c r="B3773" s="2"/>
      <c r="C3773" s="1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</row>
    <row r="3774" spans="1:23" x14ac:dyDescent="0.25">
      <c r="A3774" s="2"/>
      <c r="B3774" s="2"/>
      <c r="C3774" s="1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</row>
    <row r="3775" spans="1:23" x14ac:dyDescent="0.25">
      <c r="A3775" s="2"/>
      <c r="B3775" s="2"/>
      <c r="C3775" s="1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</row>
    <row r="3776" spans="1:23" x14ac:dyDescent="0.25">
      <c r="A3776" s="2"/>
      <c r="B3776" s="2"/>
      <c r="C3776" s="1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</row>
    <row r="3777" spans="1:23" x14ac:dyDescent="0.25">
      <c r="A3777" s="2"/>
      <c r="B3777" s="2"/>
      <c r="C3777" s="1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</row>
    <row r="3778" spans="1:23" x14ac:dyDescent="0.25">
      <c r="A3778" s="2"/>
      <c r="B3778" s="2"/>
      <c r="C3778" s="1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</row>
    <row r="3779" spans="1:23" x14ac:dyDescent="0.25">
      <c r="A3779" s="2"/>
      <c r="B3779" s="2"/>
      <c r="C3779" s="1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</row>
    <row r="3780" spans="1:23" x14ac:dyDescent="0.25">
      <c r="A3780" s="2"/>
      <c r="B3780" s="2"/>
      <c r="C3780" s="1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</row>
    <row r="3781" spans="1:23" x14ac:dyDescent="0.25">
      <c r="A3781" s="2"/>
      <c r="B3781" s="2"/>
      <c r="C3781" s="1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</row>
    <row r="3782" spans="1:23" x14ac:dyDescent="0.25">
      <c r="A3782" s="2"/>
      <c r="B3782" s="2"/>
      <c r="C3782" s="1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</row>
    <row r="3783" spans="1:23" x14ac:dyDescent="0.25">
      <c r="A3783" s="2"/>
      <c r="B3783" s="2"/>
      <c r="C3783" s="1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</row>
    <row r="3784" spans="1:23" x14ac:dyDescent="0.25">
      <c r="A3784" s="2"/>
      <c r="B3784" s="2"/>
      <c r="C3784" s="1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</row>
    <row r="3785" spans="1:23" x14ac:dyDescent="0.25">
      <c r="A3785" s="2"/>
      <c r="B3785" s="2"/>
      <c r="C3785" s="1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</row>
    <row r="3786" spans="1:23" x14ac:dyDescent="0.25">
      <c r="A3786" s="2"/>
      <c r="B3786" s="2"/>
      <c r="C3786" s="1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</row>
    <row r="3787" spans="1:23" x14ac:dyDescent="0.25">
      <c r="A3787" s="2"/>
      <c r="B3787" s="2"/>
      <c r="C3787" s="1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</row>
    <row r="3788" spans="1:23" x14ac:dyDescent="0.25">
      <c r="A3788" s="2"/>
      <c r="B3788" s="2"/>
      <c r="C3788" s="1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</row>
    <row r="3789" spans="1:23" x14ac:dyDescent="0.25">
      <c r="A3789" s="2"/>
      <c r="B3789" s="2"/>
      <c r="C3789" s="1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</row>
    <row r="3790" spans="1:23" x14ac:dyDescent="0.25">
      <c r="A3790" s="2"/>
      <c r="B3790" s="2"/>
      <c r="C3790" s="1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</row>
    <row r="3791" spans="1:23" x14ac:dyDescent="0.25">
      <c r="A3791" s="2"/>
      <c r="B3791" s="2"/>
      <c r="C3791" s="1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</row>
    <row r="3792" spans="1:23" x14ac:dyDescent="0.25">
      <c r="A3792" s="2"/>
      <c r="B3792" s="2"/>
      <c r="C3792" s="1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</row>
    <row r="3793" spans="1:23" x14ac:dyDescent="0.25">
      <c r="A3793" s="2"/>
      <c r="B3793" s="2"/>
      <c r="C3793" s="1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</row>
    <row r="3794" spans="1:23" x14ac:dyDescent="0.25">
      <c r="A3794" s="2"/>
      <c r="B3794" s="2"/>
      <c r="C3794" s="1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</row>
    <row r="3795" spans="1:23" x14ac:dyDescent="0.25">
      <c r="A3795" s="2"/>
      <c r="B3795" s="2"/>
      <c r="C3795" s="1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</row>
    <row r="3796" spans="1:23" x14ac:dyDescent="0.25">
      <c r="A3796" s="2"/>
      <c r="B3796" s="2"/>
      <c r="C3796" s="1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</row>
    <row r="3797" spans="1:23" x14ac:dyDescent="0.25">
      <c r="A3797" s="2"/>
      <c r="B3797" s="2"/>
      <c r="C3797" s="1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</row>
    <row r="3798" spans="1:23" x14ac:dyDescent="0.25">
      <c r="A3798" s="2"/>
      <c r="B3798" s="2"/>
      <c r="C3798" s="1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</row>
    <row r="3799" spans="1:23" x14ac:dyDescent="0.25">
      <c r="A3799" s="2"/>
      <c r="B3799" s="2"/>
      <c r="C3799" s="1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</row>
    <row r="3800" spans="1:23" x14ac:dyDescent="0.25">
      <c r="A3800" s="2"/>
      <c r="B3800" s="2"/>
      <c r="C3800" s="1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</row>
    <row r="3801" spans="1:23" x14ac:dyDescent="0.25">
      <c r="A3801" s="2"/>
      <c r="B3801" s="2"/>
      <c r="C3801" s="1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</row>
    <row r="3802" spans="1:23" x14ac:dyDescent="0.25">
      <c r="A3802" s="2"/>
      <c r="B3802" s="2"/>
      <c r="C3802" s="1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</row>
    <row r="3803" spans="1:23" x14ac:dyDescent="0.25">
      <c r="A3803" s="2"/>
      <c r="B3803" s="2"/>
      <c r="C3803" s="1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</row>
    <row r="3804" spans="1:23" x14ac:dyDescent="0.25">
      <c r="A3804" s="2"/>
      <c r="B3804" s="2"/>
      <c r="C3804" s="1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</row>
    <row r="3805" spans="1:23" x14ac:dyDescent="0.25">
      <c r="A3805" s="2"/>
      <c r="B3805" s="2"/>
      <c r="C3805" s="1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</row>
    <row r="3806" spans="1:23" x14ac:dyDescent="0.25">
      <c r="A3806" s="2"/>
      <c r="B3806" s="2"/>
      <c r="C3806" s="1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</row>
    <row r="3807" spans="1:23" x14ac:dyDescent="0.25">
      <c r="A3807" s="2"/>
      <c r="B3807" s="2"/>
      <c r="C3807" s="1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</row>
    <row r="3808" spans="1:23" x14ac:dyDescent="0.25">
      <c r="A3808" s="2"/>
      <c r="B3808" s="2"/>
      <c r="C3808" s="1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</row>
    <row r="3809" spans="1:23" x14ac:dyDescent="0.25">
      <c r="A3809" s="2"/>
      <c r="B3809" s="2"/>
      <c r="C3809" s="1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</row>
    <row r="3810" spans="1:23" x14ac:dyDescent="0.25">
      <c r="A3810" s="2"/>
      <c r="B3810" s="2"/>
      <c r="C3810" s="1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</row>
    <row r="3811" spans="1:23" x14ac:dyDescent="0.25">
      <c r="A3811" s="2"/>
      <c r="B3811" s="2"/>
      <c r="C3811" s="1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</row>
    <row r="3812" spans="1:23" x14ac:dyDescent="0.25">
      <c r="A3812" s="2"/>
      <c r="B3812" s="2"/>
      <c r="C3812" s="1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</row>
    <row r="3813" spans="1:23" x14ac:dyDescent="0.25">
      <c r="A3813" s="2"/>
      <c r="B3813" s="2"/>
      <c r="C3813" s="1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</row>
    <row r="3814" spans="1:23" x14ac:dyDescent="0.25">
      <c r="A3814" s="2"/>
      <c r="B3814" s="2"/>
      <c r="C3814" s="1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</row>
    <row r="3815" spans="1:23" x14ac:dyDescent="0.25">
      <c r="A3815" s="2"/>
      <c r="B3815" s="2"/>
      <c r="C3815" s="1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</row>
    <row r="3816" spans="1:23" x14ac:dyDescent="0.25">
      <c r="A3816" s="2"/>
      <c r="B3816" s="2"/>
      <c r="C3816" s="1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</row>
    <row r="3817" spans="1:23" x14ac:dyDescent="0.25">
      <c r="A3817" s="2"/>
      <c r="B3817" s="2"/>
      <c r="C3817" s="1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</row>
    <row r="3818" spans="1:23" x14ac:dyDescent="0.25">
      <c r="A3818" s="2"/>
      <c r="B3818" s="2"/>
      <c r="C3818" s="1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</row>
    <row r="3819" spans="1:23" x14ac:dyDescent="0.25">
      <c r="A3819" s="2"/>
      <c r="B3819" s="2"/>
      <c r="C3819" s="1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</row>
    <row r="3820" spans="1:23" x14ac:dyDescent="0.25">
      <c r="A3820" s="2"/>
      <c r="B3820" s="2"/>
      <c r="C3820" s="1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</row>
    <row r="3821" spans="1:23" x14ac:dyDescent="0.25">
      <c r="A3821" s="2"/>
      <c r="B3821" s="2"/>
      <c r="C3821" s="1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</row>
    <row r="3822" spans="1:23" x14ac:dyDescent="0.25">
      <c r="A3822" s="2"/>
      <c r="B3822" s="2"/>
      <c r="C3822" s="1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</row>
    <row r="3823" spans="1:23" x14ac:dyDescent="0.25">
      <c r="A3823" s="2"/>
      <c r="B3823" s="2"/>
      <c r="C3823" s="1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</row>
    <row r="3824" spans="1:23" x14ac:dyDescent="0.25">
      <c r="A3824" s="2"/>
      <c r="B3824" s="2"/>
      <c r="C3824" s="1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</row>
    <row r="3825" spans="1:23" x14ac:dyDescent="0.25">
      <c r="A3825" s="2"/>
      <c r="B3825" s="2"/>
      <c r="C3825" s="1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</row>
    <row r="3826" spans="1:23" x14ac:dyDescent="0.25">
      <c r="A3826" s="2"/>
      <c r="B3826" s="2"/>
      <c r="C3826" s="1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</row>
    <row r="3827" spans="1:23" x14ac:dyDescent="0.25">
      <c r="A3827" s="2"/>
      <c r="B3827" s="2"/>
      <c r="C3827" s="1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</row>
    <row r="3828" spans="1:23" x14ac:dyDescent="0.25">
      <c r="A3828" s="2"/>
      <c r="B3828" s="2"/>
      <c r="C3828" s="1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</row>
    <row r="3829" spans="1:23" x14ac:dyDescent="0.25">
      <c r="A3829" s="2"/>
      <c r="B3829" s="2"/>
      <c r="C3829" s="1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</row>
    <row r="3830" spans="1:23" x14ac:dyDescent="0.25">
      <c r="A3830" s="2"/>
      <c r="B3830" s="2"/>
      <c r="C3830" s="1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</row>
    <row r="3831" spans="1:23" x14ac:dyDescent="0.25">
      <c r="A3831" s="2"/>
      <c r="B3831" s="2"/>
      <c r="C3831" s="1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</row>
    <row r="3832" spans="1:23" x14ac:dyDescent="0.25">
      <c r="A3832" s="2"/>
      <c r="B3832" s="2"/>
      <c r="C3832" s="1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</row>
    <row r="3833" spans="1:23" x14ac:dyDescent="0.25">
      <c r="A3833" s="2"/>
      <c r="B3833" s="2"/>
      <c r="C3833" s="1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</row>
    <row r="3834" spans="1:23" x14ac:dyDescent="0.25">
      <c r="A3834" s="2"/>
      <c r="B3834" s="2"/>
      <c r="C3834" s="1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</row>
    <row r="3835" spans="1:23" x14ac:dyDescent="0.25">
      <c r="A3835" s="2"/>
      <c r="B3835" s="2"/>
      <c r="C3835" s="1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</row>
    <row r="3836" spans="1:23" x14ac:dyDescent="0.25">
      <c r="A3836" s="2"/>
      <c r="B3836" s="2"/>
      <c r="C3836" s="1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</row>
    <row r="3837" spans="1:23" x14ac:dyDescent="0.25">
      <c r="A3837" s="2"/>
      <c r="B3837" s="2"/>
      <c r="C3837" s="1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</row>
    <row r="3838" spans="1:23" x14ac:dyDescent="0.25">
      <c r="A3838" s="2"/>
      <c r="B3838" s="2"/>
      <c r="C3838" s="1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</row>
    <row r="3839" spans="1:23" x14ac:dyDescent="0.25">
      <c r="A3839" s="2"/>
      <c r="B3839" s="2"/>
      <c r="C3839" s="1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</row>
    <row r="3840" spans="1:23" x14ac:dyDescent="0.25">
      <c r="A3840" s="2"/>
      <c r="B3840" s="2"/>
      <c r="C3840" s="1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</row>
    <row r="3841" spans="1:23" x14ac:dyDescent="0.25">
      <c r="A3841" s="2"/>
      <c r="B3841" s="2"/>
      <c r="C3841" s="1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</row>
    <row r="3842" spans="1:23" x14ac:dyDescent="0.25">
      <c r="A3842" s="2"/>
      <c r="B3842" s="2"/>
      <c r="C3842" s="1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</row>
    <row r="3843" spans="1:23" x14ac:dyDescent="0.25">
      <c r="A3843" s="2"/>
      <c r="B3843" s="2"/>
      <c r="C3843" s="1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</row>
    <row r="3844" spans="1:23" x14ac:dyDescent="0.25">
      <c r="A3844" s="2"/>
      <c r="B3844" s="2"/>
      <c r="C3844" s="1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</row>
    <row r="3845" spans="1:23" x14ac:dyDescent="0.25">
      <c r="A3845" s="2"/>
      <c r="B3845" s="2"/>
      <c r="C3845" s="1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</row>
    <row r="3846" spans="1:23" x14ac:dyDescent="0.25">
      <c r="A3846" s="2"/>
      <c r="B3846" s="2"/>
      <c r="C3846" s="1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</row>
    <row r="3847" spans="1:23" x14ac:dyDescent="0.25">
      <c r="A3847" s="2"/>
      <c r="B3847" s="2"/>
      <c r="C3847" s="1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</row>
    <row r="3848" spans="1:23" x14ac:dyDescent="0.25">
      <c r="A3848" s="2"/>
      <c r="B3848" s="2"/>
      <c r="C3848" s="1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</row>
    <row r="3849" spans="1:23" x14ac:dyDescent="0.25">
      <c r="A3849" s="2"/>
      <c r="B3849" s="2"/>
      <c r="C3849" s="1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</row>
    <row r="3850" spans="1:23" x14ac:dyDescent="0.25">
      <c r="A3850" s="2"/>
      <c r="B3850" s="2"/>
      <c r="C3850" s="1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</row>
    <row r="3851" spans="1:23" x14ac:dyDescent="0.25">
      <c r="A3851" s="2"/>
      <c r="B3851" s="2"/>
      <c r="C3851" s="1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</row>
    <row r="3852" spans="1:23" x14ac:dyDescent="0.25">
      <c r="A3852" s="2"/>
      <c r="B3852" s="2"/>
      <c r="C3852" s="1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</row>
    <row r="3853" spans="1:23" x14ac:dyDescent="0.25">
      <c r="A3853" s="2"/>
      <c r="B3853" s="2"/>
      <c r="C3853" s="1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</row>
    <row r="3854" spans="1:23" x14ac:dyDescent="0.25">
      <c r="A3854" s="2"/>
      <c r="B3854" s="2"/>
      <c r="C3854" s="1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</row>
    <row r="3855" spans="1:23" x14ac:dyDescent="0.25">
      <c r="A3855" s="2"/>
      <c r="B3855" s="2"/>
      <c r="C3855" s="1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</row>
    <row r="3856" spans="1:23" x14ac:dyDescent="0.25">
      <c r="A3856" s="2"/>
      <c r="B3856" s="2"/>
      <c r="C3856" s="1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</row>
    <row r="3857" spans="1:23" x14ac:dyDescent="0.25">
      <c r="A3857" s="2"/>
      <c r="B3857" s="2"/>
      <c r="C3857" s="1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</row>
    <row r="3858" spans="1:23" x14ac:dyDescent="0.25">
      <c r="A3858" s="2"/>
      <c r="B3858" s="2"/>
      <c r="C3858" s="1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</row>
    <row r="3859" spans="1:23" x14ac:dyDescent="0.25">
      <c r="A3859" s="2"/>
      <c r="B3859" s="2"/>
      <c r="C3859" s="1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</row>
    <row r="3860" spans="1:23" x14ac:dyDescent="0.25">
      <c r="A3860" s="2"/>
      <c r="B3860" s="2"/>
      <c r="C3860" s="1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</row>
    <row r="3861" spans="1:23" x14ac:dyDescent="0.25">
      <c r="A3861" s="2"/>
      <c r="B3861" s="2"/>
      <c r="C3861" s="1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</row>
    <row r="3862" spans="1:23" x14ac:dyDescent="0.25">
      <c r="A3862" s="2"/>
      <c r="B3862" s="2"/>
      <c r="C3862" s="1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</row>
    <row r="3863" spans="1:23" x14ac:dyDescent="0.25">
      <c r="A3863" s="2"/>
      <c r="B3863" s="2"/>
      <c r="C3863" s="1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</row>
    <row r="3864" spans="1:23" x14ac:dyDescent="0.25">
      <c r="A3864" s="2"/>
      <c r="B3864" s="2"/>
      <c r="C3864" s="1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</row>
    <row r="3865" spans="1:23" x14ac:dyDescent="0.25">
      <c r="A3865" s="2"/>
      <c r="B3865" s="2"/>
      <c r="C3865" s="1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</row>
    <row r="3866" spans="1:23" x14ac:dyDescent="0.25">
      <c r="A3866" s="2"/>
      <c r="B3866" s="2"/>
      <c r="C3866" s="1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</row>
    <row r="3867" spans="1:23" x14ac:dyDescent="0.25">
      <c r="A3867" s="2"/>
      <c r="B3867" s="2"/>
      <c r="C3867" s="1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</row>
    <row r="3868" spans="1:23" x14ac:dyDescent="0.25">
      <c r="A3868" s="2"/>
      <c r="B3868" s="2"/>
      <c r="C3868" s="1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</row>
    <row r="3869" spans="1:23" x14ac:dyDescent="0.25">
      <c r="A3869" s="2"/>
      <c r="B3869" s="2"/>
      <c r="C3869" s="1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</row>
    <row r="3870" spans="1:23" x14ac:dyDescent="0.25">
      <c r="A3870" s="2"/>
      <c r="B3870" s="2"/>
      <c r="C3870" s="1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</row>
    <row r="3871" spans="1:23" x14ac:dyDescent="0.25">
      <c r="A3871" s="2"/>
      <c r="B3871" s="2"/>
      <c r="C3871" s="1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</row>
    <row r="3872" spans="1:23" x14ac:dyDescent="0.25">
      <c r="A3872" s="2"/>
      <c r="B3872" s="2"/>
      <c r="C3872" s="1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</row>
    <row r="3873" spans="1:23" x14ac:dyDescent="0.25">
      <c r="A3873" s="2"/>
      <c r="B3873" s="2"/>
      <c r="C3873" s="1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</row>
    <row r="3874" spans="1:23" x14ac:dyDescent="0.25">
      <c r="A3874" s="2"/>
      <c r="B3874" s="2"/>
      <c r="C3874" s="1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</row>
    <row r="3875" spans="1:23" x14ac:dyDescent="0.25">
      <c r="A3875" s="2"/>
      <c r="B3875" s="2"/>
      <c r="C3875" s="1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</row>
    <row r="3876" spans="1:23" x14ac:dyDescent="0.25">
      <c r="A3876" s="2"/>
      <c r="B3876" s="2"/>
      <c r="C3876" s="1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</row>
    <row r="3877" spans="1:23" x14ac:dyDescent="0.25">
      <c r="A3877" s="2"/>
      <c r="B3877" s="2"/>
      <c r="C3877" s="1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</row>
    <row r="3878" spans="1:23" x14ac:dyDescent="0.25">
      <c r="A3878" s="2"/>
      <c r="B3878" s="2"/>
      <c r="C3878" s="1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</row>
    <row r="3879" spans="1:23" x14ac:dyDescent="0.25">
      <c r="A3879" s="2"/>
      <c r="B3879" s="2"/>
      <c r="C3879" s="1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</row>
    <row r="3880" spans="1:23" x14ac:dyDescent="0.25">
      <c r="A3880" s="2"/>
      <c r="B3880" s="2"/>
      <c r="C3880" s="1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</row>
    <row r="3881" spans="1:23" x14ac:dyDescent="0.25">
      <c r="A3881" s="2"/>
      <c r="B3881" s="2"/>
      <c r="C3881" s="1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</row>
    <row r="3882" spans="1:23" x14ac:dyDescent="0.25">
      <c r="A3882" s="2"/>
      <c r="B3882" s="2"/>
      <c r="C3882" s="1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</row>
    <row r="3883" spans="1:23" x14ac:dyDescent="0.25">
      <c r="A3883" s="2"/>
      <c r="B3883" s="2"/>
      <c r="C3883" s="1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</row>
    <row r="3884" spans="1:23" x14ac:dyDescent="0.25">
      <c r="A3884" s="2"/>
      <c r="B3884" s="2"/>
      <c r="C3884" s="1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</row>
    <row r="3885" spans="1:23" x14ac:dyDescent="0.25">
      <c r="A3885" s="2"/>
      <c r="B3885" s="2"/>
      <c r="C3885" s="1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</row>
    <row r="3886" spans="1:23" x14ac:dyDescent="0.25">
      <c r="A3886" s="2"/>
      <c r="B3886" s="2"/>
      <c r="C3886" s="1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</row>
    <row r="3887" spans="1:23" x14ac:dyDescent="0.25">
      <c r="A3887" s="2"/>
      <c r="B3887" s="2"/>
      <c r="C3887" s="1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</row>
    <row r="3888" spans="1:23" x14ac:dyDescent="0.25">
      <c r="A3888" s="2"/>
      <c r="B3888" s="2"/>
      <c r="C3888" s="1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</row>
    <row r="3889" spans="1:23" x14ac:dyDescent="0.25">
      <c r="A3889" s="2"/>
      <c r="B3889" s="2"/>
      <c r="C3889" s="1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</row>
    <row r="3890" spans="1:23" x14ac:dyDescent="0.25">
      <c r="A3890" s="2"/>
      <c r="B3890" s="2"/>
      <c r="C3890" s="1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</row>
    <row r="3891" spans="1:23" x14ac:dyDescent="0.25">
      <c r="A3891" s="2"/>
      <c r="B3891" s="2"/>
      <c r="C3891" s="1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</row>
    <row r="3892" spans="1:23" x14ac:dyDescent="0.25">
      <c r="A3892" s="2"/>
      <c r="B3892" s="2"/>
      <c r="C3892" s="1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</row>
    <row r="3893" spans="1:23" x14ac:dyDescent="0.25">
      <c r="A3893" s="2"/>
      <c r="B3893" s="2"/>
      <c r="C3893" s="1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</row>
    <row r="3894" spans="1:23" x14ac:dyDescent="0.25">
      <c r="A3894" s="2"/>
      <c r="B3894" s="2"/>
      <c r="C3894" s="1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</row>
    <row r="3895" spans="1:23" x14ac:dyDescent="0.25">
      <c r="A3895" s="2"/>
      <c r="B3895" s="2"/>
      <c r="C3895" s="1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</row>
    <row r="3896" spans="1:23" x14ac:dyDescent="0.25">
      <c r="A3896" s="2"/>
      <c r="B3896" s="2"/>
      <c r="C3896" s="1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</row>
    <row r="3897" spans="1:23" x14ac:dyDescent="0.25">
      <c r="A3897" s="2"/>
      <c r="B3897" s="2"/>
      <c r="C3897" s="1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</row>
    <row r="3898" spans="1:23" x14ac:dyDescent="0.25">
      <c r="A3898" s="2"/>
      <c r="B3898" s="2"/>
      <c r="C3898" s="1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</row>
    <row r="3899" spans="1:23" x14ac:dyDescent="0.25">
      <c r="A3899" s="2"/>
      <c r="B3899" s="2"/>
      <c r="C3899" s="1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</row>
    <row r="3900" spans="1:23" x14ac:dyDescent="0.25">
      <c r="A3900" s="2"/>
      <c r="B3900" s="2"/>
      <c r="C3900" s="1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</row>
    <row r="3901" spans="1:23" x14ac:dyDescent="0.25">
      <c r="A3901" s="2"/>
      <c r="B3901" s="2"/>
      <c r="C3901" s="1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</row>
    <row r="3902" spans="1:23" x14ac:dyDescent="0.25">
      <c r="A3902" s="2"/>
      <c r="B3902" s="2"/>
      <c r="C3902" s="1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</row>
    <row r="3903" spans="1:23" x14ac:dyDescent="0.25">
      <c r="A3903" s="2"/>
      <c r="B3903" s="2"/>
      <c r="C3903" s="1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</row>
    <row r="3904" spans="1:23" x14ac:dyDescent="0.25">
      <c r="A3904" s="2"/>
      <c r="B3904" s="2"/>
      <c r="C3904" s="1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</row>
    <row r="3905" spans="1:23" x14ac:dyDescent="0.25">
      <c r="A3905" s="2"/>
      <c r="B3905" s="2"/>
      <c r="C3905" s="1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</row>
    <row r="3906" spans="1:23" x14ac:dyDescent="0.25">
      <c r="A3906" s="2"/>
      <c r="B3906" s="2"/>
      <c r="C3906" s="1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</row>
    <row r="3907" spans="1:23" x14ac:dyDescent="0.25">
      <c r="A3907" s="2"/>
      <c r="B3907" s="2"/>
      <c r="C3907" s="1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</row>
    <row r="3908" spans="1:23" x14ac:dyDescent="0.25">
      <c r="A3908" s="2"/>
      <c r="B3908" s="2"/>
      <c r="C3908" s="1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</row>
    <row r="3909" spans="1:23" x14ac:dyDescent="0.25">
      <c r="A3909" s="2"/>
      <c r="B3909" s="2"/>
      <c r="C3909" s="1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</row>
    <row r="3910" spans="1:23" x14ac:dyDescent="0.25">
      <c r="A3910" s="2"/>
      <c r="B3910" s="2"/>
      <c r="C3910" s="1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</row>
    <row r="3911" spans="1:23" x14ac:dyDescent="0.25">
      <c r="A3911" s="2"/>
      <c r="B3911" s="2"/>
      <c r="C3911" s="1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</row>
    <row r="3912" spans="1:23" x14ac:dyDescent="0.25">
      <c r="A3912" s="2"/>
      <c r="B3912" s="2"/>
      <c r="C3912" s="1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</row>
    <row r="3913" spans="1:23" x14ac:dyDescent="0.25">
      <c r="A3913" s="2"/>
      <c r="B3913" s="2"/>
      <c r="C3913" s="1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</row>
    <row r="3914" spans="1:23" x14ac:dyDescent="0.25">
      <c r="A3914" s="2"/>
      <c r="B3914" s="2"/>
      <c r="C3914" s="1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</row>
    <row r="3915" spans="1:23" x14ac:dyDescent="0.25">
      <c r="A3915" s="2"/>
      <c r="B3915" s="2"/>
      <c r="C3915" s="1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</row>
    <row r="3916" spans="1:23" x14ac:dyDescent="0.25">
      <c r="A3916" s="2"/>
      <c r="B3916" s="2"/>
      <c r="C3916" s="1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</row>
    <row r="3917" spans="1:23" x14ac:dyDescent="0.25">
      <c r="A3917" s="2"/>
      <c r="B3917" s="2"/>
      <c r="C3917" s="1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</row>
    <row r="3918" spans="1:23" x14ac:dyDescent="0.25">
      <c r="A3918" s="2"/>
      <c r="B3918" s="2"/>
      <c r="C3918" s="1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</row>
    <row r="3919" spans="1:23" x14ac:dyDescent="0.25">
      <c r="A3919" s="2"/>
      <c r="B3919" s="2"/>
      <c r="C3919" s="1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</row>
    <row r="3920" spans="1:23" x14ac:dyDescent="0.25">
      <c r="A3920" s="2"/>
      <c r="B3920" s="2"/>
      <c r="C3920" s="1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</row>
    <row r="3921" spans="1:23" x14ac:dyDescent="0.25">
      <c r="A3921" s="2"/>
      <c r="B3921" s="2"/>
      <c r="C3921" s="1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</row>
    <row r="3922" spans="1:23" x14ac:dyDescent="0.25">
      <c r="A3922" s="2"/>
      <c r="B3922" s="2"/>
      <c r="C3922" s="1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</row>
    <row r="3923" spans="1:23" x14ac:dyDescent="0.25">
      <c r="A3923" s="2"/>
      <c r="B3923" s="2"/>
      <c r="C3923" s="1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</row>
    <row r="3924" spans="1:23" x14ac:dyDescent="0.25">
      <c r="A3924" s="2"/>
      <c r="B3924" s="2"/>
      <c r="C3924" s="1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</row>
    <row r="3925" spans="1:23" x14ac:dyDescent="0.25">
      <c r="A3925" s="2"/>
      <c r="B3925" s="2"/>
      <c r="C3925" s="1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</row>
    <row r="3926" spans="1:23" x14ac:dyDescent="0.25">
      <c r="A3926" s="2"/>
      <c r="B3926" s="2"/>
      <c r="C3926" s="1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</row>
    <row r="3927" spans="1:23" x14ac:dyDescent="0.25">
      <c r="A3927" s="2"/>
      <c r="B3927" s="2"/>
      <c r="C3927" s="1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</row>
    <row r="3928" spans="1:23" x14ac:dyDescent="0.25">
      <c r="A3928" s="2"/>
      <c r="B3928" s="2"/>
      <c r="C3928" s="1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</row>
    <row r="3929" spans="1:23" x14ac:dyDescent="0.25">
      <c r="A3929" s="2"/>
      <c r="B3929" s="2"/>
      <c r="C3929" s="1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</row>
    <row r="3930" spans="1:23" x14ac:dyDescent="0.25">
      <c r="A3930" s="2"/>
      <c r="B3930" s="2"/>
      <c r="C3930" s="1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</row>
    <row r="3931" spans="1:23" x14ac:dyDescent="0.25">
      <c r="A3931" s="2"/>
      <c r="B3931" s="2"/>
      <c r="C3931" s="1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</row>
    <row r="3932" spans="1:23" x14ac:dyDescent="0.25">
      <c r="A3932" s="2"/>
      <c r="B3932" s="2"/>
      <c r="C3932" s="1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</row>
    <row r="3933" spans="1:23" x14ac:dyDescent="0.25">
      <c r="A3933" s="2"/>
      <c r="B3933" s="2"/>
      <c r="C3933" s="1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</row>
    <row r="3934" spans="1:23" x14ac:dyDescent="0.25">
      <c r="A3934" s="2"/>
      <c r="B3934" s="2"/>
      <c r="C3934" s="1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</row>
    <row r="3935" spans="1:23" x14ac:dyDescent="0.25">
      <c r="A3935" s="2"/>
      <c r="B3935" s="2"/>
      <c r="C3935" s="1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</row>
    <row r="3936" spans="1:23" x14ac:dyDescent="0.25">
      <c r="A3936" s="2"/>
      <c r="B3936" s="2"/>
      <c r="C3936" s="1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</row>
    <row r="3937" spans="1:23" x14ac:dyDescent="0.25">
      <c r="A3937" s="2"/>
      <c r="B3937" s="2"/>
      <c r="C3937" s="1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</row>
    <row r="3938" spans="1:23" x14ac:dyDescent="0.25">
      <c r="A3938" s="2"/>
      <c r="B3938" s="2"/>
      <c r="C3938" s="1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</row>
    <row r="3939" spans="1:23" x14ac:dyDescent="0.25">
      <c r="A3939" s="2"/>
      <c r="B3939" s="2"/>
      <c r="C3939" s="1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</row>
    <row r="3940" spans="1:23" x14ac:dyDescent="0.25">
      <c r="A3940" s="2"/>
      <c r="B3940" s="2"/>
      <c r="C3940" s="1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</row>
    <row r="3941" spans="1:23" x14ac:dyDescent="0.25">
      <c r="A3941" s="2"/>
      <c r="B3941" s="2"/>
      <c r="C3941" s="1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</row>
    <row r="3942" spans="1:23" x14ac:dyDescent="0.25">
      <c r="A3942" s="2"/>
      <c r="B3942" s="2"/>
      <c r="C3942" s="1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</row>
    <row r="3943" spans="1:23" x14ac:dyDescent="0.25">
      <c r="A3943" s="2"/>
      <c r="B3943" s="2"/>
      <c r="C3943" s="1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</row>
    <row r="3944" spans="1:23" x14ac:dyDescent="0.25">
      <c r="A3944" s="2"/>
      <c r="B3944" s="2"/>
      <c r="C3944" s="1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</row>
    <row r="3945" spans="1:23" x14ac:dyDescent="0.25">
      <c r="A3945" s="2"/>
      <c r="B3945" s="2"/>
      <c r="C3945" s="1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</row>
    <row r="3946" spans="1:23" x14ac:dyDescent="0.25">
      <c r="A3946" s="2"/>
      <c r="B3946" s="2"/>
      <c r="C3946" s="1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</row>
    <row r="3947" spans="1:23" x14ac:dyDescent="0.25">
      <c r="A3947" s="2"/>
      <c r="B3947" s="2"/>
      <c r="C3947" s="1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</row>
    <row r="3948" spans="1:23" x14ac:dyDescent="0.25">
      <c r="A3948" s="2"/>
      <c r="B3948" s="2"/>
      <c r="C3948" s="1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</row>
    <row r="3949" spans="1:23" x14ac:dyDescent="0.25">
      <c r="A3949" s="2"/>
      <c r="B3949" s="2"/>
      <c r="C3949" s="1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</row>
    <row r="3950" spans="1:23" x14ac:dyDescent="0.25">
      <c r="A3950" s="2"/>
      <c r="B3950" s="2"/>
      <c r="C3950" s="1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</row>
    <row r="3951" spans="1:23" x14ac:dyDescent="0.25">
      <c r="A3951" s="2"/>
      <c r="B3951" s="2"/>
      <c r="C3951" s="1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</row>
    <row r="3952" spans="1:23" x14ac:dyDescent="0.25">
      <c r="A3952" s="2"/>
      <c r="B3952" s="2"/>
      <c r="C3952" s="1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</row>
    <row r="3953" spans="1:23" x14ac:dyDescent="0.25">
      <c r="A3953" s="2"/>
      <c r="B3953" s="2"/>
      <c r="C3953" s="1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</row>
    <row r="3954" spans="1:23" x14ac:dyDescent="0.25">
      <c r="A3954" s="2"/>
      <c r="B3954" s="2"/>
      <c r="C3954" s="1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</row>
    <row r="3955" spans="1:23" x14ac:dyDescent="0.25">
      <c r="A3955" s="2"/>
      <c r="B3955" s="2"/>
      <c r="C3955" s="1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</row>
    <row r="3956" spans="1:23" x14ac:dyDescent="0.25">
      <c r="A3956" s="2"/>
      <c r="B3956" s="2"/>
      <c r="C3956" s="1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</row>
    <row r="3957" spans="1:23" x14ac:dyDescent="0.25">
      <c r="A3957" s="2"/>
      <c r="B3957" s="2"/>
      <c r="C3957" s="1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</row>
    <row r="3958" spans="1:23" x14ac:dyDescent="0.25">
      <c r="A3958" s="2"/>
      <c r="B3958" s="2"/>
      <c r="C3958" s="1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</row>
    <row r="3959" spans="1:23" x14ac:dyDescent="0.25">
      <c r="A3959" s="2"/>
      <c r="B3959" s="2"/>
      <c r="C3959" s="1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</row>
    <row r="3960" spans="1:23" x14ac:dyDescent="0.25">
      <c r="A3960" s="2"/>
      <c r="B3960" s="2"/>
      <c r="C3960" s="1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</row>
    <row r="3961" spans="1:23" x14ac:dyDescent="0.25">
      <c r="A3961" s="2"/>
      <c r="B3961" s="2"/>
      <c r="C3961" s="1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</row>
    <row r="3962" spans="1:23" x14ac:dyDescent="0.25">
      <c r="A3962" s="2"/>
      <c r="B3962" s="2"/>
      <c r="C3962" s="1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</row>
    <row r="3963" spans="1:23" x14ac:dyDescent="0.25">
      <c r="A3963" s="2"/>
      <c r="B3963" s="2"/>
      <c r="C3963" s="1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</row>
    <row r="3964" spans="1:23" x14ac:dyDescent="0.25">
      <c r="A3964" s="2"/>
      <c r="B3964" s="2"/>
      <c r="C3964" s="1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</row>
    <row r="3965" spans="1:23" x14ac:dyDescent="0.25">
      <c r="A3965" s="2"/>
      <c r="B3965" s="2"/>
      <c r="C3965" s="1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</row>
    <row r="3966" spans="1:23" x14ac:dyDescent="0.25">
      <c r="A3966" s="2"/>
      <c r="B3966" s="2"/>
      <c r="C3966" s="1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</row>
    <row r="3967" spans="1:23" x14ac:dyDescent="0.25">
      <c r="A3967" s="2"/>
      <c r="B3967" s="2"/>
      <c r="C3967" s="1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</row>
    <row r="3968" spans="1:23" x14ac:dyDescent="0.25">
      <c r="A3968" s="2"/>
      <c r="B3968" s="2"/>
      <c r="C3968" s="1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</row>
    <row r="3969" spans="1:23" x14ac:dyDescent="0.25">
      <c r="A3969" s="2"/>
      <c r="B3969" s="2"/>
      <c r="C3969" s="1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</row>
    <row r="3970" spans="1:23" x14ac:dyDescent="0.25">
      <c r="A3970" s="2"/>
      <c r="B3970" s="2"/>
      <c r="C3970" s="1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</row>
    <row r="3971" spans="1:23" x14ac:dyDescent="0.25">
      <c r="A3971" s="2"/>
      <c r="B3971" s="2"/>
      <c r="C3971" s="1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</row>
    <row r="3972" spans="1:23" x14ac:dyDescent="0.25">
      <c r="A3972" s="2"/>
      <c r="B3972" s="2"/>
      <c r="C3972" s="1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</row>
    <row r="3973" spans="1:23" x14ac:dyDescent="0.25">
      <c r="A3973" s="2"/>
      <c r="B3973" s="2"/>
      <c r="C3973" s="1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</row>
    <row r="3974" spans="1:23" x14ac:dyDescent="0.25">
      <c r="A3974" s="2"/>
      <c r="B3974" s="2"/>
      <c r="C3974" s="1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</row>
    <row r="3975" spans="1:23" x14ac:dyDescent="0.25">
      <c r="A3975" s="2"/>
      <c r="B3975" s="2"/>
      <c r="C3975" s="1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</row>
    <row r="3976" spans="1:23" x14ac:dyDescent="0.25">
      <c r="A3976" s="2"/>
      <c r="B3976" s="2"/>
      <c r="C3976" s="1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</row>
    <row r="3977" spans="1:23" x14ac:dyDescent="0.25">
      <c r="A3977" s="2"/>
      <c r="B3977" s="2"/>
      <c r="C3977" s="1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</row>
    <row r="3978" spans="1:23" x14ac:dyDescent="0.25">
      <c r="A3978" s="2"/>
      <c r="B3978" s="2"/>
      <c r="C3978" s="1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</row>
    <row r="3979" spans="1:23" x14ac:dyDescent="0.25">
      <c r="A3979" s="2"/>
      <c r="B3979" s="2"/>
      <c r="C3979" s="1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</row>
    <row r="3980" spans="1:23" x14ac:dyDescent="0.25">
      <c r="A3980" s="2"/>
      <c r="B3980" s="2"/>
      <c r="C3980" s="1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</row>
    <row r="3981" spans="1:23" x14ac:dyDescent="0.25">
      <c r="A3981" s="2"/>
      <c r="B3981" s="2"/>
      <c r="C3981" s="1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</row>
    <row r="3982" spans="1:23" x14ac:dyDescent="0.25">
      <c r="A3982" s="2"/>
      <c r="B3982" s="2"/>
      <c r="C3982" s="1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</row>
    <row r="3983" spans="1:23" x14ac:dyDescent="0.25">
      <c r="A3983" s="2"/>
      <c r="B3983" s="2"/>
      <c r="C3983" s="1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</row>
    <row r="3984" spans="1:23" x14ac:dyDescent="0.25">
      <c r="A3984" s="2"/>
      <c r="B3984" s="2"/>
      <c r="C3984" s="1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</row>
    <row r="3985" spans="1:23" x14ac:dyDescent="0.25">
      <c r="A3985" s="2"/>
      <c r="B3985" s="2"/>
      <c r="C3985" s="1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</row>
    <row r="3986" spans="1:23" x14ac:dyDescent="0.25">
      <c r="A3986" s="2"/>
      <c r="B3986" s="2"/>
      <c r="C3986" s="1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</row>
    <row r="3987" spans="1:23" x14ac:dyDescent="0.25">
      <c r="A3987" s="2"/>
      <c r="B3987" s="2"/>
      <c r="C3987" s="1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</row>
    <row r="3988" spans="1:23" x14ac:dyDescent="0.25">
      <c r="A3988" s="2"/>
      <c r="B3988" s="2"/>
      <c r="C3988" s="1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</row>
    <row r="3989" spans="1:23" x14ac:dyDescent="0.25">
      <c r="A3989" s="2"/>
      <c r="B3989" s="2"/>
      <c r="C3989" s="1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</row>
    <row r="3990" spans="1:23" x14ac:dyDescent="0.25">
      <c r="A3990" s="2"/>
      <c r="B3990" s="2"/>
      <c r="C3990" s="1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</row>
    <row r="3991" spans="1:23" x14ac:dyDescent="0.25">
      <c r="A3991" s="2"/>
      <c r="B3991" s="2"/>
      <c r="C3991" s="1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</row>
    <row r="3992" spans="1:23" x14ac:dyDescent="0.25">
      <c r="A3992" s="2"/>
      <c r="B3992" s="2"/>
      <c r="C3992" s="1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</row>
    <row r="3993" spans="1:23" x14ac:dyDescent="0.25">
      <c r="A3993" s="2"/>
      <c r="B3993" s="2"/>
      <c r="C3993" s="1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</row>
    <row r="3994" spans="1:23" x14ac:dyDescent="0.25">
      <c r="A3994" s="2"/>
      <c r="B3994" s="2"/>
      <c r="C3994" s="1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</row>
    <row r="3995" spans="1:23" x14ac:dyDescent="0.25">
      <c r="A3995" s="2"/>
      <c r="B3995" s="2"/>
      <c r="C3995" s="1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</row>
    <row r="3996" spans="1:23" x14ac:dyDescent="0.25">
      <c r="A3996" s="2"/>
      <c r="B3996" s="2"/>
      <c r="C3996" s="1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</row>
    <row r="3997" spans="1:23" x14ac:dyDescent="0.25">
      <c r="A3997" s="2"/>
      <c r="B3997" s="2"/>
      <c r="C3997" s="1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</row>
    <row r="3998" spans="1:23" x14ac:dyDescent="0.25">
      <c r="A3998" s="2"/>
      <c r="B3998" s="2"/>
      <c r="C3998" s="1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</row>
    <row r="3999" spans="1:23" x14ac:dyDescent="0.25">
      <c r="A3999" s="2"/>
      <c r="B3999" s="2"/>
      <c r="C3999" s="1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</row>
    <row r="4000" spans="1:23" x14ac:dyDescent="0.25">
      <c r="A4000" s="2"/>
      <c r="B4000" s="2"/>
      <c r="C4000" s="1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</row>
    <row r="4001" spans="1:23" x14ac:dyDescent="0.25">
      <c r="A4001" s="2"/>
      <c r="B4001" s="2"/>
      <c r="C4001" s="1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</row>
    <row r="4002" spans="1:23" x14ac:dyDescent="0.25">
      <c r="A4002" s="2"/>
      <c r="B4002" s="2"/>
      <c r="C4002" s="1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</row>
    <row r="4003" spans="1:23" x14ac:dyDescent="0.25">
      <c r="A4003" s="2"/>
      <c r="B4003" s="2"/>
      <c r="C4003" s="1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</row>
    <row r="4004" spans="1:23" x14ac:dyDescent="0.25">
      <c r="A4004" s="2"/>
      <c r="B4004" s="2"/>
      <c r="C4004" s="1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</row>
    <row r="4005" spans="1:23" x14ac:dyDescent="0.25">
      <c r="A4005" s="2"/>
      <c r="B4005" s="2"/>
      <c r="C4005" s="1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</row>
    <row r="4006" spans="1:23" x14ac:dyDescent="0.25">
      <c r="A4006" s="2"/>
      <c r="B4006" s="2"/>
      <c r="C4006" s="1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</row>
    <row r="4007" spans="1:23" x14ac:dyDescent="0.25">
      <c r="A4007" s="2"/>
      <c r="B4007" s="2"/>
      <c r="C4007" s="1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</row>
    <row r="4008" spans="1:23" x14ac:dyDescent="0.25">
      <c r="A4008" s="2"/>
      <c r="B4008" s="2"/>
      <c r="C4008" s="1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</row>
    <row r="4009" spans="1:23" x14ac:dyDescent="0.25">
      <c r="A4009" s="2"/>
      <c r="B4009" s="2"/>
      <c r="C4009" s="1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</row>
    <row r="4010" spans="1:23" x14ac:dyDescent="0.25">
      <c r="A4010" s="2"/>
      <c r="B4010" s="2"/>
      <c r="C4010" s="1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</row>
    <row r="4011" spans="1:23" x14ac:dyDescent="0.25">
      <c r="A4011" s="2"/>
      <c r="B4011" s="2"/>
      <c r="C4011" s="1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</row>
    <row r="4012" spans="1:23" x14ac:dyDescent="0.25">
      <c r="A4012" s="2"/>
      <c r="B4012" s="2"/>
      <c r="C4012" s="1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</row>
    <row r="4013" spans="1:23" x14ac:dyDescent="0.25">
      <c r="A4013" s="2"/>
      <c r="B4013" s="2"/>
      <c r="C4013" s="1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</row>
    <row r="4014" spans="1:23" x14ac:dyDescent="0.25">
      <c r="A4014" s="2"/>
      <c r="B4014" s="2"/>
      <c r="C4014" s="1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</row>
    <row r="4015" spans="1:23" x14ac:dyDescent="0.25">
      <c r="A4015" s="2"/>
      <c r="B4015" s="2"/>
      <c r="C4015" s="1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</row>
    <row r="4016" spans="1:23" x14ac:dyDescent="0.25">
      <c r="A4016" s="2"/>
      <c r="B4016" s="2"/>
      <c r="C4016" s="1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</row>
    <row r="4017" spans="1:23" x14ac:dyDescent="0.25">
      <c r="A4017" s="2"/>
      <c r="B4017" s="2"/>
      <c r="C4017" s="1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</row>
    <row r="4018" spans="1:23" x14ac:dyDescent="0.25">
      <c r="A4018" s="2"/>
      <c r="B4018" s="2"/>
      <c r="C4018" s="1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</row>
    <row r="4019" spans="1:23" x14ac:dyDescent="0.25">
      <c r="A4019" s="2"/>
      <c r="B4019" s="2"/>
      <c r="C4019" s="1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</row>
    <row r="4020" spans="1:23" x14ac:dyDescent="0.25">
      <c r="A4020" s="2"/>
      <c r="B4020" s="2"/>
      <c r="C4020" s="1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</row>
    <row r="4021" spans="1:23" x14ac:dyDescent="0.25">
      <c r="A4021" s="2"/>
      <c r="B4021" s="2"/>
      <c r="C4021" s="1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</row>
    <row r="4022" spans="1:23" x14ac:dyDescent="0.25">
      <c r="A4022" s="2"/>
      <c r="B4022" s="2"/>
      <c r="C4022" s="1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</row>
    <row r="4023" spans="1:23" x14ac:dyDescent="0.25">
      <c r="A4023" s="2"/>
      <c r="B4023" s="2"/>
      <c r="C4023" s="1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</row>
    <row r="4024" spans="1:23" x14ac:dyDescent="0.25">
      <c r="A4024" s="2"/>
      <c r="B4024" s="2"/>
      <c r="C4024" s="1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</row>
    <row r="4025" spans="1:23" x14ac:dyDescent="0.25">
      <c r="A4025" s="2"/>
      <c r="B4025" s="2"/>
      <c r="C4025" s="1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</row>
    <row r="4026" spans="1:23" x14ac:dyDescent="0.25">
      <c r="A4026" s="2"/>
      <c r="B4026" s="2"/>
      <c r="C4026" s="1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</row>
    <row r="4027" spans="1:23" x14ac:dyDescent="0.25">
      <c r="A4027" s="2"/>
      <c r="B4027" s="2"/>
      <c r="C4027" s="1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</row>
    <row r="4028" spans="1:23" x14ac:dyDescent="0.25">
      <c r="A4028" s="2"/>
      <c r="B4028" s="2"/>
      <c r="C4028" s="1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</row>
    <row r="4029" spans="1:23" x14ac:dyDescent="0.25">
      <c r="A4029" s="2"/>
      <c r="B4029" s="2"/>
      <c r="C4029" s="1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</row>
    <row r="4030" spans="1:23" x14ac:dyDescent="0.25">
      <c r="A4030" s="2"/>
      <c r="B4030" s="2"/>
      <c r="C4030" s="1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</row>
    <row r="4031" spans="1:23" x14ac:dyDescent="0.25">
      <c r="A4031" s="2"/>
      <c r="B4031" s="2"/>
      <c r="C4031" s="1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</row>
    <row r="4032" spans="1:23" x14ac:dyDescent="0.25">
      <c r="A4032" s="2"/>
      <c r="B4032" s="2"/>
      <c r="C4032" s="1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</row>
    <row r="4033" spans="1:23" x14ac:dyDescent="0.25">
      <c r="A4033" s="2"/>
      <c r="B4033" s="2"/>
      <c r="C4033" s="1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</row>
    <row r="4034" spans="1:23" x14ac:dyDescent="0.25">
      <c r="A4034" s="2"/>
      <c r="B4034" s="2"/>
      <c r="C4034" s="1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</row>
    <row r="4035" spans="1:23" x14ac:dyDescent="0.25">
      <c r="A4035" s="2"/>
      <c r="B4035" s="2"/>
      <c r="C4035" s="1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</row>
    <row r="4036" spans="1:23" x14ac:dyDescent="0.25">
      <c r="A4036" s="2"/>
      <c r="B4036" s="2"/>
      <c r="C4036" s="1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</row>
    <row r="4037" spans="1:23" x14ac:dyDescent="0.25">
      <c r="A4037" s="2"/>
      <c r="B4037" s="2"/>
      <c r="C4037" s="1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</row>
    <row r="4038" spans="1:23" x14ac:dyDescent="0.25">
      <c r="A4038" s="2"/>
      <c r="B4038" s="2"/>
      <c r="C4038" s="1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</row>
    <row r="4039" spans="1:23" x14ac:dyDescent="0.25">
      <c r="A4039" s="2"/>
      <c r="B4039" s="2"/>
      <c r="C4039" s="1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</row>
    <row r="4040" spans="1:23" x14ac:dyDescent="0.25">
      <c r="A4040" s="2"/>
      <c r="B4040" s="2"/>
      <c r="C4040" s="1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</row>
    <row r="4041" spans="1:23" x14ac:dyDescent="0.25">
      <c r="A4041" s="2"/>
      <c r="B4041" s="2"/>
      <c r="C4041" s="1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</row>
    <row r="4042" spans="1:23" x14ac:dyDescent="0.25">
      <c r="A4042" s="2"/>
      <c r="B4042" s="2"/>
      <c r="C4042" s="1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</row>
    <row r="4043" spans="1:23" x14ac:dyDescent="0.25">
      <c r="A4043" s="2"/>
      <c r="B4043" s="2"/>
      <c r="C4043" s="1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</row>
    <row r="4044" spans="1:23" x14ac:dyDescent="0.25">
      <c r="A4044" s="2"/>
      <c r="B4044" s="2"/>
      <c r="C4044" s="1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</row>
    <row r="4045" spans="1:23" x14ac:dyDescent="0.25">
      <c r="A4045" s="2"/>
      <c r="B4045" s="2"/>
      <c r="C4045" s="1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</row>
    <row r="4046" spans="1:23" x14ac:dyDescent="0.25">
      <c r="A4046" s="2"/>
      <c r="B4046" s="2"/>
      <c r="C4046" s="1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</row>
    <row r="4047" spans="1:23" x14ac:dyDescent="0.25">
      <c r="A4047" s="2"/>
      <c r="B4047" s="2"/>
      <c r="C4047" s="1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</row>
    <row r="4048" spans="1:23" x14ac:dyDescent="0.25">
      <c r="A4048" s="2"/>
      <c r="B4048" s="2"/>
      <c r="C4048" s="1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</row>
    <row r="4049" spans="1:23" x14ac:dyDescent="0.25">
      <c r="A4049" s="2"/>
      <c r="B4049" s="2"/>
      <c r="C4049" s="1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</row>
    <row r="4050" spans="1:23" x14ac:dyDescent="0.25">
      <c r="A4050" s="2"/>
      <c r="B4050" s="2"/>
      <c r="C4050" s="1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</row>
    <row r="4051" spans="1:23" x14ac:dyDescent="0.25">
      <c r="A4051" s="2"/>
      <c r="B4051" s="2"/>
      <c r="C4051" s="1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</row>
    <row r="4052" spans="1:23" x14ac:dyDescent="0.25">
      <c r="A4052" s="2"/>
      <c r="B4052" s="2"/>
      <c r="C4052" s="1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</row>
    <row r="4053" spans="1:23" x14ac:dyDescent="0.25">
      <c r="A4053" s="2"/>
      <c r="B4053" s="2"/>
      <c r="C4053" s="1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</row>
    <row r="4054" spans="1:23" x14ac:dyDescent="0.25">
      <c r="A4054" s="2"/>
      <c r="B4054" s="2"/>
      <c r="C4054" s="1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</row>
    <row r="4055" spans="1:23" x14ac:dyDescent="0.25">
      <c r="A4055" s="2"/>
      <c r="B4055" s="2"/>
      <c r="C4055" s="1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</row>
    <row r="4056" spans="1:23" x14ac:dyDescent="0.25">
      <c r="A4056" s="2"/>
      <c r="B4056" s="2"/>
      <c r="C4056" s="1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</row>
    <row r="4057" spans="1:23" x14ac:dyDescent="0.25">
      <c r="A4057" s="2"/>
      <c r="B4057" s="2"/>
      <c r="C4057" s="1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</row>
    <row r="4058" spans="1:23" x14ac:dyDescent="0.25">
      <c r="A4058" s="2"/>
      <c r="B4058" s="2"/>
      <c r="C4058" s="1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</row>
    <row r="4059" spans="1:23" x14ac:dyDescent="0.25">
      <c r="A4059" s="2"/>
      <c r="B4059" s="2"/>
      <c r="C4059" s="1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</row>
    <row r="4060" spans="1:23" x14ac:dyDescent="0.25">
      <c r="A4060" s="2"/>
      <c r="B4060" s="2"/>
      <c r="C4060" s="1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</row>
    <row r="4061" spans="1:23" x14ac:dyDescent="0.25">
      <c r="A4061" s="2"/>
      <c r="B4061" s="2"/>
      <c r="C4061" s="1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</row>
    <row r="4062" spans="1:23" x14ac:dyDescent="0.25">
      <c r="A4062" s="2"/>
      <c r="B4062" s="2"/>
      <c r="C4062" s="1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</row>
    <row r="4063" spans="1:23" x14ac:dyDescent="0.25">
      <c r="A4063" s="2"/>
      <c r="B4063" s="2"/>
      <c r="C4063" s="1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</row>
    <row r="4064" spans="1:23" x14ac:dyDescent="0.25">
      <c r="A4064" s="2"/>
      <c r="B4064" s="2"/>
      <c r="C4064" s="1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</row>
    <row r="4065" spans="1:23" x14ac:dyDescent="0.25">
      <c r="A4065" s="2"/>
      <c r="B4065" s="2"/>
      <c r="C4065" s="1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</row>
    <row r="4066" spans="1:23" x14ac:dyDescent="0.25">
      <c r="A4066" s="2"/>
      <c r="B4066" s="2"/>
      <c r="C4066" s="1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</row>
    <row r="4067" spans="1:23" x14ac:dyDescent="0.25">
      <c r="A4067" s="2"/>
      <c r="B4067" s="2"/>
      <c r="C4067" s="1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</row>
    <row r="4068" spans="1:23" x14ac:dyDescent="0.25">
      <c r="A4068" s="2"/>
      <c r="B4068" s="2"/>
      <c r="C4068" s="1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</row>
    <row r="4069" spans="1:23" x14ac:dyDescent="0.25">
      <c r="A4069" s="2"/>
      <c r="B4069" s="2"/>
      <c r="C4069" s="1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</row>
    <row r="4070" spans="1:23" x14ac:dyDescent="0.25">
      <c r="A4070" s="2"/>
      <c r="B4070" s="2"/>
      <c r="C4070" s="1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</row>
    <row r="4071" spans="1:23" x14ac:dyDescent="0.25">
      <c r="A4071" s="2"/>
      <c r="B4071" s="2"/>
      <c r="C4071" s="1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</row>
    <row r="4072" spans="1:23" x14ac:dyDescent="0.25">
      <c r="A4072" s="2"/>
      <c r="B4072" s="2"/>
      <c r="C4072" s="1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</row>
    <row r="4073" spans="1:23" x14ac:dyDescent="0.25">
      <c r="A4073" s="2"/>
      <c r="B4073" s="2"/>
      <c r="C4073" s="1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</row>
    <row r="4074" spans="1:23" x14ac:dyDescent="0.25">
      <c r="A4074" s="2"/>
      <c r="B4074" s="2"/>
      <c r="C4074" s="1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</row>
    <row r="4075" spans="1:23" x14ac:dyDescent="0.25">
      <c r="A4075" s="2"/>
      <c r="B4075" s="2"/>
      <c r="C4075" s="1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</row>
    <row r="4076" spans="1:23" x14ac:dyDescent="0.25">
      <c r="A4076" s="2"/>
      <c r="B4076" s="2"/>
      <c r="C4076" s="1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</row>
    <row r="4077" spans="1:23" x14ac:dyDescent="0.25">
      <c r="A4077" s="2"/>
      <c r="B4077" s="2"/>
      <c r="C4077" s="1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</row>
    <row r="4078" spans="1:23" x14ac:dyDescent="0.25">
      <c r="A4078" s="2"/>
      <c r="B4078" s="2"/>
      <c r="C4078" s="1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</row>
    <row r="4079" spans="1:23" x14ac:dyDescent="0.25">
      <c r="A4079" s="2"/>
      <c r="B4079" s="2"/>
      <c r="C4079" s="1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</row>
    <row r="4080" spans="1:23" x14ac:dyDescent="0.25">
      <c r="A4080" s="2"/>
      <c r="B4080" s="2"/>
      <c r="C4080" s="1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</row>
    <row r="4081" spans="1:23" x14ac:dyDescent="0.25">
      <c r="A4081" s="2"/>
      <c r="B4081" s="2"/>
      <c r="C4081" s="1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</row>
    <row r="4082" spans="1:23" x14ac:dyDescent="0.25">
      <c r="A4082" s="2"/>
      <c r="B4082" s="2"/>
      <c r="C4082" s="1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</row>
    <row r="4083" spans="1:23" x14ac:dyDescent="0.25">
      <c r="A4083" s="2"/>
      <c r="B4083" s="2"/>
      <c r="C4083" s="1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</row>
    <row r="4084" spans="1:23" x14ac:dyDescent="0.25">
      <c r="A4084" s="2"/>
      <c r="B4084" s="2"/>
      <c r="C4084" s="1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</row>
    <row r="4085" spans="1:23" x14ac:dyDescent="0.25">
      <c r="A4085" s="2"/>
      <c r="B4085" s="2"/>
      <c r="C4085" s="1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</row>
    <row r="4086" spans="1:23" x14ac:dyDescent="0.25">
      <c r="A4086" s="2"/>
      <c r="B4086" s="2"/>
      <c r="C4086" s="1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</row>
    <row r="4087" spans="1:23" x14ac:dyDescent="0.25">
      <c r="A4087" s="2"/>
      <c r="B4087" s="2"/>
      <c r="C4087" s="1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</row>
    <row r="4088" spans="1:23" x14ac:dyDescent="0.25">
      <c r="A4088" s="2"/>
      <c r="B4088" s="2"/>
      <c r="C4088" s="1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</row>
    <row r="4089" spans="1:23" x14ac:dyDescent="0.25">
      <c r="A4089" s="2"/>
      <c r="B4089" s="2"/>
      <c r="C4089" s="1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</row>
    <row r="4090" spans="1:23" x14ac:dyDescent="0.25">
      <c r="A4090" s="2"/>
      <c r="B4090" s="2"/>
      <c r="C4090" s="1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</row>
    <row r="4091" spans="1:23" x14ac:dyDescent="0.25">
      <c r="A4091" s="2"/>
      <c r="B4091" s="2"/>
      <c r="C4091" s="1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</row>
    <row r="4092" spans="1:23" x14ac:dyDescent="0.25">
      <c r="A4092" s="2"/>
      <c r="B4092" s="2"/>
      <c r="C4092" s="1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</row>
    <row r="4093" spans="1:23" x14ac:dyDescent="0.25">
      <c r="A4093" s="2"/>
      <c r="B4093" s="2"/>
      <c r="C4093" s="1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</row>
    <row r="4094" spans="1:23" x14ac:dyDescent="0.25">
      <c r="A4094" s="2"/>
      <c r="B4094" s="2"/>
      <c r="C4094" s="1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</row>
    <row r="4095" spans="1:23" x14ac:dyDescent="0.25">
      <c r="A4095" s="2"/>
      <c r="B4095" s="2"/>
      <c r="C4095" s="1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</row>
    <row r="4096" spans="1:23" x14ac:dyDescent="0.25">
      <c r="A4096" s="2"/>
      <c r="B4096" s="2"/>
      <c r="C4096" s="1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</row>
    <row r="4097" spans="1:23" x14ac:dyDescent="0.25">
      <c r="A4097" s="2"/>
      <c r="B4097" s="2"/>
      <c r="C4097" s="1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</row>
    <row r="4098" spans="1:23" x14ac:dyDescent="0.25">
      <c r="A4098" s="2"/>
      <c r="B4098" s="2"/>
      <c r="C4098" s="1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</row>
    <row r="4099" spans="1:23" x14ac:dyDescent="0.25">
      <c r="A4099" s="2"/>
      <c r="B4099" s="2"/>
      <c r="C4099" s="1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</row>
    <row r="4100" spans="1:23" x14ac:dyDescent="0.25">
      <c r="A4100" s="2"/>
      <c r="B4100" s="2"/>
      <c r="C4100" s="1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</row>
    <row r="4101" spans="1:23" x14ac:dyDescent="0.25">
      <c r="A4101" s="2"/>
      <c r="B4101" s="2"/>
      <c r="C4101" s="1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</row>
    <row r="4102" spans="1:23" x14ac:dyDescent="0.25">
      <c r="A4102" s="2"/>
      <c r="B4102" s="2"/>
      <c r="C4102" s="1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</row>
    <row r="4103" spans="1:23" x14ac:dyDescent="0.25">
      <c r="A4103" s="2"/>
      <c r="B4103" s="2"/>
      <c r="C4103" s="1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</row>
    <row r="4104" spans="1:23" x14ac:dyDescent="0.25">
      <c r="A4104" s="2"/>
      <c r="B4104" s="2"/>
      <c r="C4104" s="1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</row>
    <row r="4105" spans="1:23" x14ac:dyDescent="0.25">
      <c r="A4105" s="2"/>
      <c r="B4105" s="2"/>
      <c r="C4105" s="1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</row>
    <row r="4106" spans="1:23" x14ac:dyDescent="0.25">
      <c r="A4106" s="2"/>
      <c r="B4106" s="2"/>
      <c r="C4106" s="1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</row>
    <row r="4107" spans="1:23" x14ac:dyDescent="0.25">
      <c r="A4107" s="2"/>
      <c r="B4107" s="2"/>
      <c r="C4107" s="1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</row>
    <row r="4108" spans="1:23" x14ac:dyDescent="0.25">
      <c r="A4108" s="2"/>
      <c r="B4108" s="2"/>
      <c r="C4108" s="1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</row>
    <row r="4109" spans="1:23" x14ac:dyDescent="0.25">
      <c r="A4109" s="2"/>
      <c r="B4109" s="2"/>
      <c r="C4109" s="1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</row>
    <row r="4110" spans="1:23" x14ac:dyDescent="0.25">
      <c r="A4110" s="2"/>
      <c r="B4110" s="2"/>
      <c r="C4110" s="1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</row>
    <row r="4111" spans="1:23" x14ac:dyDescent="0.25">
      <c r="A4111" s="2"/>
      <c r="B4111" s="2"/>
      <c r="C4111" s="1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</row>
    <row r="4112" spans="1:23" x14ac:dyDescent="0.25">
      <c r="A4112" s="2"/>
      <c r="B4112" s="2"/>
      <c r="C4112" s="1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</row>
    <row r="4113" spans="1:23" x14ac:dyDescent="0.25">
      <c r="A4113" s="2"/>
      <c r="B4113" s="2"/>
      <c r="C4113" s="1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</row>
    <row r="4114" spans="1:23" x14ac:dyDescent="0.25">
      <c r="A4114" s="2"/>
      <c r="B4114" s="2"/>
      <c r="C4114" s="1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</row>
    <row r="4115" spans="1:23" x14ac:dyDescent="0.25">
      <c r="A4115" s="2"/>
      <c r="B4115" s="2"/>
      <c r="C4115" s="1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</row>
    <row r="4116" spans="1:23" x14ac:dyDescent="0.25">
      <c r="A4116" s="2"/>
      <c r="B4116" s="2"/>
      <c r="C4116" s="1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</row>
    <row r="4117" spans="1:23" x14ac:dyDescent="0.25">
      <c r="A4117" s="2"/>
      <c r="B4117" s="2"/>
      <c r="C4117" s="1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</row>
    <row r="4118" spans="1:23" x14ac:dyDescent="0.25">
      <c r="A4118" s="2"/>
      <c r="B4118" s="2"/>
      <c r="C4118" s="1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</row>
    <row r="4119" spans="1:23" x14ac:dyDescent="0.25">
      <c r="A4119" s="2"/>
      <c r="B4119" s="2"/>
      <c r="C4119" s="1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</row>
    <row r="4120" spans="1:23" x14ac:dyDescent="0.25">
      <c r="A4120" s="2"/>
      <c r="B4120" s="2"/>
      <c r="C4120" s="1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</row>
    <row r="4121" spans="1:23" x14ac:dyDescent="0.25">
      <c r="A4121" s="2"/>
      <c r="B4121" s="2"/>
      <c r="C4121" s="1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</row>
    <row r="4122" spans="1:23" x14ac:dyDescent="0.25">
      <c r="A4122" s="2"/>
      <c r="B4122" s="2"/>
      <c r="C4122" s="1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</row>
    <row r="4123" spans="1:23" x14ac:dyDescent="0.25">
      <c r="A4123" s="2"/>
      <c r="B4123" s="2"/>
      <c r="C4123" s="1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</row>
    <row r="4124" spans="1:23" x14ac:dyDescent="0.25">
      <c r="A4124" s="2"/>
      <c r="B4124" s="2"/>
      <c r="C4124" s="1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</row>
    <row r="4125" spans="1:23" x14ac:dyDescent="0.25">
      <c r="A4125" s="2"/>
      <c r="B4125" s="2"/>
      <c r="C4125" s="1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</row>
    <row r="4126" spans="1:23" x14ac:dyDescent="0.25">
      <c r="A4126" s="2"/>
      <c r="B4126" s="2"/>
      <c r="C4126" s="1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</row>
    <row r="4127" spans="1:23" x14ac:dyDescent="0.25">
      <c r="A4127" s="2"/>
      <c r="B4127" s="2"/>
      <c r="C4127" s="1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</row>
    <row r="4128" spans="1:23" x14ac:dyDescent="0.25">
      <c r="A4128" s="2"/>
      <c r="B4128" s="2"/>
      <c r="C4128" s="1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</row>
    <row r="4129" spans="1:23" x14ac:dyDescent="0.25">
      <c r="A4129" s="2"/>
      <c r="B4129" s="2"/>
      <c r="C4129" s="1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</row>
    <row r="4130" spans="1:23" x14ac:dyDescent="0.25">
      <c r="A4130" s="2"/>
      <c r="B4130" s="2"/>
      <c r="C4130" s="1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</row>
    <row r="4131" spans="1:23" x14ac:dyDescent="0.25">
      <c r="A4131" s="2"/>
      <c r="B4131" s="2"/>
      <c r="C4131" s="1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</row>
    <row r="4132" spans="1:23" x14ac:dyDescent="0.25">
      <c r="A4132" s="2"/>
      <c r="B4132" s="2"/>
      <c r="C4132" s="1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</row>
    <row r="4133" spans="1:23" x14ac:dyDescent="0.25">
      <c r="A4133" s="2"/>
      <c r="B4133" s="2"/>
      <c r="C4133" s="1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</row>
    <row r="4134" spans="1:23" x14ac:dyDescent="0.25">
      <c r="A4134" s="2"/>
      <c r="B4134" s="2"/>
      <c r="C4134" s="1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</row>
    <row r="4135" spans="1:23" x14ac:dyDescent="0.25">
      <c r="A4135" s="2"/>
      <c r="B4135" s="2"/>
      <c r="C4135" s="1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</row>
    <row r="4136" spans="1:23" x14ac:dyDescent="0.25">
      <c r="A4136" s="2"/>
      <c r="B4136" s="2"/>
      <c r="C4136" s="1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</row>
    <row r="4137" spans="1:23" x14ac:dyDescent="0.25">
      <c r="A4137" s="2"/>
      <c r="B4137" s="2"/>
      <c r="C4137" s="1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</row>
    <row r="4138" spans="1:23" x14ac:dyDescent="0.25">
      <c r="A4138" s="2"/>
      <c r="B4138" s="2"/>
      <c r="C4138" s="1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</row>
    <row r="4139" spans="1:23" x14ac:dyDescent="0.25">
      <c r="A4139" s="2"/>
      <c r="B4139" s="2"/>
      <c r="C4139" s="1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</row>
    <row r="4140" spans="1:23" x14ac:dyDescent="0.25">
      <c r="A4140" s="2"/>
      <c r="B4140" s="2"/>
      <c r="C4140" s="1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</row>
    <row r="4141" spans="1:23" x14ac:dyDescent="0.25">
      <c r="A4141" s="2"/>
      <c r="B4141" s="2"/>
      <c r="C4141" s="1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</row>
    <row r="4142" spans="1:23" x14ac:dyDescent="0.25">
      <c r="A4142" s="2"/>
      <c r="B4142" s="2"/>
      <c r="C4142" s="1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</row>
    <row r="4143" spans="1:23" x14ac:dyDescent="0.25">
      <c r="A4143" s="2"/>
      <c r="B4143" s="2"/>
      <c r="C4143" s="1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</row>
    <row r="4144" spans="1:23" x14ac:dyDescent="0.25">
      <c r="A4144" s="2"/>
      <c r="B4144" s="2"/>
      <c r="C4144" s="1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</row>
    <row r="4145" spans="1:23" x14ac:dyDescent="0.25">
      <c r="A4145" s="2"/>
      <c r="B4145" s="2"/>
      <c r="C4145" s="1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</row>
    <row r="4146" spans="1:23" x14ac:dyDescent="0.25">
      <c r="A4146" s="2"/>
      <c r="B4146" s="2"/>
      <c r="C4146" s="1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</row>
    <row r="4147" spans="1:23" x14ac:dyDescent="0.25">
      <c r="A4147" s="2"/>
      <c r="B4147" s="2"/>
      <c r="C4147" s="1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</row>
    <row r="4148" spans="1:23" x14ac:dyDescent="0.25">
      <c r="A4148" s="2"/>
      <c r="B4148" s="2"/>
      <c r="C4148" s="1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</row>
    <row r="4149" spans="1:23" x14ac:dyDescent="0.25">
      <c r="A4149" s="2"/>
      <c r="B4149" s="2"/>
      <c r="C4149" s="1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</row>
    <row r="4150" spans="1:23" x14ac:dyDescent="0.25">
      <c r="A4150" s="2"/>
      <c r="B4150" s="2"/>
      <c r="C4150" s="1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</row>
    <row r="4151" spans="1:23" x14ac:dyDescent="0.25">
      <c r="A4151" s="2"/>
      <c r="B4151" s="2"/>
      <c r="C4151" s="1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</row>
    <row r="4152" spans="1:23" x14ac:dyDescent="0.25">
      <c r="A4152" s="2"/>
      <c r="B4152" s="2"/>
      <c r="C4152" s="1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</row>
    <row r="4153" spans="1:23" x14ac:dyDescent="0.25">
      <c r="A4153" s="2"/>
      <c r="B4153" s="2"/>
      <c r="C4153" s="1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</row>
    <row r="4154" spans="1:23" x14ac:dyDescent="0.25">
      <c r="A4154" s="2"/>
      <c r="B4154" s="2"/>
      <c r="C4154" s="1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</row>
    <row r="4155" spans="1:23" x14ac:dyDescent="0.25">
      <c r="A4155" s="2"/>
      <c r="B4155" s="2"/>
      <c r="C4155" s="1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</row>
    <row r="4156" spans="1:23" x14ac:dyDescent="0.25">
      <c r="A4156" s="2"/>
      <c r="B4156" s="2"/>
      <c r="C4156" s="1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</row>
    <row r="4157" spans="1:23" x14ac:dyDescent="0.25">
      <c r="A4157" s="2"/>
      <c r="B4157" s="2"/>
      <c r="C4157" s="1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</row>
    <row r="4158" spans="1:23" x14ac:dyDescent="0.25">
      <c r="A4158" s="2"/>
      <c r="B4158" s="2"/>
      <c r="C4158" s="1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</row>
    <row r="4159" spans="1:23" x14ac:dyDescent="0.25">
      <c r="A4159" s="2"/>
      <c r="B4159" s="2"/>
      <c r="C4159" s="1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</row>
    <row r="4160" spans="1:23" x14ac:dyDescent="0.25">
      <c r="A4160" s="2"/>
      <c r="B4160" s="2"/>
      <c r="C4160" s="1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</row>
    <row r="4161" spans="1:23" x14ac:dyDescent="0.25">
      <c r="A4161" s="2"/>
      <c r="B4161" s="2"/>
      <c r="C4161" s="1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</row>
    <row r="4162" spans="1:23" x14ac:dyDescent="0.25">
      <c r="A4162" s="2"/>
      <c r="B4162" s="2"/>
      <c r="C4162" s="1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</row>
    <row r="4163" spans="1:23" x14ac:dyDescent="0.25">
      <c r="A4163" s="2"/>
      <c r="B4163" s="2"/>
      <c r="C4163" s="1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</row>
    <row r="4164" spans="1:23" x14ac:dyDescent="0.25">
      <c r="A4164" s="2"/>
      <c r="B4164" s="2"/>
      <c r="C4164" s="1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</row>
    <row r="4165" spans="1:23" x14ac:dyDescent="0.25">
      <c r="A4165" s="2"/>
      <c r="B4165" s="2"/>
      <c r="C4165" s="1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</row>
    <row r="4166" spans="1:23" x14ac:dyDescent="0.25">
      <c r="A4166" s="2"/>
      <c r="B4166" s="2"/>
      <c r="C4166" s="1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</row>
    <row r="4167" spans="1:23" x14ac:dyDescent="0.25">
      <c r="A4167" s="2"/>
      <c r="B4167" s="2"/>
      <c r="C4167" s="1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</row>
    <row r="4168" spans="1:23" x14ac:dyDescent="0.25">
      <c r="A4168" s="2"/>
      <c r="B4168" s="2"/>
      <c r="C4168" s="1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</row>
    <row r="4169" spans="1:23" x14ac:dyDescent="0.25">
      <c r="A4169" s="2"/>
      <c r="B4169" s="2"/>
      <c r="C4169" s="1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</row>
    <row r="4170" spans="1:23" x14ac:dyDescent="0.25">
      <c r="A4170" s="2"/>
      <c r="B4170" s="2"/>
      <c r="C4170" s="1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</row>
    <row r="4171" spans="1:23" x14ac:dyDescent="0.25">
      <c r="A4171" s="2"/>
      <c r="B4171" s="2"/>
      <c r="C4171" s="1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</row>
    <row r="4172" spans="1:23" x14ac:dyDescent="0.25">
      <c r="A4172" s="2"/>
      <c r="B4172" s="2"/>
      <c r="C4172" s="1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</row>
    <row r="4173" spans="1:23" x14ac:dyDescent="0.25">
      <c r="A4173" s="2"/>
      <c r="B4173" s="2"/>
      <c r="C4173" s="1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</row>
    <row r="4174" spans="1:23" x14ac:dyDescent="0.25">
      <c r="A4174" s="2"/>
      <c r="B4174" s="2"/>
      <c r="C4174" s="1"/>
      <c r="D4174" s="2"/>
      <c r="E4174" s="2"/>
      <c r="F4174" s="2"/>
      <c r="G4174" s="2"/>
      <c r="H4174" s="2"/>
      <c r="I4174" s="2"/>
      <c r="J4174" s="2"/>
      <c r="K4174" s="2"/>
      <c r="L4174" s="2"/>
      <c r="M4174" s="2"/>
      <c r="N4174" s="2"/>
      <c r="O4174" s="2"/>
      <c r="P4174" s="2"/>
      <c r="Q4174" s="2"/>
      <c r="R4174" s="2"/>
      <c r="S4174" s="2"/>
      <c r="T4174" s="2"/>
      <c r="U4174" s="2"/>
      <c r="V4174" s="2"/>
      <c r="W4174" s="2"/>
    </row>
    <row r="4175" spans="1:23" x14ac:dyDescent="0.25">
      <c r="A4175" s="2"/>
      <c r="B4175" s="2"/>
      <c r="C4175" s="1"/>
      <c r="D4175" s="2"/>
      <c r="E4175" s="2"/>
      <c r="F4175" s="2"/>
      <c r="G4175" s="2"/>
      <c r="H4175" s="2"/>
      <c r="I4175" s="2"/>
      <c r="J4175" s="2"/>
      <c r="K4175" s="2"/>
      <c r="L4175" s="2"/>
      <c r="M4175" s="2"/>
      <c r="N4175" s="2"/>
      <c r="O4175" s="2"/>
      <c r="P4175" s="2"/>
      <c r="Q4175" s="2"/>
      <c r="R4175" s="2"/>
      <c r="S4175" s="2"/>
      <c r="T4175" s="2"/>
      <c r="U4175" s="2"/>
      <c r="V4175" s="2"/>
      <c r="W4175" s="2"/>
    </row>
    <row r="4176" spans="1:23" x14ac:dyDescent="0.25">
      <c r="A4176" s="2"/>
      <c r="B4176" s="2"/>
      <c r="C4176" s="1"/>
      <c r="D4176" s="2"/>
      <c r="E4176" s="2"/>
      <c r="F4176" s="2"/>
      <c r="G4176" s="2"/>
      <c r="H4176" s="2"/>
      <c r="I4176" s="2"/>
      <c r="J4176" s="2"/>
      <c r="K4176" s="2"/>
      <c r="L4176" s="2"/>
      <c r="M4176" s="2"/>
      <c r="N4176" s="2"/>
      <c r="O4176" s="2"/>
      <c r="P4176" s="2"/>
      <c r="Q4176" s="2"/>
      <c r="R4176" s="2"/>
      <c r="S4176" s="2"/>
      <c r="T4176" s="2"/>
      <c r="U4176" s="2"/>
      <c r="V4176" s="2"/>
      <c r="W4176" s="2"/>
    </row>
    <row r="4177" spans="1:23" x14ac:dyDescent="0.25">
      <c r="A4177" s="2"/>
      <c r="B4177" s="2"/>
      <c r="C4177" s="1"/>
      <c r="D4177" s="2"/>
      <c r="E4177" s="2"/>
      <c r="F4177" s="2"/>
      <c r="G4177" s="2"/>
      <c r="H4177" s="2"/>
      <c r="I4177" s="2"/>
      <c r="J4177" s="2"/>
      <c r="K4177" s="2"/>
      <c r="L4177" s="2"/>
      <c r="M4177" s="2"/>
      <c r="N4177" s="2"/>
      <c r="O4177" s="2"/>
      <c r="P4177" s="2"/>
      <c r="Q4177" s="2"/>
      <c r="R4177" s="2"/>
      <c r="S4177" s="2"/>
      <c r="T4177" s="2"/>
      <c r="U4177" s="2"/>
      <c r="V4177" s="2"/>
      <c r="W4177" s="2"/>
    </row>
    <row r="4178" spans="1:23" x14ac:dyDescent="0.25">
      <c r="A4178" s="2"/>
      <c r="B4178" s="2"/>
      <c r="C4178" s="1"/>
      <c r="D4178" s="2"/>
      <c r="E4178" s="2"/>
      <c r="F4178" s="2"/>
      <c r="G4178" s="2"/>
      <c r="H4178" s="2"/>
      <c r="I4178" s="2"/>
      <c r="J4178" s="2"/>
      <c r="K4178" s="2"/>
      <c r="L4178" s="2"/>
      <c r="M4178" s="2"/>
      <c r="N4178" s="2"/>
      <c r="O4178" s="2"/>
      <c r="P4178" s="2"/>
      <c r="Q4178" s="2"/>
      <c r="R4178" s="2"/>
      <c r="S4178" s="2"/>
      <c r="T4178" s="2"/>
      <c r="U4178" s="2"/>
      <c r="V4178" s="2"/>
      <c r="W4178" s="2"/>
    </row>
    <row r="4179" spans="1:23" x14ac:dyDescent="0.25">
      <c r="A4179" s="2"/>
      <c r="B4179" s="2"/>
      <c r="C4179" s="1"/>
      <c r="D4179" s="2"/>
      <c r="E4179" s="2"/>
      <c r="F4179" s="2"/>
      <c r="G4179" s="2"/>
      <c r="H4179" s="2"/>
      <c r="I4179" s="2"/>
      <c r="J4179" s="2"/>
      <c r="K4179" s="2"/>
      <c r="L4179" s="2"/>
      <c r="M4179" s="2"/>
      <c r="N4179" s="2"/>
      <c r="O4179" s="2"/>
      <c r="P4179" s="2"/>
      <c r="Q4179" s="2"/>
      <c r="R4179" s="2"/>
      <c r="S4179" s="2"/>
      <c r="T4179" s="2"/>
      <c r="U4179" s="2"/>
      <c r="V4179" s="2"/>
      <c r="W4179" s="2"/>
    </row>
    <row r="4180" spans="1:23" x14ac:dyDescent="0.25">
      <c r="A4180" s="2"/>
      <c r="B4180" s="2"/>
      <c r="C4180" s="1"/>
      <c r="D4180" s="2"/>
      <c r="E4180" s="2"/>
      <c r="F4180" s="2"/>
      <c r="G4180" s="2"/>
      <c r="H4180" s="2"/>
      <c r="I4180" s="2"/>
      <c r="J4180" s="2"/>
      <c r="K4180" s="2"/>
      <c r="L4180" s="2"/>
      <c r="M4180" s="2"/>
      <c r="N4180" s="2"/>
      <c r="O4180" s="2"/>
      <c r="P4180" s="2"/>
      <c r="Q4180" s="2"/>
      <c r="R4180" s="2"/>
      <c r="S4180" s="2"/>
      <c r="T4180" s="2"/>
      <c r="U4180" s="2"/>
      <c r="V4180" s="2"/>
      <c r="W4180" s="2"/>
    </row>
    <row r="4181" spans="1:23" x14ac:dyDescent="0.25">
      <c r="A4181" s="2"/>
      <c r="B4181" s="2"/>
      <c r="C4181" s="1"/>
      <c r="D4181" s="2"/>
      <c r="E4181" s="2"/>
      <c r="F4181" s="2"/>
      <c r="G4181" s="2"/>
      <c r="H4181" s="2"/>
      <c r="I4181" s="2"/>
      <c r="J4181" s="2"/>
      <c r="K4181" s="2"/>
      <c r="L4181" s="2"/>
      <c r="M4181" s="2"/>
      <c r="N4181" s="2"/>
      <c r="O4181" s="2"/>
      <c r="P4181" s="2"/>
      <c r="Q4181" s="2"/>
      <c r="R4181" s="2"/>
      <c r="S4181" s="2"/>
      <c r="T4181" s="2"/>
      <c r="U4181" s="2"/>
      <c r="V4181" s="2"/>
      <c r="W4181" s="2"/>
    </row>
    <row r="4182" spans="1:23" x14ac:dyDescent="0.25">
      <c r="A4182" s="2"/>
      <c r="B4182" s="2"/>
      <c r="C4182" s="1"/>
      <c r="D4182" s="2"/>
      <c r="E4182" s="2"/>
      <c r="F4182" s="2"/>
      <c r="G4182" s="2"/>
      <c r="H4182" s="2"/>
      <c r="I4182" s="2"/>
      <c r="J4182" s="2"/>
      <c r="K4182" s="2"/>
      <c r="L4182" s="2"/>
      <c r="M4182" s="2"/>
      <c r="N4182" s="2"/>
      <c r="O4182" s="2"/>
      <c r="P4182" s="2"/>
      <c r="Q4182" s="2"/>
      <c r="R4182" s="2"/>
      <c r="S4182" s="2"/>
      <c r="T4182" s="2"/>
      <c r="U4182" s="2"/>
      <c r="V4182" s="2"/>
      <c r="W4182" s="2"/>
    </row>
    <row r="4183" spans="1:23" x14ac:dyDescent="0.25">
      <c r="A4183" s="2"/>
      <c r="B4183" s="2"/>
      <c r="C4183" s="1"/>
      <c r="D4183" s="2"/>
      <c r="E4183" s="2"/>
      <c r="F4183" s="2"/>
      <c r="G4183" s="2"/>
      <c r="H4183" s="2"/>
      <c r="I4183" s="2"/>
      <c r="J4183" s="2"/>
      <c r="K4183" s="2"/>
      <c r="L4183" s="2"/>
      <c r="M4183" s="2"/>
      <c r="N4183" s="2"/>
      <c r="O4183" s="2"/>
      <c r="P4183" s="2"/>
      <c r="Q4183" s="2"/>
      <c r="R4183" s="2"/>
      <c r="S4183" s="2"/>
      <c r="T4183" s="2"/>
      <c r="U4183" s="2"/>
      <c r="V4183" s="2"/>
      <c r="W4183" s="2"/>
    </row>
    <row r="4184" spans="1:23" x14ac:dyDescent="0.25">
      <c r="A4184" s="2"/>
      <c r="B4184" s="2"/>
      <c r="C4184" s="1"/>
      <c r="D4184" s="2"/>
      <c r="E4184" s="2"/>
      <c r="F4184" s="2"/>
      <c r="G4184" s="2"/>
      <c r="H4184" s="2"/>
      <c r="I4184" s="2"/>
      <c r="J4184" s="2"/>
      <c r="K4184" s="2"/>
      <c r="L4184" s="2"/>
      <c r="M4184" s="2"/>
      <c r="N4184" s="2"/>
      <c r="O4184" s="2"/>
      <c r="P4184" s="2"/>
      <c r="Q4184" s="2"/>
      <c r="R4184" s="2"/>
      <c r="S4184" s="2"/>
      <c r="T4184" s="2"/>
      <c r="U4184" s="2"/>
      <c r="V4184" s="2"/>
      <c r="W4184" s="2"/>
    </row>
    <row r="4185" spans="1:23" x14ac:dyDescent="0.25">
      <c r="A4185" s="2"/>
      <c r="B4185" s="2"/>
      <c r="C4185" s="1"/>
      <c r="D4185" s="2"/>
      <c r="E4185" s="2"/>
      <c r="F4185" s="2"/>
      <c r="G4185" s="2"/>
      <c r="H4185" s="2"/>
      <c r="I4185" s="2"/>
      <c r="J4185" s="2"/>
      <c r="K4185" s="2"/>
      <c r="L4185" s="2"/>
      <c r="M4185" s="2"/>
      <c r="N4185" s="2"/>
      <c r="O4185" s="2"/>
      <c r="P4185" s="2"/>
      <c r="Q4185" s="2"/>
      <c r="R4185" s="2"/>
      <c r="S4185" s="2"/>
      <c r="T4185" s="2"/>
      <c r="U4185" s="2"/>
      <c r="V4185" s="2"/>
      <c r="W4185" s="2"/>
    </row>
    <row r="4186" spans="1:23" x14ac:dyDescent="0.25">
      <c r="A4186" s="2"/>
      <c r="B4186" s="2"/>
      <c r="C4186" s="1"/>
      <c r="D4186" s="2"/>
      <c r="E4186" s="2"/>
      <c r="F4186" s="2"/>
      <c r="G4186" s="2"/>
      <c r="H4186" s="2"/>
      <c r="I4186" s="2"/>
      <c r="J4186" s="2"/>
      <c r="K4186" s="2"/>
      <c r="L4186" s="2"/>
      <c r="M4186" s="2"/>
      <c r="N4186" s="2"/>
      <c r="O4186" s="2"/>
      <c r="P4186" s="2"/>
      <c r="Q4186" s="2"/>
      <c r="R4186" s="2"/>
      <c r="S4186" s="2"/>
      <c r="T4186" s="2"/>
      <c r="U4186" s="2"/>
      <c r="V4186" s="2"/>
      <c r="W4186" s="2"/>
    </row>
    <row r="4187" spans="1:23" x14ac:dyDescent="0.25">
      <c r="A4187" s="2"/>
      <c r="B4187" s="2"/>
      <c r="C4187" s="1"/>
      <c r="D4187" s="2"/>
      <c r="E4187" s="2"/>
      <c r="F4187" s="2"/>
      <c r="G4187" s="2"/>
      <c r="H4187" s="2"/>
      <c r="I4187" s="2"/>
      <c r="J4187" s="2"/>
      <c r="K4187" s="2"/>
      <c r="L4187" s="2"/>
      <c r="M4187" s="2"/>
      <c r="N4187" s="2"/>
      <c r="O4187" s="2"/>
      <c r="P4187" s="2"/>
      <c r="Q4187" s="2"/>
      <c r="R4187" s="2"/>
      <c r="S4187" s="2"/>
      <c r="T4187" s="2"/>
      <c r="U4187" s="2"/>
      <c r="V4187" s="2"/>
      <c r="W4187" s="2"/>
    </row>
    <row r="4188" spans="1:23" x14ac:dyDescent="0.25">
      <c r="A4188" s="2"/>
      <c r="B4188" s="2"/>
      <c r="C4188" s="1"/>
      <c r="D4188" s="2"/>
      <c r="E4188" s="2"/>
      <c r="F4188" s="2"/>
      <c r="G4188" s="2"/>
      <c r="H4188" s="2"/>
      <c r="I4188" s="2"/>
      <c r="J4188" s="2"/>
      <c r="K4188" s="2"/>
      <c r="L4188" s="2"/>
      <c r="M4188" s="2"/>
      <c r="N4188" s="2"/>
      <c r="O4188" s="2"/>
      <c r="P4188" s="2"/>
      <c r="Q4188" s="2"/>
      <c r="R4188" s="2"/>
      <c r="S4188" s="2"/>
      <c r="T4188" s="2"/>
      <c r="U4188" s="2"/>
      <c r="V4188" s="2"/>
      <c r="W4188" s="2"/>
    </row>
    <row r="4189" spans="1:23" x14ac:dyDescent="0.25">
      <c r="A4189" s="2"/>
      <c r="B4189" s="2"/>
      <c r="C4189" s="1"/>
      <c r="D4189" s="2"/>
      <c r="E4189" s="2"/>
      <c r="F4189" s="2"/>
      <c r="G4189" s="2"/>
      <c r="H4189" s="2"/>
      <c r="I4189" s="2"/>
      <c r="J4189" s="2"/>
      <c r="K4189" s="2"/>
      <c r="L4189" s="2"/>
      <c r="M4189" s="2"/>
      <c r="N4189" s="2"/>
      <c r="O4189" s="2"/>
      <c r="P4189" s="2"/>
      <c r="Q4189" s="2"/>
      <c r="R4189" s="2"/>
      <c r="S4189" s="2"/>
      <c r="T4189" s="2"/>
      <c r="U4189" s="2"/>
      <c r="V4189" s="2"/>
      <c r="W4189" s="2"/>
    </row>
    <row r="4190" spans="1:23" x14ac:dyDescent="0.25">
      <c r="A4190" s="2"/>
      <c r="B4190" s="2"/>
      <c r="C4190" s="1"/>
      <c r="D4190" s="2"/>
      <c r="E4190" s="2"/>
      <c r="F4190" s="2"/>
      <c r="G4190" s="2"/>
      <c r="H4190" s="2"/>
      <c r="I4190" s="2"/>
      <c r="J4190" s="2"/>
      <c r="K4190" s="2"/>
      <c r="L4190" s="2"/>
      <c r="M4190" s="2"/>
      <c r="N4190" s="2"/>
      <c r="O4190" s="2"/>
      <c r="P4190" s="2"/>
      <c r="Q4190" s="2"/>
      <c r="R4190" s="2"/>
      <c r="S4190" s="2"/>
      <c r="T4190" s="2"/>
      <c r="U4190" s="2"/>
      <c r="V4190" s="2"/>
      <c r="W4190" s="2"/>
    </row>
    <row r="4191" spans="1:23" x14ac:dyDescent="0.25">
      <c r="A4191" s="2"/>
      <c r="B4191" s="2"/>
      <c r="C4191" s="1"/>
      <c r="D4191" s="2"/>
      <c r="E4191" s="2"/>
      <c r="F4191" s="2"/>
      <c r="G4191" s="2"/>
      <c r="H4191" s="2"/>
      <c r="I4191" s="2"/>
      <c r="J4191" s="2"/>
      <c r="K4191" s="2"/>
      <c r="L4191" s="2"/>
      <c r="M4191" s="2"/>
      <c r="N4191" s="2"/>
      <c r="O4191" s="2"/>
      <c r="P4191" s="2"/>
      <c r="Q4191" s="2"/>
      <c r="R4191" s="2"/>
      <c r="S4191" s="2"/>
      <c r="T4191" s="2"/>
      <c r="U4191" s="2"/>
      <c r="V4191" s="2"/>
      <c r="W4191" s="2"/>
    </row>
    <row r="4192" spans="1:23" x14ac:dyDescent="0.25">
      <c r="A4192" s="2"/>
      <c r="B4192" s="2"/>
      <c r="C4192" s="1"/>
      <c r="D4192" s="2"/>
      <c r="E4192" s="2"/>
      <c r="F4192" s="2"/>
      <c r="G4192" s="2"/>
      <c r="H4192" s="2"/>
      <c r="I4192" s="2"/>
      <c r="J4192" s="2"/>
      <c r="K4192" s="2"/>
      <c r="L4192" s="2"/>
      <c r="M4192" s="2"/>
      <c r="N4192" s="2"/>
      <c r="O4192" s="2"/>
      <c r="P4192" s="2"/>
      <c r="Q4192" s="2"/>
      <c r="R4192" s="2"/>
      <c r="S4192" s="2"/>
      <c r="T4192" s="2"/>
      <c r="U4192" s="2"/>
      <c r="V4192" s="2"/>
      <c r="W4192" s="2"/>
    </row>
    <row r="4193" spans="1:23" x14ac:dyDescent="0.25">
      <c r="A4193" s="2"/>
      <c r="B4193" s="2"/>
      <c r="C4193" s="1"/>
      <c r="D4193" s="2"/>
      <c r="E4193" s="2"/>
      <c r="F4193" s="2"/>
      <c r="G4193" s="2"/>
      <c r="H4193" s="2"/>
      <c r="I4193" s="2"/>
      <c r="J4193" s="2"/>
      <c r="K4193" s="2"/>
      <c r="L4193" s="2"/>
      <c r="M4193" s="2"/>
      <c r="N4193" s="2"/>
      <c r="O4193" s="2"/>
      <c r="P4193" s="2"/>
      <c r="Q4193" s="2"/>
      <c r="R4193" s="2"/>
      <c r="S4193" s="2"/>
      <c r="T4193" s="2"/>
      <c r="U4193" s="2"/>
      <c r="V4193" s="2"/>
      <c r="W4193" s="2"/>
    </row>
    <row r="4194" spans="1:23" x14ac:dyDescent="0.25">
      <c r="A4194" s="2"/>
      <c r="B4194" s="2"/>
      <c r="C4194" s="1"/>
      <c r="D4194" s="2"/>
      <c r="E4194" s="2"/>
      <c r="F4194" s="2"/>
      <c r="G4194" s="2"/>
      <c r="H4194" s="2"/>
      <c r="I4194" s="2"/>
      <c r="J4194" s="2"/>
      <c r="K4194" s="2"/>
      <c r="L4194" s="2"/>
      <c r="M4194" s="2"/>
      <c r="N4194" s="2"/>
      <c r="O4194" s="2"/>
      <c r="P4194" s="2"/>
      <c r="Q4194" s="2"/>
      <c r="R4194" s="2"/>
      <c r="S4194" s="2"/>
      <c r="T4194" s="2"/>
      <c r="U4194" s="2"/>
      <c r="V4194" s="2"/>
      <c r="W4194" s="2"/>
    </row>
    <row r="4195" spans="1:23" x14ac:dyDescent="0.25">
      <c r="A4195" s="2"/>
      <c r="B4195" s="2"/>
      <c r="C4195" s="1"/>
      <c r="D4195" s="2"/>
      <c r="E4195" s="2"/>
      <c r="F4195" s="2"/>
      <c r="G4195" s="2"/>
      <c r="H4195" s="2"/>
      <c r="I4195" s="2"/>
      <c r="J4195" s="2"/>
      <c r="K4195" s="2"/>
      <c r="L4195" s="2"/>
      <c r="M4195" s="2"/>
      <c r="N4195" s="2"/>
      <c r="O4195" s="2"/>
      <c r="P4195" s="2"/>
      <c r="Q4195" s="2"/>
      <c r="R4195" s="2"/>
      <c r="S4195" s="2"/>
      <c r="T4195" s="2"/>
      <c r="U4195" s="2"/>
      <c r="V4195" s="2"/>
      <c r="W4195" s="2"/>
    </row>
    <row r="4196" spans="1:23" x14ac:dyDescent="0.25">
      <c r="A4196" s="2"/>
      <c r="B4196" s="2"/>
      <c r="C4196" s="1"/>
      <c r="D4196" s="2"/>
      <c r="E4196" s="2"/>
      <c r="F4196" s="2"/>
      <c r="G4196" s="2"/>
      <c r="H4196" s="2"/>
      <c r="I4196" s="2"/>
      <c r="J4196" s="2"/>
      <c r="K4196" s="2"/>
      <c r="L4196" s="2"/>
      <c r="M4196" s="2"/>
      <c r="N4196" s="2"/>
      <c r="O4196" s="2"/>
      <c r="P4196" s="2"/>
      <c r="Q4196" s="2"/>
      <c r="R4196" s="2"/>
      <c r="S4196" s="2"/>
      <c r="T4196" s="2"/>
      <c r="U4196" s="2"/>
      <c r="V4196" s="2"/>
      <c r="W4196" s="2"/>
    </row>
    <row r="4197" spans="1:23" x14ac:dyDescent="0.25">
      <c r="A4197" s="2"/>
      <c r="B4197" s="2"/>
      <c r="C4197" s="1"/>
      <c r="D4197" s="2"/>
      <c r="E4197" s="2"/>
      <c r="F4197" s="2"/>
      <c r="G4197" s="2"/>
      <c r="H4197" s="2"/>
      <c r="I4197" s="2"/>
      <c r="J4197" s="2"/>
      <c r="K4197" s="2"/>
      <c r="L4197" s="2"/>
      <c r="M4197" s="2"/>
      <c r="N4197" s="2"/>
      <c r="O4197" s="2"/>
      <c r="P4197" s="2"/>
      <c r="Q4197" s="2"/>
      <c r="R4197" s="2"/>
      <c r="S4197" s="2"/>
      <c r="T4197" s="2"/>
      <c r="U4197" s="2"/>
      <c r="V4197" s="2"/>
      <c r="W4197" s="2"/>
    </row>
    <row r="4198" spans="1:23" x14ac:dyDescent="0.25">
      <c r="A4198" s="2"/>
      <c r="B4198" s="2"/>
      <c r="C4198" s="1"/>
      <c r="D4198" s="2"/>
      <c r="E4198" s="2"/>
      <c r="F4198" s="2"/>
      <c r="G4198" s="2"/>
      <c r="H4198" s="2"/>
      <c r="I4198" s="2"/>
      <c r="J4198" s="2"/>
      <c r="K4198" s="2"/>
      <c r="L4198" s="2"/>
      <c r="M4198" s="2"/>
      <c r="N4198" s="2"/>
      <c r="O4198" s="2"/>
      <c r="P4198" s="2"/>
      <c r="Q4198" s="2"/>
      <c r="R4198" s="2"/>
      <c r="S4198" s="2"/>
      <c r="T4198" s="2"/>
      <c r="U4198" s="2"/>
      <c r="V4198" s="2"/>
      <c r="W4198" s="2"/>
    </row>
    <row r="4199" spans="1:23" x14ac:dyDescent="0.25">
      <c r="A4199" s="2"/>
      <c r="B4199" s="2"/>
      <c r="C4199" s="1"/>
      <c r="D4199" s="2"/>
      <c r="E4199" s="2"/>
      <c r="F4199" s="2"/>
      <c r="G4199" s="2"/>
      <c r="H4199" s="2"/>
      <c r="I4199" s="2"/>
      <c r="J4199" s="2"/>
      <c r="K4199" s="2"/>
      <c r="L4199" s="2"/>
      <c r="M4199" s="2"/>
      <c r="N4199" s="2"/>
      <c r="O4199" s="2"/>
      <c r="P4199" s="2"/>
      <c r="Q4199" s="2"/>
      <c r="R4199" s="2"/>
      <c r="S4199" s="2"/>
      <c r="T4199" s="2"/>
      <c r="U4199" s="2"/>
      <c r="V4199" s="2"/>
      <c r="W4199" s="2"/>
    </row>
    <row r="4200" spans="1:23" x14ac:dyDescent="0.25">
      <c r="A4200" s="2"/>
      <c r="B4200" s="2"/>
      <c r="C4200" s="1"/>
      <c r="D4200" s="2"/>
      <c r="E4200" s="2"/>
      <c r="F4200" s="2"/>
      <c r="G4200" s="2"/>
      <c r="H4200" s="2"/>
      <c r="I4200" s="2"/>
      <c r="J4200" s="2"/>
      <c r="K4200" s="2"/>
      <c r="L4200" s="2"/>
      <c r="M4200" s="2"/>
      <c r="N4200" s="2"/>
      <c r="O4200" s="2"/>
      <c r="P4200" s="2"/>
      <c r="Q4200" s="2"/>
      <c r="R4200" s="2"/>
      <c r="S4200" s="2"/>
      <c r="T4200" s="2"/>
      <c r="U4200" s="2"/>
      <c r="V4200" s="2"/>
      <c r="W4200" s="2"/>
    </row>
    <row r="4201" spans="1:23" x14ac:dyDescent="0.25">
      <c r="A4201" s="2"/>
      <c r="B4201" s="2"/>
      <c r="C4201" s="1"/>
      <c r="D4201" s="2"/>
      <c r="E4201" s="2"/>
      <c r="F4201" s="2"/>
      <c r="G4201" s="2"/>
      <c r="H4201" s="2"/>
      <c r="I4201" s="2"/>
      <c r="J4201" s="2"/>
      <c r="K4201" s="2"/>
      <c r="L4201" s="2"/>
      <c r="M4201" s="2"/>
      <c r="N4201" s="2"/>
      <c r="O4201" s="2"/>
      <c r="P4201" s="2"/>
      <c r="Q4201" s="2"/>
      <c r="R4201" s="2"/>
      <c r="S4201" s="2"/>
      <c r="T4201" s="2"/>
      <c r="U4201" s="2"/>
      <c r="V4201" s="2"/>
      <c r="W4201" s="2"/>
    </row>
    <row r="4202" spans="1:23" x14ac:dyDescent="0.25">
      <c r="A4202" s="2"/>
      <c r="B4202" s="2"/>
      <c r="C4202" s="1"/>
      <c r="D4202" s="2"/>
      <c r="E4202" s="2"/>
      <c r="F4202" s="2"/>
      <c r="G4202" s="2"/>
      <c r="H4202" s="2"/>
      <c r="I4202" s="2"/>
      <c r="J4202" s="2"/>
      <c r="K4202" s="2"/>
      <c r="L4202" s="2"/>
      <c r="M4202" s="2"/>
      <c r="N4202" s="2"/>
      <c r="O4202" s="2"/>
      <c r="P4202" s="2"/>
      <c r="Q4202" s="2"/>
      <c r="R4202" s="2"/>
      <c r="S4202" s="2"/>
      <c r="T4202" s="2"/>
      <c r="U4202" s="2"/>
      <c r="V4202" s="2"/>
      <c r="W4202" s="2"/>
    </row>
    <row r="4203" spans="1:23" x14ac:dyDescent="0.25">
      <c r="A4203" s="2"/>
      <c r="B4203" s="2"/>
      <c r="C4203" s="1"/>
      <c r="D4203" s="2"/>
      <c r="E4203" s="2"/>
      <c r="F4203" s="2"/>
      <c r="G4203" s="2"/>
      <c r="H4203" s="2"/>
      <c r="I4203" s="2"/>
      <c r="J4203" s="2"/>
      <c r="K4203" s="2"/>
      <c r="L4203" s="2"/>
      <c r="M4203" s="2"/>
      <c r="N4203" s="2"/>
      <c r="O4203" s="2"/>
      <c r="P4203" s="2"/>
      <c r="Q4203" s="2"/>
      <c r="R4203" s="2"/>
      <c r="S4203" s="2"/>
      <c r="T4203" s="2"/>
      <c r="U4203" s="2"/>
      <c r="V4203" s="2"/>
      <c r="W4203" s="2"/>
    </row>
    <row r="4204" spans="1:23" x14ac:dyDescent="0.25">
      <c r="A4204" s="2"/>
      <c r="B4204" s="2"/>
      <c r="C4204" s="1"/>
      <c r="D4204" s="2"/>
      <c r="E4204" s="2"/>
      <c r="F4204" s="2"/>
      <c r="G4204" s="2"/>
      <c r="H4204" s="2"/>
      <c r="I4204" s="2"/>
      <c r="J4204" s="2"/>
      <c r="K4204" s="2"/>
      <c r="L4204" s="2"/>
      <c r="M4204" s="2"/>
      <c r="N4204" s="2"/>
      <c r="O4204" s="2"/>
      <c r="P4204" s="2"/>
      <c r="Q4204" s="2"/>
      <c r="R4204" s="2"/>
      <c r="S4204" s="2"/>
      <c r="T4204" s="2"/>
      <c r="U4204" s="2"/>
      <c r="V4204" s="2"/>
      <c r="W4204" s="2"/>
    </row>
    <row r="4205" spans="1:23" x14ac:dyDescent="0.25">
      <c r="A4205" s="2"/>
      <c r="B4205" s="2"/>
      <c r="C4205" s="1"/>
      <c r="D4205" s="2"/>
      <c r="E4205" s="2"/>
      <c r="F4205" s="2"/>
      <c r="G4205" s="2"/>
      <c r="H4205" s="2"/>
      <c r="I4205" s="2"/>
      <c r="J4205" s="2"/>
      <c r="K4205" s="2"/>
      <c r="L4205" s="2"/>
      <c r="M4205" s="2"/>
      <c r="N4205" s="2"/>
      <c r="O4205" s="2"/>
      <c r="P4205" s="2"/>
      <c r="Q4205" s="2"/>
      <c r="R4205" s="2"/>
      <c r="S4205" s="2"/>
      <c r="T4205" s="2"/>
      <c r="U4205" s="2"/>
      <c r="V4205" s="2"/>
      <c r="W4205" s="2"/>
    </row>
    <row r="4206" spans="1:23" x14ac:dyDescent="0.25">
      <c r="A4206" s="2"/>
      <c r="B4206" s="2"/>
      <c r="C4206" s="1"/>
      <c r="D4206" s="2"/>
      <c r="E4206" s="2"/>
      <c r="F4206" s="2"/>
      <c r="G4206" s="2"/>
      <c r="H4206" s="2"/>
      <c r="I4206" s="2"/>
      <c r="J4206" s="2"/>
      <c r="K4206" s="2"/>
      <c r="L4206" s="2"/>
      <c r="M4206" s="2"/>
      <c r="N4206" s="2"/>
      <c r="O4206" s="2"/>
      <c r="P4206" s="2"/>
      <c r="Q4206" s="2"/>
      <c r="R4206" s="2"/>
      <c r="S4206" s="2"/>
      <c r="T4206" s="2"/>
      <c r="U4206" s="2"/>
      <c r="V4206" s="2"/>
      <c r="W4206" s="2"/>
    </row>
    <row r="4207" spans="1:23" x14ac:dyDescent="0.25">
      <c r="A4207" s="2"/>
      <c r="B4207" s="2"/>
      <c r="C4207" s="1"/>
      <c r="D4207" s="2"/>
      <c r="E4207" s="2"/>
      <c r="F4207" s="2"/>
      <c r="G4207" s="2"/>
      <c r="H4207" s="2"/>
      <c r="I4207" s="2"/>
      <c r="J4207" s="2"/>
      <c r="K4207" s="2"/>
      <c r="L4207" s="2"/>
      <c r="M4207" s="2"/>
      <c r="N4207" s="2"/>
      <c r="O4207" s="2"/>
      <c r="P4207" s="2"/>
      <c r="Q4207" s="2"/>
      <c r="R4207" s="2"/>
      <c r="S4207" s="2"/>
      <c r="T4207" s="2"/>
      <c r="U4207" s="2"/>
      <c r="V4207" s="2"/>
      <c r="W4207" s="2"/>
    </row>
    <row r="4208" spans="1:23" x14ac:dyDescent="0.25">
      <c r="A4208" s="2"/>
      <c r="B4208" s="2"/>
      <c r="C4208" s="1"/>
      <c r="D4208" s="2"/>
      <c r="E4208" s="2"/>
      <c r="F4208" s="2"/>
      <c r="G4208" s="2"/>
      <c r="H4208" s="2"/>
      <c r="I4208" s="2"/>
      <c r="J4208" s="2"/>
      <c r="K4208" s="2"/>
      <c r="L4208" s="2"/>
      <c r="M4208" s="2"/>
      <c r="N4208" s="2"/>
      <c r="O4208" s="2"/>
      <c r="P4208" s="2"/>
      <c r="Q4208" s="2"/>
      <c r="R4208" s="2"/>
      <c r="S4208" s="2"/>
      <c r="T4208" s="2"/>
      <c r="U4208" s="2"/>
      <c r="V4208" s="2"/>
      <c r="W4208" s="2"/>
    </row>
    <row r="4209" spans="1:23" x14ac:dyDescent="0.25">
      <c r="A4209" s="2"/>
      <c r="B4209" s="2"/>
      <c r="C4209" s="1"/>
      <c r="D4209" s="2"/>
      <c r="E4209" s="2"/>
      <c r="F4209" s="2"/>
      <c r="G4209" s="2"/>
      <c r="H4209" s="2"/>
      <c r="I4209" s="2"/>
      <c r="J4209" s="2"/>
      <c r="K4209" s="2"/>
      <c r="L4209" s="2"/>
      <c r="M4209" s="2"/>
      <c r="N4209" s="2"/>
      <c r="O4209" s="2"/>
      <c r="P4209" s="2"/>
      <c r="Q4209" s="2"/>
      <c r="R4209" s="2"/>
      <c r="S4209" s="2"/>
      <c r="T4209" s="2"/>
      <c r="U4209" s="2"/>
      <c r="V4209" s="2"/>
      <c r="W4209" s="2"/>
    </row>
    <row r="4210" spans="1:23" x14ac:dyDescent="0.25">
      <c r="A4210" s="2"/>
      <c r="B4210" s="2"/>
      <c r="C4210" s="1"/>
      <c r="D4210" s="2"/>
      <c r="E4210" s="2"/>
      <c r="F4210" s="2"/>
      <c r="G4210" s="2"/>
      <c r="H4210" s="2"/>
      <c r="I4210" s="2"/>
      <c r="J4210" s="2"/>
      <c r="K4210" s="2"/>
      <c r="L4210" s="2"/>
      <c r="M4210" s="2"/>
      <c r="N4210" s="2"/>
      <c r="O4210" s="2"/>
      <c r="P4210" s="2"/>
      <c r="Q4210" s="2"/>
      <c r="R4210" s="2"/>
      <c r="S4210" s="2"/>
      <c r="T4210" s="2"/>
      <c r="U4210" s="2"/>
      <c r="V4210" s="2"/>
      <c r="W4210" s="2"/>
    </row>
    <row r="4211" spans="1:23" x14ac:dyDescent="0.25">
      <c r="A4211" s="2"/>
      <c r="B4211" s="2"/>
      <c r="C4211" s="1"/>
      <c r="D4211" s="2"/>
      <c r="E4211" s="2"/>
      <c r="F4211" s="2"/>
      <c r="G4211" s="2"/>
      <c r="H4211" s="2"/>
      <c r="I4211" s="2"/>
      <c r="J4211" s="2"/>
      <c r="K4211" s="2"/>
      <c r="L4211" s="2"/>
      <c r="M4211" s="2"/>
      <c r="N4211" s="2"/>
      <c r="O4211" s="2"/>
      <c r="P4211" s="2"/>
      <c r="Q4211" s="2"/>
      <c r="R4211" s="2"/>
      <c r="S4211" s="2"/>
      <c r="T4211" s="2"/>
      <c r="U4211" s="2"/>
      <c r="V4211" s="2"/>
      <c r="W4211" s="2"/>
    </row>
    <row r="4212" spans="1:23" x14ac:dyDescent="0.25">
      <c r="A4212" s="2"/>
      <c r="B4212" s="2"/>
      <c r="C4212" s="1"/>
      <c r="D4212" s="2"/>
      <c r="E4212" s="2"/>
      <c r="F4212" s="2"/>
      <c r="G4212" s="2"/>
      <c r="H4212" s="2"/>
      <c r="I4212" s="2"/>
      <c r="J4212" s="2"/>
      <c r="K4212" s="2"/>
      <c r="L4212" s="2"/>
      <c r="M4212" s="2"/>
      <c r="N4212" s="2"/>
      <c r="O4212" s="2"/>
      <c r="P4212" s="2"/>
      <c r="Q4212" s="2"/>
      <c r="R4212" s="2"/>
      <c r="S4212" s="2"/>
      <c r="T4212" s="2"/>
      <c r="U4212" s="2"/>
      <c r="V4212" s="2"/>
      <c r="W4212" s="2"/>
    </row>
    <row r="4213" spans="1:23" x14ac:dyDescent="0.25">
      <c r="A4213" s="2"/>
      <c r="B4213" s="2"/>
      <c r="C4213" s="1"/>
      <c r="D4213" s="2"/>
      <c r="E4213" s="2"/>
      <c r="F4213" s="2"/>
      <c r="G4213" s="2"/>
      <c r="H4213" s="2"/>
      <c r="I4213" s="2"/>
      <c r="J4213" s="2"/>
      <c r="K4213" s="2"/>
      <c r="L4213" s="2"/>
      <c r="M4213" s="2"/>
      <c r="N4213" s="2"/>
      <c r="O4213" s="2"/>
      <c r="P4213" s="2"/>
      <c r="Q4213" s="2"/>
      <c r="R4213" s="2"/>
      <c r="S4213" s="2"/>
      <c r="T4213" s="2"/>
      <c r="U4213" s="2"/>
      <c r="V4213" s="2"/>
      <c r="W4213" s="2"/>
    </row>
    <row r="4214" spans="1:23" x14ac:dyDescent="0.25">
      <c r="A4214" s="2"/>
      <c r="B4214" s="2"/>
      <c r="C4214" s="1"/>
      <c r="D4214" s="2"/>
      <c r="E4214" s="2"/>
      <c r="F4214" s="2"/>
      <c r="G4214" s="2"/>
      <c r="H4214" s="2"/>
      <c r="I4214" s="2"/>
      <c r="J4214" s="2"/>
      <c r="K4214" s="2"/>
      <c r="L4214" s="2"/>
      <c r="M4214" s="2"/>
      <c r="N4214" s="2"/>
      <c r="O4214" s="2"/>
      <c r="P4214" s="2"/>
      <c r="Q4214" s="2"/>
      <c r="R4214" s="2"/>
      <c r="S4214" s="2"/>
      <c r="T4214" s="2"/>
      <c r="U4214" s="2"/>
      <c r="V4214" s="2"/>
      <c r="W4214" s="2"/>
    </row>
    <row r="4215" spans="1:23" x14ac:dyDescent="0.25">
      <c r="A4215" s="2"/>
      <c r="B4215" s="2"/>
      <c r="C4215" s="1"/>
      <c r="D4215" s="2"/>
      <c r="E4215" s="2"/>
      <c r="F4215" s="2"/>
      <c r="G4215" s="2"/>
      <c r="H4215" s="2"/>
      <c r="I4215" s="2"/>
      <c r="J4215" s="2"/>
      <c r="K4215" s="2"/>
      <c r="L4215" s="2"/>
      <c r="M4215" s="2"/>
      <c r="N4215" s="2"/>
      <c r="O4215" s="2"/>
      <c r="P4215" s="2"/>
      <c r="Q4215" s="2"/>
      <c r="R4215" s="2"/>
      <c r="S4215" s="2"/>
      <c r="T4215" s="2"/>
      <c r="U4215" s="2"/>
      <c r="V4215" s="2"/>
      <c r="W4215" s="2"/>
    </row>
    <row r="4216" spans="1:23" x14ac:dyDescent="0.25">
      <c r="A4216" s="2"/>
      <c r="B4216" s="2"/>
      <c r="C4216" s="1"/>
      <c r="D4216" s="2"/>
      <c r="E4216" s="2"/>
      <c r="F4216" s="2"/>
      <c r="G4216" s="2"/>
      <c r="H4216" s="2"/>
      <c r="I4216" s="2"/>
      <c r="J4216" s="2"/>
      <c r="K4216" s="2"/>
      <c r="L4216" s="2"/>
      <c r="M4216" s="2"/>
      <c r="N4216" s="2"/>
      <c r="O4216" s="2"/>
      <c r="P4216" s="2"/>
      <c r="Q4216" s="2"/>
      <c r="R4216" s="2"/>
      <c r="S4216" s="2"/>
      <c r="T4216" s="2"/>
      <c r="U4216" s="2"/>
      <c r="V4216" s="2"/>
      <c r="W4216" s="2"/>
    </row>
    <row r="4217" spans="1:23" x14ac:dyDescent="0.25">
      <c r="A4217" s="2"/>
      <c r="B4217" s="2"/>
      <c r="C4217" s="1"/>
      <c r="D4217" s="2"/>
      <c r="E4217" s="2"/>
      <c r="F4217" s="2"/>
      <c r="G4217" s="2"/>
      <c r="H4217" s="2"/>
      <c r="I4217" s="2"/>
      <c r="J4217" s="2"/>
      <c r="K4217" s="2"/>
      <c r="L4217" s="2"/>
      <c r="M4217" s="2"/>
      <c r="N4217" s="2"/>
      <c r="O4217" s="2"/>
      <c r="P4217" s="2"/>
      <c r="Q4217" s="2"/>
      <c r="R4217" s="2"/>
      <c r="S4217" s="2"/>
      <c r="T4217" s="2"/>
      <c r="U4217" s="2"/>
      <c r="V4217" s="2"/>
      <c r="W4217" s="2"/>
    </row>
    <row r="4218" spans="1:23" x14ac:dyDescent="0.25">
      <c r="A4218" s="2"/>
      <c r="B4218" s="2"/>
      <c r="C4218" s="1"/>
      <c r="D4218" s="2"/>
      <c r="E4218" s="2"/>
      <c r="F4218" s="2"/>
      <c r="G4218" s="2"/>
      <c r="H4218" s="2"/>
      <c r="I4218" s="2"/>
      <c r="J4218" s="2"/>
      <c r="K4218" s="2"/>
      <c r="L4218" s="2"/>
      <c r="M4218" s="2"/>
      <c r="N4218" s="2"/>
      <c r="O4218" s="2"/>
      <c r="P4218" s="2"/>
      <c r="Q4218" s="2"/>
      <c r="R4218" s="2"/>
      <c r="S4218" s="2"/>
      <c r="T4218" s="2"/>
      <c r="U4218" s="2"/>
      <c r="V4218" s="2"/>
      <c r="W4218" s="2"/>
    </row>
    <row r="4219" spans="1:23" x14ac:dyDescent="0.25">
      <c r="A4219" s="2"/>
      <c r="B4219" s="2"/>
      <c r="C4219" s="1"/>
      <c r="D4219" s="2"/>
      <c r="E4219" s="2"/>
      <c r="F4219" s="2"/>
      <c r="G4219" s="2"/>
      <c r="H4219" s="2"/>
      <c r="I4219" s="2"/>
      <c r="J4219" s="2"/>
      <c r="K4219" s="2"/>
      <c r="L4219" s="2"/>
      <c r="M4219" s="2"/>
      <c r="N4219" s="2"/>
      <c r="O4219" s="2"/>
      <c r="P4219" s="2"/>
      <c r="Q4219" s="2"/>
      <c r="R4219" s="2"/>
      <c r="S4219" s="2"/>
      <c r="T4219" s="2"/>
      <c r="U4219" s="2"/>
      <c r="V4219" s="2"/>
      <c r="W4219" s="2"/>
    </row>
    <row r="4220" spans="1:23" x14ac:dyDescent="0.25">
      <c r="A4220" s="2"/>
      <c r="B4220" s="2"/>
      <c r="C4220" s="1"/>
      <c r="D4220" s="2"/>
      <c r="E4220" s="2"/>
      <c r="F4220" s="2"/>
      <c r="G4220" s="2"/>
      <c r="H4220" s="2"/>
      <c r="I4220" s="2"/>
      <c r="J4220" s="2"/>
      <c r="K4220" s="2"/>
      <c r="L4220" s="2"/>
      <c r="M4220" s="2"/>
      <c r="N4220" s="2"/>
      <c r="O4220" s="2"/>
      <c r="P4220" s="2"/>
      <c r="Q4220" s="2"/>
      <c r="R4220" s="2"/>
      <c r="S4220" s="2"/>
      <c r="T4220" s="2"/>
      <c r="U4220" s="2"/>
      <c r="V4220" s="2"/>
      <c r="W4220" s="2"/>
    </row>
    <row r="4221" spans="1:23" x14ac:dyDescent="0.25">
      <c r="A4221" s="2"/>
      <c r="B4221" s="2"/>
      <c r="C4221" s="1"/>
      <c r="D4221" s="2"/>
      <c r="E4221" s="2"/>
      <c r="F4221" s="2"/>
      <c r="G4221" s="2"/>
      <c r="H4221" s="2"/>
      <c r="I4221" s="2"/>
      <c r="J4221" s="2"/>
      <c r="K4221" s="2"/>
      <c r="L4221" s="2"/>
      <c r="M4221" s="2"/>
      <c r="N4221" s="2"/>
      <c r="O4221" s="2"/>
      <c r="P4221" s="2"/>
      <c r="Q4221" s="2"/>
      <c r="R4221" s="2"/>
      <c r="S4221" s="2"/>
      <c r="T4221" s="2"/>
      <c r="U4221" s="2"/>
      <c r="V4221" s="2"/>
      <c r="W4221" s="2"/>
    </row>
    <row r="4222" spans="1:23" x14ac:dyDescent="0.25">
      <c r="A4222" s="2"/>
      <c r="B4222" s="2"/>
      <c r="C4222" s="1"/>
      <c r="D4222" s="2"/>
      <c r="E4222" s="2"/>
      <c r="F4222" s="2"/>
      <c r="G4222" s="2"/>
      <c r="H4222" s="2"/>
      <c r="I4222" s="2"/>
      <c r="J4222" s="2"/>
      <c r="K4222" s="2"/>
      <c r="L4222" s="2"/>
      <c r="M4222" s="2"/>
      <c r="N4222" s="2"/>
      <c r="O4222" s="2"/>
      <c r="P4222" s="2"/>
      <c r="Q4222" s="2"/>
      <c r="R4222" s="2"/>
      <c r="S4222" s="2"/>
      <c r="T4222" s="2"/>
      <c r="U4222" s="2"/>
      <c r="V4222" s="2"/>
      <c r="W4222" s="2"/>
    </row>
    <row r="4223" spans="1:23" x14ac:dyDescent="0.25">
      <c r="A4223" s="2"/>
      <c r="B4223" s="2"/>
      <c r="C4223" s="1"/>
      <c r="D4223" s="2"/>
      <c r="E4223" s="2"/>
      <c r="F4223" s="2"/>
      <c r="G4223" s="2"/>
      <c r="H4223" s="2"/>
      <c r="I4223" s="2"/>
      <c r="J4223" s="2"/>
      <c r="K4223" s="2"/>
      <c r="L4223" s="2"/>
      <c r="M4223" s="2"/>
      <c r="N4223" s="2"/>
      <c r="O4223" s="2"/>
      <c r="P4223" s="2"/>
      <c r="Q4223" s="2"/>
      <c r="R4223" s="2"/>
      <c r="S4223" s="2"/>
      <c r="T4223" s="2"/>
      <c r="U4223" s="2"/>
      <c r="V4223" s="2"/>
      <c r="W4223" s="2"/>
    </row>
    <row r="4224" spans="1:23" x14ac:dyDescent="0.25">
      <c r="A4224" s="2"/>
      <c r="B4224" s="2"/>
      <c r="C4224" s="1"/>
      <c r="D4224" s="2"/>
      <c r="E4224" s="2"/>
      <c r="F4224" s="2"/>
      <c r="G4224" s="2"/>
      <c r="H4224" s="2"/>
      <c r="I4224" s="2"/>
      <c r="J4224" s="2"/>
      <c r="K4224" s="2"/>
      <c r="L4224" s="2"/>
      <c r="M4224" s="2"/>
      <c r="N4224" s="2"/>
      <c r="O4224" s="2"/>
      <c r="P4224" s="2"/>
      <c r="Q4224" s="2"/>
      <c r="R4224" s="2"/>
      <c r="S4224" s="2"/>
      <c r="T4224" s="2"/>
      <c r="U4224" s="2"/>
      <c r="V4224" s="2"/>
      <c r="W4224" s="2"/>
    </row>
    <row r="4225" spans="1:23" x14ac:dyDescent="0.25">
      <c r="A4225" s="2"/>
      <c r="B4225" s="2"/>
      <c r="C4225" s="1"/>
      <c r="D4225" s="2"/>
      <c r="E4225" s="2"/>
      <c r="F4225" s="2"/>
      <c r="G4225" s="2"/>
      <c r="H4225" s="2"/>
      <c r="I4225" s="2"/>
      <c r="J4225" s="2"/>
      <c r="K4225" s="2"/>
      <c r="L4225" s="2"/>
      <c r="M4225" s="2"/>
      <c r="N4225" s="2"/>
      <c r="O4225" s="2"/>
      <c r="P4225" s="2"/>
      <c r="Q4225" s="2"/>
      <c r="R4225" s="2"/>
      <c r="S4225" s="2"/>
      <c r="T4225" s="2"/>
      <c r="U4225" s="2"/>
      <c r="V4225" s="2"/>
      <c r="W4225" s="2"/>
    </row>
    <row r="4226" spans="1:23" x14ac:dyDescent="0.25">
      <c r="A4226" s="2"/>
      <c r="B4226" s="2"/>
      <c r="C4226" s="1"/>
      <c r="D4226" s="2"/>
      <c r="E4226" s="2"/>
      <c r="F4226" s="2"/>
      <c r="G4226" s="2"/>
      <c r="H4226" s="2"/>
      <c r="I4226" s="2"/>
      <c r="J4226" s="2"/>
      <c r="K4226" s="2"/>
      <c r="L4226" s="2"/>
      <c r="M4226" s="2"/>
      <c r="N4226" s="2"/>
      <c r="O4226" s="2"/>
      <c r="P4226" s="2"/>
      <c r="Q4226" s="2"/>
      <c r="R4226" s="2"/>
      <c r="S4226" s="2"/>
      <c r="T4226" s="2"/>
      <c r="U4226" s="2"/>
      <c r="V4226" s="2"/>
      <c r="W4226" s="2"/>
    </row>
    <row r="4227" spans="1:23" x14ac:dyDescent="0.25">
      <c r="A4227" s="2"/>
      <c r="B4227" s="2"/>
      <c r="C4227" s="1"/>
      <c r="D4227" s="2"/>
      <c r="E4227" s="2"/>
      <c r="F4227" s="2"/>
      <c r="G4227" s="2"/>
      <c r="H4227" s="2"/>
      <c r="I4227" s="2"/>
      <c r="J4227" s="2"/>
      <c r="K4227" s="2"/>
      <c r="L4227" s="2"/>
      <c r="M4227" s="2"/>
      <c r="N4227" s="2"/>
      <c r="O4227" s="2"/>
      <c r="P4227" s="2"/>
      <c r="Q4227" s="2"/>
      <c r="R4227" s="2"/>
      <c r="S4227" s="2"/>
      <c r="T4227" s="2"/>
      <c r="U4227" s="2"/>
      <c r="V4227" s="2"/>
      <c r="W4227" s="2"/>
    </row>
    <row r="4228" spans="1:23" x14ac:dyDescent="0.25">
      <c r="A4228" s="2"/>
      <c r="B4228" s="2"/>
      <c r="C4228" s="1"/>
      <c r="D4228" s="2"/>
      <c r="E4228" s="2"/>
      <c r="F4228" s="2"/>
      <c r="G4228" s="2"/>
      <c r="H4228" s="2"/>
      <c r="I4228" s="2"/>
      <c r="J4228" s="2"/>
      <c r="K4228" s="2"/>
      <c r="L4228" s="2"/>
      <c r="M4228" s="2"/>
      <c r="N4228" s="2"/>
      <c r="O4228" s="2"/>
      <c r="P4228" s="2"/>
      <c r="Q4228" s="2"/>
      <c r="R4228" s="2"/>
      <c r="S4228" s="2"/>
      <c r="T4228" s="2"/>
      <c r="U4228" s="2"/>
      <c r="V4228" s="2"/>
      <c r="W4228" s="2"/>
    </row>
    <row r="4229" spans="1:23" x14ac:dyDescent="0.25">
      <c r="A4229" s="2"/>
      <c r="B4229" s="2"/>
      <c r="C4229" s="1"/>
      <c r="D4229" s="2"/>
      <c r="E4229" s="2"/>
      <c r="F4229" s="2"/>
      <c r="G4229" s="2"/>
      <c r="H4229" s="2"/>
      <c r="I4229" s="2"/>
      <c r="J4229" s="2"/>
      <c r="K4229" s="2"/>
      <c r="L4229" s="2"/>
      <c r="M4229" s="2"/>
      <c r="N4229" s="2"/>
      <c r="O4229" s="2"/>
      <c r="P4229" s="2"/>
      <c r="Q4229" s="2"/>
      <c r="R4229" s="2"/>
      <c r="S4229" s="2"/>
      <c r="T4229" s="2"/>
      <c r="U4229" s="2"/>
      <c r="V4229" s="2"/>
      <c r="W4229" s="2"/>
    </row>
    <row r="4230" spans="1:23" x14ac:dyDescent="0.25">
      <c r="A4230" s="2"/>
      <c r="B4230" s="2"/>
      <c r="C4230" s="1"/>
      <c r="D4230" s="2"/>
      <c r="E4230" s="2"/>
      <c r="F4230" s="2"/>
      <c r="G4230" s="2"/>
      <c r="H4230" s="2"/>
      <c r="I4230" s="2"/>
      <c r="J4230" s="2"/>
      <c r="K4230" s="2"/>
      <c r="L4230" s="2"/>
      <c r="M4230" s="2"/>
      <c r="N4230" s="2"/>
      <c r="O4230" s="2"/>
      <c r="P4230" s="2"/>
      <c r="Q4230" s="2"/>
      <c r="R4230" s="2"/>
      <c r="S4230" s="2"/>
      <c r="T4230" s="2"/>
      <c r="U4230" s="2"/>
      <c r="V4230" s="2"/>
      <c r="W4230" s="2"/>
    </row>
    <row r="4231" spans="1:23" x14ac:dyDescent="0.25">
      <c r="A4231" s="2"/>
      <c r="B4231" s="2"/>
      <c r="C4231" s="1"/>
      <c r="D4231" s="2"/>
      <c r="E4231" s="2"/>
      <c r="F4231" s="2"/>
      <c r="G4231" s="2"/>
      <c r="H4231" s="2"/>
      <c r="I4231" s="2"/>
      <c r="J4231" s="2"/>
      <c r="K4231" s="2"/>
      <c r="L4231" s="2"/>
      <c r="M4231" s="2"/>
      <c r="N4231" s="2"/>
      <c r="O4231" s="2"/>
      <c r="P4231" s="2"/>
      <c r="Q4231" s="2"/>
      <c r="R4231" s="2"/>
      <c r="S4231" s="2"/>
      <c r="T4231" s="2"/>
      <c r="U4231" s="2"/>
      <c r="V4231" s="2"/>
      <c r="W4231" s="2"/>
    </row>
    <row r="4232" spans="1:23" x14ac:dyDescent="0.25">
      <c r="A4232" s="2"/>
      <c r="B4232" s="2"/>
      <c r="C4232" s="1"/>
      <c r="D4232" s="2"/>
      <c r="E4232" s="2"/>
      <c r="F4232" s="2"/>
      <c r="G4232" s="2"/>
      <c r="H4232" s="2"/>
      <c r="I4232" s="2"/>
      <c r="J4232" s="2"/>
      <c r="K4232" s="2"/>
      <c r="L4232" s="2"/>
      <c r="M4232" s="2"/>
      <c r="N4232" s="2"/>
      <c r="O4232" s="2"/>
      <c r="P4232" s="2"/>
      <c r="Q4232" s="2"/>
      <c r="R4232" s="2"/>
      <c r="S4232" s="2"/>
      <c r="T4232" s="2"/>
      <c r="U4232" s="2"/>
      <c r="V4232" s="2"/>
      <c r="W4232" s="2"/>
    </row>
    <row r="4233" spans="1:23" x14ac:dyDescent="0.25">
      <c r="A4233" s="2"/>
      <c r="B4233" s="2"/>
      <c r="C4233" s="1"/>
      <c r="D4233" s="2"/>
      <c r="E4233" s="2"/>
      <c r="F4233" s="2"/>
      <c r="G4233" s="2"/>
      <c r="H4233" s="2"/>
      <c r="I4233" s="2"/>
      <c r="J4233" s="2"/>
      <c r="K4233" s="2"/>
      <c r="L4233" s="2"/>
      <c r="M4233" s="2"/>
      <c r="N4233" s="2"/>
      <c r="O4233" s="2"/>
      <c r="P4233" s="2"/>
      <c r="Q4233" s="2"/>
      <c r="R4233" s="2"/>
      <c r="S4233" s="2"/>
      <c r="T4233" s="2"/>
      <c r="U4233" s="2"/>
      <c r="V4233" s="2"/>
      <c r="W4233" s="2"/>
    </row>
    <row r="4234" spans="1:23" x14ac:dyDescent="0.25">
      <c r="A4234" s="2"/>
      <c r="B4234" s="2"/>
      <c r="C4234" s="1"/>
      <c r="D4234" s="2"/>
      <c r="E4234" s="2"/>
      <c r="F4234" s="2"/>
      <c r="G4234" s="2"/>
      <c r="H4234" s="2"/>
      <c r="I4234" s="2"/>
      <c r="J4234" s="2"/>
      <c r="K4234" s="2"/>
      <c r="L4234" s="2"/>
      <c r="M4234" s="2"/>
      <c r="N4234" s="2"/>
      <c r="O4234" s="2"/>
      <c r="P4234" s="2"/>
      <c r="Q4234" s="2"/>
      <c r="R4234" s="2"/>
      <c r="S4234" s="2"/>
      <c r="T4234" s="2"/>
      <c r="U4234" s="2"/>
      <c r="V4234" s="2"/>
      <c r="W4234" s="2"/>
    </row>
    <row r="4235" spans="1:23" x14ac:dyDescent="0.25">
      <c r="A4235" s="2"/>
      <c r="B4235" s="2"/>
      <c r="C4235" s="1"/>
      <c r="D4235" s="2"/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/>
      <c r="P4235" s="2"/>
      <c r="Q4235" s="2"/>
      <c r="R4235" s="2"/>
      <c r="S4235" s="2"/>
      <c r="T4235" s="2"/>
      <c r="U4235" s="2"/>
      <c r="V4235" s="2"/>
      <c r="W4235" s="2"/>
    </row>
    <row r="4236" spans="1:23" x14ac:dyDescent="0.25">
      <c r="A4236" s="2"/>
      <c r="B4236" s="2"/>
      <c r="C4236" s="1"/>
      <c r="D4236" s="2"/>
      <c r="E4236" s="2"/>
      <c r="F4236" s="2"/>
      <c r="G4236" s="2"/>
      <c r="H4236" s="2"/>
      <c r="I4236" s="2"/>
      <c r="J4236" s="2"/>
      <c r="K4236" s="2"/>
      <c r="L4236" s="2"/>
      <c r="M4236" s="2"/>
      <c r="N4236" s="2"/>
      <c r="O4236" s="2"/>
      <c r="P4236" s="2"/>
      <c r="Q4236" s="2"/>
      <c r="R4236" s="2"/>
      <c r="S4236" s="2"/>
      <c r="T4236" s="2"/>
      <c r="U4236" s="2"/>
      <c r="V4236" s="2"/>
      <c r="W4236" s="2"/>
    </row>
    <row r="4237" spans="1:23" x14ac:dyDescent="0.25">
      <c r="A4237" s="2"/>
      <c r="B4237" s="2"/>
      <c r="C4237" s="1"/>
      <c r="D4237" s="2"/>
      <c r="E4237" s="2"/>
      <c r="F4237" s="2"/>
      <c r="G4237" s="2"/>
      <c r="H4237" s="2"/>
      <c r="I4237" s="2"/>
      <c r="J4237" s="2"/>
      <c r="K4237" s="2"/>
      <c r="L4237" s="2"/>
      <c r="M4237" s="2"/>
      <c r="N4237" s="2"/>
      <c r="O4237" s="2"/>
      <c r="P4237" s="2"/>
      <c r="Q4237" s="2"/>
      <c r="R4237" s="2"/>
      <c r="S4237" s="2"/>
      <c r="T4237" s="2"/>
      <c r="U4237" s="2"/>
      <c r="V4237" s="2"/>
      <c r="W4237" s="2"/>
    </row>
    <row r="4238" spans="1:23" x14ac:dyDescent="0.25">
      <c r="A4238" s="2"/>
      <c r="B4238" s="2"/>
      <c r="C4238" s="1"/>
      <c r="D4238" s="2"/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/>
      <c r="P4238" s="2"/>
      <c r="Q4238" s="2"/>
      <c r="R4238" s="2"/>
      <c r="S4238" s="2"/>
      <c r="T4238" s="2"/>
      <c r="U4238" s="2"/>
      <c r="V4238" s="2"/>
      <c r="W4238" s="2"/>
    </row>
    <row r="4239" spans="1:23" x14ac:dyDescent="0.25">
      <c r="A4239" s="2"/>
      <c r="B4239" s="2"/>
      <c r="C4239" s="1"/>
      <c r="D4239" s="2"/>
      <c r="E4239" s="2"/>
      <c r="F4239" s="2"/>
      <c r="G4239" s="2"/>
      <c r="H4239" s="2"/>
      <c r="I4239" s="2"/>
      <c r="J4239" s="2"/>
      <c r="K4239" s="2"/>
      <c r="L4239" s="2"/>
      <c r="M4239" s="2"/>
      <c r="N4239" s="2"/>
      <c r="O4239" s="2"/>
      <c r="P4239" s="2"/>
      <c r="Q4239" s="2"/>
      <c r="R4239" s="2"/>
      <c r="S4239" s="2"/>
      <c r="T4239" s="2"/>
      <c r="U4239" s="2"/>
      <c r="V4239" s="2"/>
      <c r="W4239" s="2"/>
    </row>
    <row r="4240" spans="1:23" x14ac:dyDescent="0.25">
      <c r="A4240" s="2"/>
      <c r="B4240" s="2"/>
      <c r="C4240" s="1"/>
      <c r="D4240" s="2"/>
      <c r="E4240" s="2"/>
      <c r="F4240" s="2"/>
      <c r="G4240" s="2"/>
      <c r="H4240" s="2"/>
      <c r="I4240" s="2"/>
      <c r="J4240" s="2"/>
      <c r="K4240" s="2"/>
      <c r="L4240" s="2"/>
      <c r="M4240" s="2"/>
      <c r="N4240" s="2"/>
      <c r="O4240" s="2"/>
      <c r="P4240" s="2"/>
      <c r="Q4240" s="2"/>
      <c r="R4240" s="2"/>
      <c r="S4240" s="2"/>
      <c r="T4240" s="2"/>
      <c r="U4240" s="2"/>
      <c r="V4240" s="2"/>
      <c r="W4240" s="2"/>
    </row>
    <row r="4241" spans="1:23" x14ac:dyDescent="0.25">
      <c r="A4241" s="2"/>
      <c r="B4241" s="2"/>
      <c r="C4241" s="1"/>
      <c r="D4241" s="2"/>
      <c r="E4241" s="2"/>
      <c r="F4241" s="2"/>
      <c r="G4241" s="2"/>
      <c r="H4241" s="2"/>
      <c r="I4241" s="2"/>
      <c r="J4241" s="2"/>
      <c r="K4241" s="2"/>
      <c r="L4241" s="2"/>
      <c r="M4241" s="2"/>
      <c r="N4241" s="2"/>
      <c r="O4241" s="2"/>
      <c r="P4241" s="2"/>
      <c r="Q4241" s="2"/>
      <c r="R4241" s="2"/>
      <c r="S4241" s="2"/>
      <c r="T4241" s="2"/>
      <c r="U4241" s="2"/>
      <c r="V4241" s="2"/>
      <c r="W4241" s="2"/>
    </row>
    <row r="4242" spans="1:23" x14ac:dyDescent="0.25">
      <c r="A4242" s="2"/>
      <c r="B4242" s="2"/>
      <c r="C4242" s="1"/>
      <c r="D4242" s="2"/>
      <c r="E4242" s="2"/>
      <c r="F4242" s="2"/>
      <c r="G4242" s="2"/>
      <c r="H4242" s="2"/>
      <c r="I4242" s="2"/>
      <c r="J4242" s="2"/>
      <c r="K4242" s="2"/>
      <c r="L4242" s="2"/>
      <c r="M4242" s="2"/>
      <c r="N4242" s="2"/>
      <c r="O4242" s="2"/>
      <c r="P4242" s="2"/>
      <c r="Q4242" s="2"/>
      <c r="R4242" s="2"/>
      <c r="S4242" s="2"/>
      <c r="T4242" s="2"/>
      <c r="U4242" s="2"/>
      <c r="V4242" s="2"/>
      <c r="W4242" s="2"/>
    </row>
    <row r="4243" spans="1:23" x14ac:dyDescent="0.25">
      <c r="A4243" s="2"/>
      <c r="B4243" s="2"/>
      <c r="C4243" s="1"/>
      <c r="D4243" s="2"/>
      <c r="E4243" s="2"/>
      <c r="F4243" s="2"/>
      <c r="G4243" s="2"/>
      <c r="H4243" s="2"/>
      <c r="I4243" s="2"/>
      <c r="J4243" s="2"/>
      <c r="K4243" s="2"/>
      <c r="L4243" s="2"/>
      <c r="M4243" s="2"/>
      <c r="N4243" s="2"/>
      <c r="O4243" s="2"/>
      <c r="P4243" s="2"/>
      <c r="Q4243" s="2"/>
      <c r="R4243" s="2"/>
      <c r="S4243" s="2"/>
      <c r="T4243" s="2"/>
      <c r="U4243" s="2"/>
      <c r="V4243" s="2"/>
      <c r="W4243" s="2"/>
    </row>
    <row r="4244" spans="1:23" x14ac:dyDescent="0.25">
      <c r="A4244" s="2"/>
      <c r="B4244" s="2"/>
      <c r="C4244" s="1"/>
      <c r="D4244" s="2"/>
      <c r="E4244" s="2"/>
      <c r="F4244" s="2"/>
      <c r="G4244" s="2"/>
      <c r="H4244" s="2"/>
      <c r="I4244" s="2"/>
      <c r="J4244" s="2"/>
      <c r="K4244" s="2"/>
      <c r="L4244" s="2"/>
      <c r="M4244" s="2"/>
      <c r="N4244" s="2"/>
      <c r="O4244" s="2"/>
      <c r="P4244" s="2"/>
      <c r="Q4244" s="2"/>
      <c r="R4244" s="2"/>
      <c r="S4244" s="2"/>
      <c r="T4244" s="2"/>
      <c r="U4244" s="2"/>
      <c r="V4244" s="2"/>
      <c r="W4244" s="2"/>
    </row>
    <row r="4245" spans="1:23" x14ac:dyDescent="0.25">
      <c r="A4245" s="2"/>
      <c r="B4245" s="2"/>
      <c r="C4245" s="1"/>
      <c r="D4245" s="2"/>
      <c r="E4245" s="2"/>
      <c r="F4245" s="2"/>
      <c r="G4245" s="2"/>
      <c r="H4245" s="2"/>
      <c r="I4245" s="2"/>
      <c r="J4245" s="2"/>
      <c r="K4245" s="2"/>
      <c r="L4245" s="2"/>
      <c r="M4245" s="2"/>
      <c r="N4245" s="2"/>
      <c r="O4245" s="2"/>
      <c r="P4245" s="2"/>
      <c r="Q4245" s="2"/>
      <c r="R4245" s="2"/>
      <c r="S4245" s="2"/>
      <c r="T4245" s="2"/>
      <c r="U4245" s="2"/>
      <c r="V4245" s="2"/>
      <c r="W4245" s="2"/>
    </row>
    <row r="4246" spans="1:23" x14ac:dyDescent="0.25">
      <c r="A4246" s="2"/>
      <c r="B4246" s="2"/>
      <c r="C4246" s="1"/>
      <c r="D4246" s="2"/>
      <c r="E4246" s="2"/>
      <c r="F4246" s="2"/>
      <c r="G4246" s="2"/>
      <c r="H4246" s="2"/>
      <c r="I4246" s="2"/>
      <c r="J4246" s="2"/>
      <c r="K4246" s="2"/>
      <c r="L4246" s="2"/>
      <c r="M4246" s="2"/>
      <c r="N4246" s="2"/>
      <c r="O4246" s="2"/>
      <c r="P4246" s="2"/>
      <c r="Q4246" s="2"/>
      <c r="R4246" s="2"/>
      <c r="S4246" s="2"/>
      <c r="T4246" s="2"/>
      <c r="U4246" s="2"/>
      <c r="V4246" s="2"/>
      <c r="W4246" s="2"/>
    </row>
    <row r="4247" spans="1:23" x14ac:dyDescent="0.25">
      <c r="A4247" s="2"/>
      <c r="B4247" s="2"/>
      <c r="C4247" s="1"/>
      <c r="D4247" s="2"/>
      <c r="E4247" s="2"/>
      <c r="F4247" s="2"/>
      <c r="G4247" s="2"/>
      <c r="H4247" s="2"/>
      <c r="I4247" s="2"/>
      <c r="J4247" s="2"/>
      <c r="K4247" s="2"/>
      <c r="L4247" s="2"/>
      <c r="M4247" s="2"/>
      <c r="N4247" s="2"/>
      <c r="O4247" s="2"/>
      <c r="P4247" s="2"/>
      <c r="Q4247" s="2"/>
      <c r="R4247" s="2"/>
      <c r="S4247" s="2"/>
      <c r="T4247" s="2"/>
      <c r="U4247" s="2"/>
      <c r="V4247" s="2"/>
      <c r="W4247" s="2"/>
    </row>
    <row r="4248" spans="1:23" x14ac:dyDescent="0.25">
      <c r="A4248" s="2"/>
      <c r="B4248" s="2"/>
      <c r="C4248" s="1"/>
      <c r="D4248" s="2"/>
      <c r="E4248" s="2"/>
      <c r="F4248" s="2"/>
      <c r="G4248" s="2"/>
      <c r="H4248" s="2"/>
      <c r="I4248" s="2"/>
      <c r="J4248" s="2"/>
      <c r="K4248" s="2"/>
      <c r="L4248" s="2"/>
      <c r="M4248" s="2"/>
      <c r="N4248" s="2"/>
      <c r="O4248" s="2"/>
      <c r="P4248" s="2"/>
      <c r="Q4248" s="2"/>
      <c r="R4248" s="2"/>
      <c r="S4248" s="2"/>
      <c r="T4248" s="2"/>
      <c r="U4248" s="2"/>
      <c r="V4248" s="2"/>
      <c r="W4248" s="2"/>
    </row>
    <row r="4249" spans="1:23" x14ac:dyDescent="0.25">
      <c r="A4249" s="2"/>
      <c r="B4249" s="2"/>
      <c r="C4249" s="1"/>
      <c r="D4249" s="2"/>
      <c r="E4249" s="2"/>
      <c r="F4249" s="2"/>
      <c r="G4249" s="2"/>
      <c r="H4249" s="2"/>
      <c r="I4249" s="2"/>
      <c r="J4249" s="2"/>
      <c r="K4249" s="2"/>
      <c r="L4249" s="2"/>
      <c r="M4249" s="2"/>
      <c r="N4249" s="2"/>
      <c r="O4249" s="2"/>
      <c r="P4249" s="2"/>
      <c r="Q4249" s="2"/>
      <c r="R4249" s="2"/>
      <c r="S4249" s="2"/>
      <c r="T4249" s="2"/>
      <c r="U4249" s="2"/>
      <c r="V4249" s="2"/>
      <c r="W4249" s="2"/>
    </row>
    <row r="4250" spans="1:23" x14ac:dyDescent="0.25">
      <c r="A4250" s="2"/>
      <c r="B4250" s="2"/>
      <c r="C4250" s="1"/>
      <c r="D4250" s="2"/>
      <c r="E4250" s="2"/>
      <c r="F4250" s="2"/>
      <c r="G4250" s="2"/>
      <c r="H4250" s="2"/>
      <c r="I4250" s="2"/>
      <c r="J4250" s="2"/>
      <c r="K4250" s="2"/>
      <c r="L4250" s="2"/>
      <c r="M4250" s="2"/>
      <c r="N4250" s="2"/>
      <c r="O4250" s="2"/>
      <c r="P4250" s="2"/>
      <c r="Q4250" s="2"/>
      <c r="R4250" s="2"/>
      <c r="S4250" s="2"/>
      <c r="T4250" s="2"/>
      <c r="U4250" s="2"/>
      <c r="V4250" s="2"/>
      <c r="W4250" s="2"/>
    </row>
    <row r="4251" spans="1:23" x14ac:dyDescent="0.25">
      <c r="A4251" s="2"/>
      <c r="B4251" s="2"/>
      <c r="C4251" s="1"/>
      <c r="D4251" s="2"/>
      <c r="E4251" s="2"/>
      <c r="F4251" s="2"/>
      <c r="G4251" s="2"/>
      <c r="H4251" s="2"/>
      <c r="I4251" s="2"/>
      <c r="J4251" s="2"/>
      <c r="K4251" s="2"/>
      <c r="L4251" s="2"/>
      <c r="M4251" s="2"/>
      <c r="N4251" s="2"/>
      <c r="O4251" s="2"/>
      <c r="P4251" s="2"/>
      <c r="Q4251" s="2"/>
      <c r="R4251" s="2"/>
      <c r="S4251" s="2"/>
      <c r="T4251" s="2"/>
      <c r="U4251" s="2"/>
      <c r="V4251" s="2"/>
      <c r="W4251" s="2"/>
    </row>
    <row r="4252" spans="1:23" x14ac:dyDescent="0.25">
      <c r="A4252" s="2"/>
      <c r="B4252" s="2"/>
      <c r="C4252" s="1"/>
      <c r="D4252" s="2"/>
      <c r="E4252" s="2"/>
      <c r="F4252" s="2"/>
      <c r="G4252" s="2"/>
      <c r="H4252" s="2"/>
      <c r="I4252" s="2"/>
      <c r="J4252" s="2"/>
      <c r="K4252" s="2"/>
      <c r="L4252" s="2"/>
      <c r="M4252" s="2"/>
      <c r="N4252" s="2"/>
      <c r="O4252" s="2"/>
      <c r="P4252" s="2"/>
      <c r="Q4252" s="2"/>
      <c r="R4252" s="2"/>
      <c r="S4252" s="2"/>
      <c r="T4252" s="2"/>
      <c r="U4252" s="2"/>
      <c r="V4252" s="2"/>
      <c r="W4252" s="2"/>
    </row>
    <row r="4253" spans="1:23" x14ac:dyDescent="0.25">
      <c r="A4253" s="2"/>
      <c r="B4253" s="2"/>
      <c r="C4253" s="1"/>
      <c r="D4253" s="2"/>
      <c r="E4253" s="2"/>
      <c r="F4253" s="2"/>
      <c r="G4253" s="2"/>
      <c r="H4253" s="2"/>
      <c r="I4253" s="2"/>
      <c r="J4253" s="2"/>
      <c r="K4253" s="2"/>
      <c r="L4253" s="2"/>
      <c r="M4253" s="2"/>
      <c r="N4253" s="2"/>
      <c r="O4253" s="2"/>
      <c r="P4253" s="2"/>
      <c r="Q4253" s="2"/>
      <c r="R4253" s="2"/>
      <c r="S4253" s="2"/>
      <c r="T4253" s="2"/>
      <c r="U4253" s="2"/>
      <c r="V4253" s="2"/>
      <c r="W4253" s="2"/>
    </row>
    <row r="4254" spans="1:23" x14ac:dyDescent="0.25">
      <c r="A4254" s="2"/>
      <c r="B4254" s="2"/>
      <c r="C4254" s="1"/>
      <c r="D4254" s="2"/>
      <c r="E4254" s="2"/>
      <c r="F4254" s="2"/>
      <c r="G4254" s="2"/>
      <c r="H4254" s="2"/>
      <c r="I4254" s="2"/>
      <c r="J4254" s="2"/>
      <c r="K4254" s="2"/>
      <c r="L4254" s="2"/>
      <c r="M4254" s="2"/>
      <c r="N4254" s="2"/>
      <c r="O4254" s="2"/>
      <c r="P4254" s="2"/>
      <c r="Q4254" s="2"/>
      <c r="R4254" s="2"/>
      <c r="S4254" s="2"/>
      <c r="T4254" s="2"/>
      <c r="U4254" s="2"/>
      <c r="V4254" s="2"/>
      <c r="W4254" s="2"/>
    </row>
    <row r="4255" spans="1:23" x14ac:dyDescent="0.25">
      <c r="A4255" s="2"/>
      <c r="B4255" s="2"/>
      <c r="C4255" s="1"/>
      <c r="D4255" s="2"/>
      <c r="E4255" s="2"/>
      <c r="F4255" s="2"/>
      <c r="G4255" s="2"/>
      <c r="H4255" s="2"/>
      <c r="I4255" s="2"/>
      <c r="J4255" s="2"/>
      <c r="K4255" s="2"/>
      <c r="L4255" s="2"/>
      <c r="M4255" s="2"/>
      <c r="N4255" s="2"/>
      <c r="O4255" s="2"/>
      <c r="P4255" s="2"/>
      <c r="Q4255" s="2"/>
      <c r="R4255" s="2"/>
      <c r="S4255" s="2"/>
      <c r="T4255" s="2"/>
      <c r="U4255" s="2"/>
      <c r="V4255" s="2"/>
      <c r="W4255" s="2"/>
    </row>
    <row r="4256" spans="1:23" x14ac:dyDescent="0.25">
      <c r="A4256" s="2"/>
      <c r="B4256" s="2"/>
      <c r="C4256" s="1"/>
      <c r="D4256" s="2"/>
      <c r="E4256" s="2"/>
      <c r="F4256" s="2"/>
      <c r="G4256" s="2"/>
      <c r="H4256" s="2"/>
      <c r="I4256" s="2"/>
      <c r="J4256" s="2"/>
      <c r="K4256" s="2"/>
      <c r="L4256" s="2"/>
      <c r="M4256" s="2"/>
      <c r="N4256" s="2"/>
      <c r="O4256" s="2"/>
      <c r="P4256" s="2"/>
      <c r="Q4256" s="2"/>
      <c r="R4256" s="2"/>
      <c r="S4256" s="2"/>
      <c r="T4256" s="2"/>
      <c r="U4256" s="2"/>
      <c r="V4256" s="2"/>
      <c r="W4256" s="2"/>
    </row>
    <row r="4257" spans="1:23" x14ac:dyDescent="0.25">
      <c r="A4257" s="2"/>
      <c r="B4257" s="2"/>
      <c r="C4257" s="1"/>
      <c r="D4257" s="2"/>
      <c r="E4257" s="2"/>
      <c r="F4257" s="2"/>
      <c r="G4257" s="2"/>
      <c r="H4257" s="2"/>
      <c r="I4257" s="2"/>
      <c r="J4257" s="2"/>
      <c r="K4257" s="2"/>
      <c r="L4257" s="2"/>
      <c r="M4257" s="2"/>
      <c r="N4257" s="2"/>
      <c r="O4257" s="2"/>
      <c r="P4257" s="2"/>
      <c r="Q4257" s="2"/>
      <c r="R4257" s="2"/>
      <c r="S4257" s="2"/>
      <c r="T4257" s="2"/>
      <c r="U4257" s="2"/>
      <c r="V4257" s="2"/>
      <c r="W4257" s="2"/>
    </row>
    <row r="4258" spans="1:23" x14ac:dyDescent="0.25">
      <c r="A4258" s="2"/>
      <c r="B4258" s="2"/>
      <c r="C4258" s="1"/>
      <c r="D4258" s="2"/>
      <c r="E4258" s="2"/>
      <c r="F4258" s="2"/>
      <c r="G4258" s="2"/>
      <c r="H4258" s="2"/>
      <c r="I4258" s="2"/>
      <c r="J4258" s="2"/>
      <c r="K4258" s="2"/>
      <c r="L4258" s="2"/>
      <c r="M4258" s="2"/>
      <c r="N4258" s="2"/>
      <c r="O4258" s="2"/>
      <c r="P4258" s="2"/>
      <c r="Q4258" s="2"/>
      <c r="R4258" s="2"/>
      <c r="S4258" s="2"/>
      <c r="T4258" s="2"/>
      <c r="U4258" s="2"/>
      <c r="V4258" s="2"/>
      <c r="W4258" s="2"/>
    </row>
    <row r="4259" spans="1:23" x14ac:dyDescent="0.25">
      <c r="A4259" s="2"/>
      <c r="B4259" s="2"/>
      <c r="C4259" s="1"/>
      <c r="D4259" s="2"/>
      <c r="E4259" s="2"/>
      <c r="F4259" s="2"/>
      <c r="G4259" s="2"/>
      <c r="H4259" s="2"/>
      <c r="I4259" s="2"/>
      <c r="J4259" s="2"/>
      <c r="K4259" s="2"/>
      <c r="L4259" s="2"/>
      <c r="M4259" s="2"/>
      <c r="N4259" s="2"/>
      <c r="O4259" s="2"/>
      <c r="P4259" s="2"/>
      <c r="Q4259" s="2"/>
      <c r="R4259" s="2"/>
      <c r="S4259" s="2"/>
      <c r="T4259" s="2"/>
      <c r="U4259" s="2"/>
      <c r="V4259" s="2"/>
      <c r="W4259" s="2"/>
    </row>
    <row r="4260" spans="1:23" x14ac:dyDescent="0.25">
      <c r="A4260" s="2"/>
      <c r="B4260" s="2"/>
      <c r="C4260" s="1"/>
      <c r="D4260" s="2"/>
      <c r="E4260" s="2"/>
      <c r="F4260" s="2"/>
      <c r="G4260" s="2"/>
      <c r="H4260" s="2"/>
      <c r="I4260" s="2"/>
      <c r="J4260" s="2"/>
      <c r="K4260" s="2"/>
      <c r="L4260" s="2"/>
      <c r="M4260" s="2"/>
      <c r="N4260" s="2"/>
      <c r="O4260" s="2"/>
      <c r="P4260" s="2"/>
      <c r="Q4260" s="2"/>
      <c r="R4260" s="2"/>
      <c r="S4260" s="2"/>
      <c r="T4260" s="2"/>
      <c r="U4260" s="2"/>
      <c r="V4260" s="2"/>
      <c r="W4260" s="2"/>
    </row>
    <row r="4261" spans="1:23" x14ac:dyDescent="0.25">
      <c r="A4261" s="2"/>
      <c r="B4261" s="2"/>
      <c r="C4261" s="1"/>
      <c r="D4261" s="2"/>
      <c r="E4261" s="2"/>
      <c r="F4261" s="2"/>
      <c r="G4261" s="2"/>
      <c r="H4261" s="2"/>
      <c r="I4261" s="2"/>
      <c r="J4261" s="2"/>
      <c r="K4261" s="2"/>
      <c r="L4261" s="2"/>
      <c r="M4261" s="2"/>
      <c r="N4261" s="2"/>
      <c r="O4261" s="2"/>
      <c r="P4261" s="2"/>
      <c r="Q4261" s="2"/>
      <c r="R4261" s="2"/>
      <c r="S4261" s="2"/>
      <c r="T4261" s="2"/>
      <c r="U4261" s="2"/>
      <c r="V4261" s="2"/>
      <c r="W4261" s="2"/>
    </row>
    <row r="4262" spans="1:23" x14ac:dyDescent="0.25">
      <c r="A4262" s="2"/>
      <c r="B4262" s="2"/>
      <c r="C4262" s="1"/>
      <c r="D4262" s="2"/>
      <c r="E4262" s="2"/>
      <c r="F4262" s="2"/>
      <c r="G4262" s="2"/>
      <c r="H4262" s="2"/>
      <c r="I4262" s="2"/>
      <c r="J4262" s="2"/>
      <c r="K4262" s="2"/>
      <c r="L4262" s="2"/>
      <c r="M4262" s="2"/>
      <c r="N4262" s="2"/>
      <c r="O4262" s="2"/>
      <c r="P4262" s="2"/>
      <c r="Q4262" s="2"/>
      <c r="R4262" s="2"/>
      <c r="S4262" s="2"/>
      <c r="T4262" s="2"/>
      <c r="U4262" s="2"/>
      <c r="V4262" s="2"/>
      <c r="W4262" s="2"/>
    </row>
    <row r="4263" spans="1:23" x14ac:dyDescent="0.25">
      <c r="A4263" s="2"/>
      <c r="B4263" s="2"/>
      <c r="C4263" s="1"/>
      <c r="D4263" s="2"/>
      <c r="E4263" s="2"/>
      <c r="F4263" s="2"/>
      <c r="G4263" s="2"/>
      <c r="H4263" s="2"/>
      <c r="I4263" s="2"/>
      <c r="J4263" s="2"/>
      <c r="K4263" s="2"/>
      <c r="L4263" s="2"/>
      <c r="M4263" s="2"/>
      <c r="N4263" s="2"/>
      <c r="O4263" s="2"/>
      <c r="P4263" s="2"/>
      <c r="Q4263" s="2"/>
      <c r="R4263" s="2"/>
      <c r="S4263" s="2"/>
      <c r="T4263" s="2"/>
      <c r="U4263" s="2"/>
      <c r="V4263" s="2"/>
      <c r="W4263" s="2"/>
    </row>
    <row r="4264" spans="1:23" x14ac:dyDescent="0.25">
      <c r="A4264" s="2"/>
      <c r="B4264" s="2"/>
      <c r="C4264" s="1"/>
      <c r="D4264" s="2"/>
      <c r="E4264" s="2"/>
      <c r="F4264" s="2"/>
      <c r="G4264" s="2"/>
      <c r="H4264" s="2"/>
      <c r="I4264" s="2"/>
      <c r="J4264" s="2"/>
      <c r="K4264" s="2"/>
      <c r="L4264" s="2"/>
      <c r="M4264" s="2"/>
      <c r="N4264" s="2"/>
      <c r="O4264" s="2"/>
      <c r="P4264" s="2"/>
      <c r="Q4264" s="2"/>
      <c r="R4264" s="2"/>
      <c r="S4264" s="2"/>
      <c r="T4264" s="2"/>
      <c r="U4264" s="2"/>
      <c r="V4264" s="2"/>
      <c r="W4264" s="2"/>
    </row>
    <row r="4265" spans="1:23" x14ac:dyDescent="0.25">
      <c r="A4265" s="2"/>
      <c r="B4265" s="2"/>
      <c r="C4265" s="1"/>
      <c r="D4265" s="2"/>
      <c r="E4265" s="2"/>
      <c r="F4265" s="2"/>
      <c r="G4265" s="2"/>
      <c r="H4265" s="2"/>
      <c r="I4265" s="2"/>
      <c r="J4265" s="2"/>
      <c r="K4265" s="2"/>
      <c r="L4265" s="2"/>
      <c r="M4265" s="2"/>
      <c r="N4265" s="2"/>
      <c r="O4265" s="2"/>
      <c r="P4265" s="2"/>
      <c r="Q4265" s="2"/>
      <c r="R4265" s="2"/>
      <c r="S4265" s="2"/>
      <c r="T4265" s="2"/>
      <c r="U4265" s="2"/>
      <c r="V4265" s="2"/>
      <c r="W4265" s="2"/>
    </row>
    <row r="4266" spans="1:23" x14ac:dyDescent="0.25">
      <c r="A4266" s="2"/>
      <c r="B4266" s="2"/>
      <c r="C4266" s="1"/>
      <c r="D4266" s="2"/>
      <c r="E4266" s="2"/>
      <c r="F4266" s="2"/>
      <c r="G4266" s="2"/>
      <c r="H4266" s="2"/>
      <c r="I4266" s="2"/>
      <c r="J4266" s="2"/>
      <c r="K4266" s="2"/>
      <c r="L4266" s="2"/>
      <c r="M4266" s="2"/>
      <c r="N4266" s="2"/>
      <c r="O4266" s="2"/>
      <c r="P4266" s="2"/>
      <c r="Q4266" s="2"/>
      <c r="R4266" s="2"/>
      <c r="S4266" s="2"/>
      <c r="T4266" s="2"/>
      <c r="U4266" s="2"/>
      <c r="V4266" s="2"/>
      <c r="W4266" s="2"/>
    </row>
    <row r="4267" spans="1:23" x14ac:dyDescent="0.25">
      <c r="A4267" s="2"/>
      <c r="B4267" s="2"/>
      <c r="C4267" s="1"/>
      <c r="D4267" s="2"/>
      <c r="E4267" s="2"/>
      <c r="F4267" s="2"/>
      <c r="G4267" s="2"/>
      <c r="H4267" s="2"/>
      <c r="I4267" s="2"/>
      <c r="J4267" s="2"/>
      <c r="K4267" s="2"/>
      <c r="L4267" s="2"/>
      <c r="M4267" s="2"/>
      <c r="N4267" s="2"/>
      <c r="O4267" s="2"/>
      <c r="P4267" s="2"/>
      <c r="Q4267" s="2"/>
      <c r="R4267" s="2"/>
      <c r="S4267" s="2"/>
      <c r="T4267" s="2"/>
      <c r="U4267" s="2"/>
      <c r="V4267" s="2"/>
      <c r="W4267" s="2"/>
    </row>
    <row r="4268" spans="1:23" x14ac:dyDescent="0.25">
      <c r="A4268" s="2"/>
      <c r="B4268" s="2"/>
      <c r="C4268" s="1"/>
      <c r="D4268" s="2"/>
      <c r="E4268" s="2"/>
      <c r="F4268" s="2"/>
      <c r="G4268" s="2"/>
      <c r="H4268" s="2"/>
      <c r="I4268" s="2"/>
      <c r="J4268" s="2"/>
      <c r="K4268" s="2"/>
      <c r="L4268" s="2"/>
      <c r="M4268" s="2"/>
      <c r="N4268" s="2"/>
      <c r="O4268" s="2"/>
      <c r="P4268" s="2"/>
      <c r="Q4268" s="2"/>
      <c r="R4268" s="2"/>
      <c r="S4268" s="2"/>
      <c r="T4268" s="2"/>
      <c r="U4268" s="2"/>
      <c r="V4268" s="2"/>
      <c r="W4268" s="2"/>
    </row>
    <row r="4269" spans="1:23" x14ac:dyDescent="0.25">
      <c r="A4269" s="2"/>
      <c r="B4269" s="2"/>
      <c r="C4269" s="1"/>
      <c r="D4269" s="2"/>
      <c r="E4269" s="2"/>
      <c r="F4269" s="2"/>
      <c r="G4269" s="2"/>
      <c r="H4269" s="2"/>
      <c r="I4269" s="2"/>
      <c r="J4269" s="2"/>
      <c r="K4269" s="2"/>
      <c r="L4269" s="2"/>
      <c r="M4269" s="2"/>
      <c r="N4269" s="2"/>
      <c r="O4269" s="2"/>
      <c r="P4269" s="2"/>
      <c r="Q4269" s="2"/>
      <c r="R4269" s="2"/>
      <c r="S4269" s="2"/>
      <c r="T4269" s="2"/>
      <c r="U4269" s="2"/>
      <c r="V4269" s="2"/>
      <c r="W4269" s="2"/>
    </row>
    <row r="4270" spans="1:23" x14ac:dyDescent="0.25">
      <c r="A4270" s="2"/>
      <c r="B4270" s="2"/>
      <c r="C4270" s="1"/>
      <c r="D4270" s="2"/>
      <c r="E4270" s="2"/>
      <c r="F4270" s="2"/>
      <c r="G4270" s="2"/>
      <c r="H4270" s="2"/>
      <c r="I4270" s="2"/>
      <c r="J4270" s="2"/>
      <c r="K4270" s="2"/>
      <c r="L4270" s="2"/>
      <c r="M4270" s="2"/>
      <c r="N4270" s="2"/>
      <c r="O4270" s="2"/>
      <c r="P4270" s="2"/>
      <c r="Q4270" s="2"/>
      <c r="R4270" s="2"/>
      <c r="S4270" s="2"/>
      <c r="T4270" s="2"/>
      <c r="U4270" s="2"/>
      <c r="V4270" s="2"/>
      <c r="W4270" s="2"/>
    </row>
    <row r="4271" spans="1:23" x14ac:dyDescent="0.25">
      <c r="A4271" s="2"/>
      <c r="B4271" s="2"/>
      <c r="C4271" s="1"/>
      <c r="D4271" s="2"/>
      <c r="E4271" s="2"/>
      <c r="F4271" s="2"/>
      <c r="G4271" s="2"/>
      <c r="H4271" s="2"/>
      <c r="I4271" s="2"/>
      <c r="J4271" s="2"/>
      <c r="K4271" s="2"/>
      <c r="L4271" s="2"/>
      <c r="M4271" s="2"/>
      <c r="N4271" s="2"/>
      <c r="O4271" s="2"/>
      <c r="P4271" s="2"/>
      <c r="Q4271" s="2"/>
      <c r="R4271" s="2"/>
      <c r="S4271" s="2"/>
      <c r="T4271" s="2"/>
      <c r="U4271" s="2"/>
      <c r="V4271" s="2"/>
      <c r="W4271" s="2"/>
    </row>
    <row r="4272" spans="1:23" x14ac:dyDescent="0.25">
      <c r="A4272" s="2"/>
      <c r="B4272" s="2"/>
      <c r="C4272" s="1"/>
      <c r="D4272" s="2"/>
      <c r="E4272" s="2"/>
      <c r="F4272" s="2"/>
      <c r="G4272" s="2"/>
      <c r="H4272" s="2"/>
      <c r="I4272" s="2"/>
      <c r="J4272" s="2"/>
      <c r="K4272" s="2"/>
      <c r="L4272" s="2"/>
      <c r="M4272" s="2"/>
      <c r="N4272" s="2"/>
      <c r="O4272" s="2"/>
      <c r="P4272" s="2"/>
      <c r="Q4272" s="2"/>
      <c r="R4272" s="2"/>
      <c r="S4272" s="2"/>
      <c r="T4272" s="2"/>
      <c r="U4272" s="2"/>
      <c r="V4272" s="2"/>
      <c r="W4272" s="2"/>
    </row>
    <row r="4273" spans="1:23" x14ac:dyDescent="0.25">
      <c r="A4273" s="2"/>
      <c r="B4273" s="2"/>
      <c r="C4273" s="1"/>
      <c r="D4273" s="2"/>
      <c r="E4273" s="2"/>
      <c r="F4273" s="2"/>
      <c r="G4273" s="2"/>
      <c r="H4273" s="2"/>
      <c r="I4273" s="2"/>
      <c r="J4273" s="2"/>
      <c r="K4273" s="2"/>
      <c r="L4273" s="2"/>
      <c r="M4273" s="2"/>
      <c r="N4273" s="2"/>
      <c r="O4273" s="2"/>
      <c r="P4273" s="2"/>
      <c r="Q4273" s="2"/>
      <c r="R4273" s="2"/>
      <c r="S4273" s="2"/>
      <c r="T4273" s="2"/>
      <c r="U4273" s="2"/>
      <c r="V4273" s="2"/>
      <c r="W4273" s="2"/>
    </row>
    <row r="4274" spans="1:23" x14ac:dyDescent="0.25">
      <c r="A4274" s="2"/>
      <c r="B4274" s="2"/>
      <c r="C4274" s="1"/>
      <c r="D4274" s="2"/>
      <c r="E4274" s="2"/>
      <c r="F4274" s="2"/>
      <c r="G4274" s="2"/>
      <c r="H4274" s="2"/>
      <c r="I4274" s="2"/>
      <c r="J4274" s="2"/>
      <c r="K4274" s="2"/>
      <c r="L4274" s="2"/>
      <c r="M4274" s="2"/>
      <c r="N4274" s="2"/>
      <c r="O4274" s="2"/>
      <c r="P4274" s="2"/>
      <c r="Q4274" s="2"/>
      <c r="R4274" s="2"/>
      <c r="S4274" s="2"/>
      <c r="T4274" s="2"/>
      <c r="U4274" s="2"/>
      <c r="V4274" s="2"/>
      <c r="W4274" s="2"/>
    </row>
    <row r="4275" spans="1:23" x14ac:dyDescent="0.25">
      <c r="A4275" s="2"/>
      <c r="B4275" s="2"/>
      <c r="C4275" s="1"/>
      <c r="D4275" s="2"/>
      <c r="E4275" s="2"/>
      <c r="F4275" s="2"/>
      <c r="G4275" s="2"/>
      <c r="H4275" s="2"/>
      <c r="I4275" s="2"/>
      <c r="J4275" s="2"/>
      <c r="K4275" s="2"/>
      <c r="L4275" s="2"/>
      <c r="M4275" s="2"/>
      <c r="N4275" s="2"/>
      <c r="O4275" s="2"/>
      <c r="P4275" s="2"/>
      <c r="Q4275" s="2"/>
      <c r="R4275" s="2"/>
      <c r="S4275" s="2"/>
      <c r="T4275" s="2"/>
      <c r="U4275" s="2"/>
      <c r="V4275" s="2"/>
      <c r="W4275" s="2"/>
    </row>
    <row r="4276" spans="1:23" x14ac:dyDescent="0.25">
      <c r="A4276" s="2"/>
      <c r="B4276" s="2"/>
      <c r="C4276" s="1"/>
      <c r="D4276" s="2"/>
      <c r="E4276" s="2"/>
      <c r="F4276" s="2"/>
      <c r="G4276" s="2"/>
      <c r="H4276" s="2"/>
      <c r="I4276" s="2"/>
      <c r="J4276" s="2"/>
      <c r="K4276" s="2"/>
      <c r="L4276" s="2"/>
      <c r="M4276" s="2"/>
      <c r="N4276" s="2"/>
      <c r="O4276" s="2"/>
      <c r="P4276" s="2"/>
      <c r="Q4276" s="2"/>
      <c r="R4276" s="2"/>
      <c r="S4276" s="2"/>
      <c r="T4276" s="2"/>
      <c r="U4276" s="2"/>
      <c r="V4276" s="2"/>
      <c r="W4276" s="2"/>
    </row>
    <row r="4277" spans="1:23" x14ac:dyDescent="0.25">
      <c r="A4277" s="2"/>
      <c r="B4277" s="2"/>
      <c r="C4277" s="1"/>
      <c r="D4277" s="2"/>
      <c r="E4277" s="2"/>
      <c r="F4277" s="2"/>
      <c r="G4277" s="2"/>
      <c r="H4277" s="2"/>
      <c r="I4277" s="2"/>
      <c r="J4277" s="2"/>
      <c r="K4277" s="2"/>
      <c r="L4277" s="2"/>
      <c r="M4277" s="2"/>
      <c r="N4277" s="2"/>
      <c r="O4277" s="2"/>
      <c r="P4277" s="2"/>
      <c r="Q4277" s="2"/>
      <c r="R4277" s="2"/>
      <c r="S4277" s="2"/>
      <c r="T4277" s="2"/>
      <c r="U4277" s="2"/>
      <c r="V4277" s="2"/>
      <c r="W4277" s="2"/>
    </row>
    <row r="4278" spans="1:23" x14ac:dyDescent="0.25">
      <c r="A4278" s="2"/>
      <c r="B4278" s="2"/>
      <c r="C4278" s="1"/>
      <c r="D4278" s="2"/>
      <c r="E4278" s="2"/>
      <c r="F4278" s="2"/>
      <c r="G4278" s="2"/>
      <c r="H4278" s="2"/>
      <c r="I4278" s="2"/>
      <c r="J4278" s="2"/>
      <c r="K4278" s="2"/>
      <c r="L4278" s="2"/>
      <c r="M4278" s="2"/>
      <c r="N4278" s="2"/>
      <c r="O4278" s="2"/>
      <c r="P4278" s="2"/>
      <c r="Q4278" s="2"/>
      <c r="R4278" s="2"/>
      <c r="S4278" s="2"/>
      <c r="T4278" s="2"/>
      <c r="U4278" s="2"/>
      <c r="V4278" s="2"/>
      <c r="W4278" s="2"/>
    </row>
    <row r="4279" spans="1:23" x14ac:dyDescent="0.25">
      <c r="A4279" s="2"/>
      <c r="B4279" s="2"/>
      <c r="C4279" s="1"/>
      <c r="D4279" s="2"/>
      <c r="E4279" s="2"/>
      <c r="F4279" s="2"/>
      <c r="G4279" s="2"/>
      <c r="H4279" s="2"/>
      <c r="I4279" s="2"/>
      <c r="J4279" s="2"/>
      <c r="K4279" s="2"/>
      <c r="L4279" s="2"/>
      <c r="M4279" s="2"/>
      <c r="N4279" s="2"/>
      <c r="O4279" s="2"/>
      <c r="P4279" s="2"/>
      <c r="Q4279" s="2"/>
      <c r="R4279" s="2"/>
      <c r="S4279" s="2"/>
      <c r="T4279" s="2"/>
      <c r="U4279" s="2"/>
      <c r="V4279" s="2"/>
      <c r="W4279" s="2"/>
    </row>
    <row r="4280" spans="1:23" x14ac:dyDescent="0.25">
      <c r="A4280" s="2"/>
      <c r="B4280" s="2"/>
      <c r="C4280" s="1"/>
      <c r="D4280" s="2"/>
      <c r="E4280" s="2"/>
      <c r="F4280" s="2"/>
      <c r="G4280" s="2"/>
      <c r="H4280" s="2"/>
      <c r="I4280" s="2"/>
      <c r="J4280" s="2"/>
      <c r="K4280" s="2"/>
      <c r="L4280" s="2"/>
      <c r="M4280" s="2"/>
      <c r="N4280" s="2"/>
      <c r="O4280" s="2"/>
      <c r="P4280" s="2"/>
      <c r="Q4280" s="2"/>
      <c r="R4280" s="2"/>
      <c r="S4280" s="2"/>
      <c r="T4280" s="2"/>
      <c r="U4280" s="2"/>
      <c r="V4280" s="2"/>
      <c r="W4280" s="2"/>
    </row>
    <row r="4281" spans="1:23" x14ac:dyDescent="0.25">
      <c r="A4281" s="2"/>
      <c r="B4281" s="2"/>
      <c r="C4281" s="1"/>
      <c r="D4281" s="2"/>
      <c r="E4281" s="2"/>
      <c r="F4281" s="2"/>
      <c r="G4281" s="2"/>
      <c r="H4281" s="2"/>
      <c r="I4281" s="2"/>
      <c r="J4281" s="2"/>
      <c r="K4281" s="2"/>
      <c r="L4281" s="2"/>
      <c r="M4281" s="2"/>
      <c r="N4281" s="2"/>
      <c r="O4281" s="2"/>
      <c r="P4281" s="2"/>
      <c r="Q4281" s="2"/>
      <c r="R4281" s="2"/>
      <c r="S4281" s="2"/>
      <c r="T4281" s="2"/>
      <c r="U4281" s="2"/>
      <c r="V4281" s="2"/>
      <c r="W4281" s="2"/>
    </row>
    <row r="4282" spans="1:23" x14ac:dyDescent="0.25">
      <c r="A4282" s="2"/>
      <c r="B4282" s="2"/>
      <c r="C4282" s="1"/>
      <c r="D4282" s="2"/>
      <c r="E4282" s="2"/>
      <c r="F4282" s="2"/>
      <c r="G4282" s="2"/>
      <c r="H4282" s="2"/>
      <c r="I4282" s="2"/>
      <c r="J4282" s="2"/>
      <c r="K4282" s="2"/>
      <c r="L4282" s="2"/>
      <c r="M4282" s="2"/>
      <c r="N4282" s="2"/>
      <c r="O4282" s="2"/>
      <c r="P4282" s="2"/>
      <c r="Q4282" s="2"/>
      <c r="R4282" s="2"/>
      <c r="S4282" s="2"/>
      <c r="T4282" s="2"/>
      <c r="U4282" s="2"/>
      <c r="V4282" s="2"/>
      <c r="W4282" s="2"/>
    </row>
    <row r="4283" spans="1:23" x14ac:dyDescent="0.25">
      <c r="A4283" s="2"/>
      <c r="B4283" s="2"/>
      <c r="C4283" s="1"/>
      <c r="D4283" s="2"/>
      <c r="E4283" s="2"/>
      <c r="F4283" s="2"/>
      <c r="G4283" s="2"/>
      <c r="H4283" s="2"/>
      <c r="I4283" s="2"/>
      <c r="J4283" s="2"/>
      <c r="K4283" s="2"/>
      <c r="L4283" s="2"/>
      <c r="M4283" s="2"/>
      <c r="N4283" s="2"/>
      <c r="O4283" s="2"/>
      <c r="P4283" s="2"/>
      <c r="Q4283" s="2"/>
      <c r="R4283" s="2"/>
      <c r="S4283" s="2"/>
      <c r="T4283" s="2"/>
      <c r="U4283" s="2"/>
      <c r="V4283" s="2"/>
      <c r="W4283" s="2"/>
    </row>
    <row r="4284" spans="1:23" x14ac:dyDescent="0.25">
      <c r="A4284" s="2"/>
      <c r="B4284" s="2"/>
      <c r="C4284" s="1"/>
      <c r="D4284" s="2"/>
      <c r="E4284" s="2"/>
      <c r="F4284" s="2"/>
      <c r="G4284" s="2"/>
      <c r="H4284" s="2"/>
      <c r="I4284" s="2"/>
      <c r="J4284" s="2"/>
      <c r="K4284" s="2"/>
      <c r="L4284" s="2"/>
      <c r="M4284" s="2"/>
      <c r="N4284" s="2"/>
      <c r="O4284" s="2"/>
      <c r="P4284" s="2"/>
      <c r="Q4284" s="2"/>
      <c r="R4284" s="2"/>
      <c r="S4284" s="2"/>
      <c r="T4284" s="2"/>
      <c r="U4284" s="2"/>
      <c r="V4284" s="2"/>
      <c r="W4284" s="2"/>
    </row>
    <row r="4285" spans="1:23" x14ac:dyDescent="0.25">
      <c r="A4285" s="2"/>
      <c r="B4285" s="2"/>
      <c r="C4285" s="1"/>
      <c r="D4285" s="2"/>
      <c r="E4285" s="2"/>
      <c r="F4285" s="2"/>
      <c r="G4285" s="2"/>
      <c r="H4285" s="2"/>
      <c r="I4285" s="2"/>
      <c r="J4285" s="2"/>
      <c r="K4285" s="2"/>
      <c r="L4285" s="2"/>
      <c r="M4285" s="2"/>
      <c r="N4285" s="2"/>
      <c r="O4285" s="2"/>
      <c r="P4285" s="2"/>
      <c r="Q4285" s="2"/>
      <c r="R4285" s="2"/>
      <c r="S4285" s="2"/>
      <c r="T4285" s="2"/>
      <c r="U4285" s="2"/>
      <c r="V4285" s="2"/>
      <c r="W4285" s="2"/>
    </row>
    <row r="4286" spans="1:23" x14ac:dyDescent="0.25">
      <c r="A4286" s="2"/>
      <c r="B4286" s="2"/>
      <c r="C4286" s="1"/>
      <c r="D4286" s="2"/>
      <c r="E4286" s="2"/>
      <c r="F4286" s="2"/>
      <c r="G4286" s="2"/>
      <c r="H4286" s="2"/>
      <c r="I4286" s="2"/>
      <c r="J4286" s="2"/>
      <c r="K4286" s="2"/>
      <c r="L4286" s="2"/>
      <c r="M4286" s="2"/>
      <c r="N4286" s="2"/>
      <c r="O4286" s="2"/>
      <c r="P4286" s="2"/>
      <c r="Q4286" s="2"/>
      <c r="R4286" s="2"/>
      <c r="S4286" s="2"/>
      <c r="T4286" s="2"/>
      <c r="U4286" s="2"/>
      <c r="V4286" s="2"/>
      <c r="W4286" s="2"/>
    </row>
    <row r="4287" spans="1:23" x14ac:dyDescent="0.25">
      <c r="A4287" s="2"/>
      <c r="B4287" s="2"/>
      <c r="C4287" s="1"/>
      <c r="D4287" s="2"/>
      <c r="E4287" s="2"/>
      <c r="F4287" s="2"/>
      <c r="G4287" s="2"/>
      <c r="H4287" s="2"/>
      <c r="I4287" s="2"/>
      <c r="J4287" s="2"/>
      <c r="K4287" s="2"/>
      <c r="L4287" s="2"/>
      <c r="M4287" s="2"/>
      <c r="N4287" s="2"/>
      <c r="O4287" s="2"/>
      <c r="P4287" s="2"/>
      <c r="Q4287" s="2"/>
      <c r="R4287" s="2"/>
      <c r="S4287" s="2"/>
      <c r="T4287" s="2"/>
      <c r="U4287" s="2"/>
      <c r="V4287" s="2"/>
      <c r="W4287" s="2"/>
    </row>
    <row r="4288" spans="1:23" x14ac:dyDescent="0.25">
      <c r="A4288" s="2"/>
      <c r="B4288" s="2"/>
      <c r="C4288" s="1"/>
      <c r="D4288" s="2"/>
      <c r="E4288" s="2"/>
      <c r="F4288" s="2"/>
      <c r="G4288" s="2"/>
      <c r="H4288" s="2"/>
      <c r="I4288" s="2"/>
      <c r="J4288" s="2"/>
      <c r="K4288" s="2"/>
      <c r="L4288" s="2"/>
      <c r="M4288" s="2"/>
      <c r="N4288" s="2"/>
      <c r="O4288" s="2"/>
      <c r="P4288" s="2"/>
      <c r="Q4288" s="2"/>
      <c r="R4288" s="2"/>
      <c r="S4288" s="2"/>
      <c r="T4288" s="2"/>
      <c r="U4288" s="2"/>
      <c r="V4288" s="2"/>
      <c r="W4288" s="2"/>
    </row>
    <row r="4289" spans="1:23" x14ac:dyDescent="0.25">
      <c r="A4289" s="2"/>
      <c r="B4289" s="2"/>
      <c r="C4289" s="1"/>
      <c r="D4289" s="2"/>
      <c r="E4289" s="2"/>
      <c r="F4289" s="2"/>
      <c r="G4289" s="2"/>
      <c r="H4289" s="2"/>
      <c r="I4289" s="2"/>
      <c r="J4289" s="2"/>
      <c r="K4289" s="2"/>
      <c r="L4289" s="2"/>
      <c r="M4289" s="2"/>
      <c r="N4289" s="2"/>
      <c r="O4289" s="2"/>
      <c r="P4289" s="2"/>
      <c r="Q4289" s="2"/>
      <c r="R4289" s="2"/>
      <c r="S4289" s="2"/>
      <c r="T4289" s="2"/>
      <c r="U4289" s="2"/>
      <c r="V4289" s="2"/>
      <c r="W4289" s="2"/>
    </row>
    <row r="4290" spans="1:23" x14ac:dyDescent="0.25">
      <c r="A4290" s="2"/>
      <c r="B4290" s="2"/>
      <c r="C4290" s="1"/>
      <c r="D4290" s="2"/>
      <c r="E4290" s="2"/>
      <c r="F4290" s="2"/>
      <c r="G4290" s="2"/>
      <c r="H4290" s="2"/>
      <c r="I4290" s="2"/>
      <c r="J4290" s="2"/>
      <c r="K4290" s="2"/>
      <c r="L4290" s="2"/>
      <c r="M4290" s="2"/>
      <c r="N4290" s="2"/>
      <c r="O4290" s="2"/>
      <c r="P4290" s="2"/>
      <c r="Q4290" s="2"/>
      <c r="R4290" s="2"/>
      <c r="S4290" s="2"/>
      <c r="T4290" s="2"/>
      <c r="U4290" s="2"/>
      <c r="V4290" s="2"/>
      <c r="W4290" s="2"/>
    </row>
    <row r="4291" spans="1:23" x14ac:dyDescent="0.25">
      <c r="A4291" s="2"/>
      <c r="B4291" s="2"/>
      <c r="C4291" s="1"/>
      <c r="D4291" s="2"/>
      <c r="E4291" s="2"/>
      <c r="F4291" s="2"/>
      <c r="G4291" s="2"/>
      <c r="H4291" s="2"/>
      <c r="I4291" s="2"/>
      <c r="J4291" s="2"/>
      <c r="K4291" s="2"/>
      <c r="L4291" s="2"/>
      <c r="M4291" s="2"/>
      <c r="N4291" s="2"/>
      <c r="O4291" s="2"/>
      <c r="P4291" s="2"/>
      <c r="Q4291" s="2"/>
      <c r="R4291" s="2"/>
      <c r="S4291" s="2"/>
      <c r="T4291" s="2"/>
      <c r="U4291" s="2"/>
      <c r="V4291" s="2"/>
      <c r="W4291" s="2"/>
    </row>
    <row r="4292" spans="1:23" x14ac:dyDescent="0.25">
      <c r="A4292" s="2"/>
      <c r="B4292" s="2"/>
      <c r="C4292" s="1"/>
      <c r="D4292" s="2"/>
      <c r="E4292" s="2"/>
      <c r="F4292" s="2"/>
      <c r="G4292" s="2"/>
      <c r="H4292" s="2"/>
      <c r="I4292" s="2"/>
      <c r="J4292" s="2"/>
      <c r="K4292" s="2"/>
      <c r="L4292" s="2"/>
      <c r="M4292" s="2"/>
      <c r="N4292" s="2"/>
      <c r="O4292" s="2"/>
      <c r="P4292" s="2"/>
      <c r="Q4292" s="2"/>
      <c r="R4292" s="2"/>
      <c r="S4292" s="2"/>
      <c r="T4292" s="2"/>
      <c r="U4292" s="2"/>
      <c r="V4292" s="2"/>
      <c r="W4292" s="2"/>
    </row>
    <row r="4293" spans="1:23" x14ac:dyDescent="0.25">
      <c r="A4293" s="2"/>
      <c r="B4293" s="2"/>
      <c r="C4293" s="1"/>
      <c r="D4293" s="2"/>
      <c r="E4293" s="2"/>
      <c r="F4293" s="2"/>
      <c r="G4293" s="2"/>
      <c r="H4293" s="2"/>
      <c r="I4293" s="2"/>
      <c r="J4293" s="2"/>
      <c r="K4293" s="2"/>
      <c r="L4293" s="2"/>
      <c r="M4293" s="2"/>
      <c r="N4293" s="2"/>
      <c r="O4293" s="2"/>
      <c r="P4293" s="2"/>
      <c r="Q4293" s="2"/>
      <c r="R4293" s="2"/>
      <c r="S4293" s="2"/>
      <c r="T4293" s="2"/>
      <c r="U4293" s="2"/>
      <c r="V4293" s="2"/>
      <c r="W4293" s="2"/>
    </row>
    <row r="4294" spans="1:23" x14ac:dyDescent="0.25">
      <c r="A4294" s="2"/>
      <c r="B4294" s="2"/>
      <c r="C4294" s="1"/>
      <c r="D4294" s="2"/>
      <c r="E4294" s="2"/>
      <c r="F4294" s="2"/>
      <c r="G4294" s="2"/>
      <c r="H4294" s="2"/>
      <c r="I4294" s="2"/>
      <c r="J4294" s="2"/>
      <c r="K4294" s="2"/>
      <c r="L4294" s="2"/>
      <c r="M4294" s="2"/>
      <c r="N4294" s="2"/>
      <c r="O4294" s="2"/>
      <c r="P4294" s="2"/>
      <c r="Q4294" s="2"/>
      <c r="R4294" s="2"/>
      <c r="S4294" s="2"/>
      <c r="T4294" s="2"/>
      <c r="U4294" s="2"/>
      <c r="V4294" s="2"/>
      <c r="W4294" s="2"/>
    </row>
    <row r="4295" spans="1:23" x14ac:dyDescent="0.25">
      <c r="A4295" s="2"/>
      <c r="B4295" s="2"/>
      <c r="C4295" s="1"/>
      <c r="D4295" s="2"/>
      <c r="E4295" s="2"/>
      <c r="F4295" s="2"/>
      <c r="G4295" s="2"/>
      <c r="H4295" s="2"/>
      <c r="I4295" s="2"/>
      <c r="J4295" s="2"/>
      <c r="K4295" s="2"/>
      <c r="L4295" s="2"/>
      <c r="M4295" s="2"/>
      <c r="N4295" s="2"/>
      <c r="O4295" s="2"/>
      <c r="P4295" s="2"/>
      <c r="Q4295" s="2"/>
      <c r="R4295" s="2"/>
      <c r="S4295" s="2"/>
      <c r="T4295" s="2"/>
      <c r="U4295" s="2"/>
      <c r="V4295" s="2"/>
      <c r="W4295" s="2"/>
    </row>
    <row r="4296" spans="1:23" x14ac:dyDescent="0.25">
      <c r="A4296" s="2"/>
      <c r="B4296" s="2"/>
      <c r="C4296" s="1"/>
      <c r="D4296" s="2"/>
      <c r="E4296" s="2"/>
      <c r="F4296" s="2"/>
      <c r="G4296" s="2"/>
      <c r="H4296" s="2"/>
      <c r="I4296" s="2"/>
      <c r="J4296" s="2"/>
      <c r="K4296" s="2"/>
      <c r="L4296" s="2"/>
      <c r="M4296" s="2"/>
      <c r="N4296" s="2"/>
      <c r="O4296" s="2"/>
      <c r="P4296" s="2"/>
      <c r="Q4296" s="2"/>
      <c r="R4296" s="2"/>
      <c r="S4296" s="2"/>
      <c r="T4296" s="2"/>
      <c r="U4296" s="2"/>
      <c r="V4296" s="2"/>
      <c r="W4296" s="2"/>
    </row>
    <row r="4297" spans="1:23" x14ac:dyDescent="0.25">
      <c r="A4297" s="2"/>
      <c r="B4297" s="2"/>
      <c r="C4297" s="1"/>
      <c r="D4297" s="2"/>
      <c r="E4297" s="2"/>
      <c r="F4297" s="2"/>
      <c r="G4297" s="2"/>
      <c r="H4297" s="2"/>
      <c r="I4297" s="2"/>
      <c r="J4297" s="2"/>
      <c r="K4297" s="2"/>
      <c r="L4297" s="2"/>
      <c r="M4297" s="2"/>
      <c r="N4297" s="2"/>
      <c r="O4297" s="2"/>
      <c r="P4297" s="2"/>
      <c r="Q4297" s="2"/>
      <c r="R4297" s="2"/>
      <c r="S4297" s="2"/>
      <c r="T4297" s="2"/>
      <c r="U4297" s="2"/>
      <c r="V4297" s="2"/>
      <c r="W4297" s="2"/>
    </row>
    <row r="4298" spans="1:23" x14ac:dyDescent="0.25">
      <c r="A4298" s="2"/>
      <c r="B4298" s="2"/>
      <c r="C4298" s="1"/>
      <c r="D4298" s="2"/>
      <c r="E4298" s="2"/>
      <c r="F4298" s="2"/>
      <c r="G4298" s="2"/>
      <c r="H4298" s="2"/>
      <c r="I4298" s="2"/>
      <c r="J4298" s="2"/>
      <c r="K4298" s="2"/>
      <c r="L4298" s="2"/>
      <c r="M4298" s="2"/>
      <c r="N4298" s="2"/>
      <c r="O4298" s="2"/>
      <c r="P4298" s="2"/>
      <c r="Q4298" s="2"/>
      <c r="R4298" s="2"/>
      <c r="S4298" s="2"/>
      <c r="T4298" s="2"/>
      <c r="U4298" s="2"/>
      <c r="V4298" s="2"/>
      <c r="W4298" s="2"/>
    </row>
    <row r="4299" spans="1:23" x14ac:dyDescent="0.25">
      <c r="A4299" s="2"/>
      <c r="B4299" s="2"/>
      <c r="C4299" s="1"/>
      <c r="D4299" s="2"/>
      <c r="E4299" s="2"/>
      <c r="F4299" s="2"/>
      <c r="G4299" s="2"/>
      <c r="H4299" s="2"/>
      <c r="I4299" s="2"/>
      <c r="J4299" s="2"/>
      <c r="K4299" s="2"/>
      <c r="L4299" s="2"/>
      <c r="M4299" s="2"/>
      <c r="N4299" s="2"/>
      <c r="O4299" s="2"/>
      <c r="P4299" s="2"/>
      <c r="Q4299" s="2"/>
      <c r="R4299" s="2"/>
      <c r="S4299" s="2"/>
      <c r="T4299" s="2"/>
      <c r="U4299" s="2"/>
      <c r="V4299" s="2"/>
      <c r="W4299" s="2"/>
    </row>
    <row r="4300" spans="1:23" x14ac:dyDescent="0.25">
      <c r="A4300" s="2"/>
      <c r="B4300" s="2"/>
      <c r="C4300" s="1"/>
      <c r="D4300" s="2"/>
      <c r="E4300" s="2"/>
      <c r="F4300" s="2"/>
      <c r="G4300" s="2"/>
      <c r="H4300" s="2"/>
      <c r="I4300" s="2"/>
      <c r="J4300" s="2"/>
      <c r="K4300" s="2"/>
      <c r="L4300" s="2"/>
      <c r="M4300" s="2"/>
      <c r="N4300" s="2"/>
      <c r="O4300" s="2"/>
      <c r="P4300" s="2"/>
      <c r="Q4300" s="2"/>
      <c r="R4300" s="2"/>
      <c r="S4300" s="2"/>
      <c r="T4300" s="2"/>
      <c r="U4300" s="2"/>
      <c r="V4300" s="2"/>
      <c r="W4300" s="2"/>
    </row>
    <row r="4301" spans="1:23" x14ac:dyDescent="0.25">
      <c r="A4301" s="2"/>
      <c r="B4301" s="2"/>
      <c r="C4301" s="1"/>
      <c r="D4301" s="2"/>
      <c r="E4301" s="2"/>
      <c r="F4301" s="2"/>
      <c r="G4301" s="2"/>
      <c r="H4301" s="2"/>
      <c r="I4301" s="2"/>
      <c r="J4301" s="2"/>
      <c r="K4301" s="2"/>
      <c r="L4301" s="2"/>
      <c r="M4301" s="2"/>
      <c r="N4301" s="2"/>
      <c r="O4301" s="2"/>
      <c r="P4301" s="2"/>
      <c r="Q4301" s="2"/>
      <c r="R4301" s="2"/>
      <c r="S4301" s="2"/>
      <c r="T4301" s="2"/>
      <c r="U4301" s="2"/>
      <c r="V4301" s="2"/>
      <c r="W4301" s="2"/>
    </row>
    <row r="4302" spans="1:23" x14ac:dyDescent="0.25">
      <c r="A4302" s="2"/>
      <c r="B4302" s="2"/>
      <c r="C4302" s="1"/>
      <c r="D4302" s="2"/>
      <c r="E4302" s="2"/>
      <c r="F4302" s="2"/>
      <c r="G4302" s="2"/>
      <c r="H4302" s="2"/>
      <c r="I4302" s="2"/>
      <c r="J4302" s="2"/>
      <c r="K4302" s="2"/>
      <c r="L4302" s="2"/>
      <c r="M4302" s="2"/>
      <c r="N4302" s="2"/>
      <c r="O4302" s="2"/>
      <c r="P4302" s="2"/>
      <c r="Q4302" s="2"/>
      <c r="R4302" s="2"/>
      <c r="S4302" s="2"/>
      <c r="T4302" s="2"/>
      <c r="U4302" s="2"/>
      <c r="V4302" s="2"/>
      <c r="W4302" s="2"/>
    </row>
    <row r="4303" spans="1:23" x14ac:dyDescent="0.25">
      <c r="A4303" s="2"/>
      <c r="B4303" s="2"/>
      <c r="C4303" s="1"/>
      <c r="D4303" s="2"/>
      <c r="E4303" s="2"/>
      <c r="F4303" s="2"/>
      <c r="G4303" s="2"/>
      <c r="H4303" s="2"/>
      <c r="I4303" s="2"/>
      <c r="J4303" s="2"/>
      <c r="K4303" s="2"/>
      <c r="L4303" s="2"/>
      <c r="M4303" s="2"/>
      <c r="N4303" s="2"/>
      <c r="O4303" s="2"/>
      <c r="P4303" s="2"/>
      <c r="Q4303" s="2"/>
      <c r="R4303" s="2"/>
      <c r="S4303" s="2"/>
      <c r="T4303" s="2"/>
      <c r="U4303" s="2"/>
      <c r="V4303" s="2"/>
      <c r="W4303" s="2"/>
    </row>
    <row r="4304" spans="1:23" x14ac:dyDescent="0.25">
      <c r="A4304" s="2"/>
      <c r="B4304" s="2"/>
      <c r="C4304" s="1"/>
      <c r="D4304" s="2"/>
      <c r="E4304" s="2"/>
      <c r="F4304" s="2"/>
      <c r="G4304" s="2"/>
      <c r="H4304" s="2"/>
      <c r="I4304" s="2"/>
      <c r="J4304" s="2"/>
      <c r="K4304" s="2"/>
      <c r="L4304" s="2"/>
      <c r="M4304" s="2"/>
      <c r="N4304" s="2"/>
      <c r="O4304" s="2"/>
      <c r="P4304" s="2"/>
      <c r="Q4304" s="2"/>
      <c r="R4304" s="2"/>
      <c r="S4304" s="2"/>
      <c r="T4304" s="2"/>
      <c r="U4304" s="2"/>
      <c r="V4304" s="2"/>
      <c r="W4304" s="2"/>
    </row>
    <row r="4305" spans="1:23" x14ac:dyDescent="0.25">
      <c r="A4305" s="2"/>
      <c r="B4305" s="2"/>
      <c r="C4305" s="1"/>
      <c r="D4305" s="2"/>
      <c r="E4305" s="2"/>
      <c r="F4305" s="2"/>
      <c r="G4305" s="2"/>
      <c r="H4305" s="2"/>
      <c r="I4305" s="2"/>
      <c r="J4305" s="2"/>
      <c r="K4305" s="2"/>
      <c r="L4305" s="2"/>
      <c r="M4305" s="2"/>
      <c r="N4305" s="2"/>
      <c r="O4305" s="2"/>
      <c r="P4305" s="2"/>
      <c r="Q4305" s="2"/>
      <c r="R4305" s="2"/>
      <c r="S4305" s="2"/>
      <c r="T4305" s="2"/>
      <c r="U4305" s="2"/>
      <c r="V4305" s="2"/>
      <c r="W4305" s="2"/>
    </row>
    <row r="4306" spans="1:23" x14ac:dyDescent="0.25">
      <c r="A4306" s="2"/>
      <c r="B4306" s="2"/>
      <c r="C4306" s="1"/>
      <c r="D4306" s="2"/>
      <c r="E4306" s="2"/>
      <c r="F4306" s="2"/>
      <c r="G4306" s="2"/>
      <c r="H4306" s="2"/>
      <c r="I4306" s="2"/>
      <c r="J4306" s="2"/>
      <c r="K4306" s="2"/>
      <c r="L4306" s="2"/>
      <c r="M4306" s="2"/>
      <c r="N4306" s="2"/>
      <c r="O4306" s="2"/>
      <c r="P4306" s="2"/>
      <c r="Q4306" s="2"/>
      <c r="R4306" s="2"/>
      <c r="S4306" s="2"/>
      <c r="T4306" s="2"/>
      <c r="U4306" s="2"/>
      <c r="V4306" s="2"/>
      <c r="W4306" s="2"/>
    </row>
    <row r="4307" spans="1:23" x14ac:dyDescent="0.25">
      <c r="A4307" s="2"/>
      <c r="B4307" s="2"/>
      <c r="C4307" s="1"/>
      <c r="D4307" s="2"/>
      <c r="E4307" s="2"/>
      <c r="F4307" s="2"/>
      <c r="G4307" s="2"/>
      <c r="H4307" s="2"/>
      <c r="I4307" s="2"/>
      <c r="J4307" s="2"/>
      <c r="K4307" s="2"/>
      <c r="L4307" s="2"/>
      <c r="M4307" s="2"/>
      <c r="N4307" s="2"/>
      <c r="O4307" s="2"/>
      <c r="P4307" s="2"/>
      <c r="Q4307" s="2"/>
      <c r="R4307" s="2"/>
      <c r="S4307" s="2"/>
      <c r="T4307" s="2"/>
      <c r="U4307" s="2"/>
      <c r="V4307" s="2"/>
      <c r="W4307" s="2"/>
    </row>
    <row r="4308" spans="1:23" x14ac:dyDescent="0.25">
      <c r="A4308" s="2"/>
      <c r="B4308" s="2"/>
      <c r="C4308" s="1"/>
      <c r="D4308" s="2"/>
      <c r="E4308" s="2"/>
      <c r="F4308" s="2"/>
      <c r="G4308" s="2"/>
      <c r="H4308" s="2"/>
      <c r="I4308" s="2"/>
      <c r="J4308" s="2"/>
      <c r="K4308" s="2"/>
      <c r="L4308" s="2"/>
      <c r="M4308" s="2"/>
      <c r="N4308" s="2"/>
      <c r="O4308" s="2"/>
      <c r="P4308" s="2"/>
      <c r="Q4308" s="2"/>
      <c r="R4308" s="2"/>
      <c r="S4308" s="2"/>
      <c r="T4308" s="2"/>
      <c r="U4308" s="2"/>
      <c r="V4308" s="2"/>
      <c r="W4308" s="2"/>
    </row>
    <row r="4309" spans="1:23" x14ac:dyDescent="0.25">
      <c r="A4309" s="2"/>
      <c r="B4309" s="2"/>
      <c r="C4309" s="1"/>
      <c r="D4309" s="2"/>
      <c r="E4309" s="2"/>
      <c r="F4309" s="2"/>
      <c r="G4309" s="2"/>
      <c r="H4309" s="2"/>
      <c r="I4309" s="2"/>
      <c r="J4309" s="2"/>
      <c r="K4309" s="2"/>
      <c r="L4309" s="2"/>
      <c r="M4309" s="2"/>
      <c r="N4309" s="2"/>
      <c r="O4309" s="2"/>
      <c r="P4309" s="2"/>
      <c r="Q4309" s="2"/>
      <c r="R4309" s="2"/>
      <c r="S4309" s="2"/>
      <c r="T4309" s="2"/>
      <c r="U4309" s="2"/>
      <c r="V4309" s="2"/>
      <c r="W4309" s="2"/>
    </row>
    <row r="4310" spans="1:23" x14ac:dyDescent="0.25">
      <c r="A4310" s="2"/>
      <c r="B4310" s="2"/>
      <c r="C4310" s="1"/>
      <c r="D4310" s="2"/>
      <c r="E4310" s="2"/>
      <c r="F4310" s="2"/>
      <c r="G4310" s="2"/>
      <c r="H4310" s="2"/>
      <c r="I4310" s="2"/>
      <c r="J4310" s="2"/>
      <c r="K4310" s="2"/>
      <c r="L4310" s="2"/>
      <c r="M4310" s="2"/>
      <c r="N4310" s="2"/>
      <c r="O4310" s="2"/>
      <c r="P4310" s="2"/>
      <c r="Q4310" s="2"/>
      <c r="R4310" s="2"/>
      <c r="S4310" s="2"/>
      <c r="T4310" s="2"/>
      <c r="U4310" s="2"/>
      <c r="V4310" s="2"/>
      <c r="W4310" s="2"/>
    </row>
    <row r="4311" spans="1:23" x14ac:dyDescent="0.25">
      <c r="A4311" s="2"/>
      <c r="B4311" s="2"/>
      <c r="C4311" s="1"/>
      <c r="D4311" s="2"/>
      <c r="E4311" s="2"/>
      <c r="F4311" s="2"/>
      <c r="G4311" s="2"/>
      <c r="H4311" s="2"/>
      <c r="I4311" s="2"/>
      <c r="J4311" s="2"/>
      <c r="K4311" s="2"/>
      <c r="L4311" s="2"/>
      <c r="M4311" s="2"/>
      <c r="N4311" s="2"/>
      <c r="O4311" s="2"/>
      <c r="P4311" s="2"/>
      <c r="Q4311" s="2"/>
      <c r="R4311" s="2"/>
      <c r="S4311" s="2"/>
      <c r="T4311" s="2"/>
      <c r="U4311" s="2"/>
      <c r="V4311" s="2"/>
      <c r="W4311" s="2"/>
    </row>
    <row r="4312" spans="1:23" x14ac:dyDescent="0.25">
      <c r="A4312" s="2"/>
      <c r="B4312" s="2"/>
      <c r="C4312" s="1"/>
      <c r="D4312" s="2"/>
      <c r="E4312" s="2"/>
      <c r="F4312" s="2"/>
      <c r="G4312" s="2"/>
      <c r="H4312" s="2"/>
      <c r="I4312" s="2"/>
      <c r="J4312" s="2"/>
      <c r="K4312" s="2"/>
      <c r="L4312" s="2"/>
      <c r="M4312" s="2"/>
      <c r="N4312" s="2"/>
      <c r="O4312" s="2"/>
      <c r="P4312" s="2"/>
      <c r="Q4312" s="2"/>
      <c r="R4312" s="2"/>
      <c r="S4312" s="2"/>
      <c r="T4312" s="2"/>
      <c r="U4312" s="2"/>
      <c r="V4312" s="2"/>
      <c r="W4312" s="2"/>
    </row>
    <row r="4313" spans="1:23" x14ac:dyDescent="0.25">
      <c r="A4313" s="2"/>
      <c r="B4313" s="2"/>
      <c r="C4313" s="1"/>
      <c r="D4313" s="2"/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/>
      <c r="P4313" s="2"/>
      <c r="Q4313" s="2"/>
      <c r="R4313" s="2"/>
      <c r="S4313" s="2"/>
      <c r="T4313" s="2"/>
      <c r="U4313" s="2"/>
      <c r="V4313" s="2"/>
      <c r="W4313" s="2"/>
    </row>
    <row r="4314" spans="1:23" x14ac:dyDescent="0.25">
      <c r="A4314" s="2"/>
      <c r="B4314" s="2"/>
      <c r="C4314" s="1"/>
      <c r="D4314" s="2"/>
      <c r="E4314" s="2"/>
      <c r="F4314" s="2"/>
      <c r="G4314" s="2"/>
      <c r="H4314" s="2"/>
      <c r="I4314" s="2"/>
      <c r="J4314" s="2"/>
      <c r="K4314" s="2"/>
      <c r="L4314" s="2"/>
      <c r="M4314" s="2"/>
      <c r="N4314" s="2"/>
      <c r="O4314" s="2"/>
      <c r="P4314" s="2"/>
      <c r="Q4314" s="2"/>
      <c r="R4314" s="2"/>
      <c r="S4314" s="2"/>
      <c r="T4314" s="2"/>
      <c r="U4314" s="2"/>
      <c r="V4314" s="2"/>
      <c r="W4314" s="2"/>
    </row>
    <row r="4315" spans="1:23" x14ac:dyDescent="0.25">
      <c r="A4315" s="2"/>
      <c r="B4315" s="2"/>
      <c r="C4315" s="1"/>
      <c r="D4315" s="2"/>
      <c r="E4315" s="2"/>
      <c r="F4315" s="2"/>
      <c r="G4315" s="2"/>
      <c r="H4315" s="2"/>
      <c r="I4315" s="2"/>
      <c r="J4315" s="2"/>
      <c r="K4315" s="2"/>
      <c r="L4315" s="2"/>
      <c r="M4315" s="2"/>
      <c r="N4315" s="2"/>
      <c r="O4315" s="2"/>
      <c r="P4315" s="2"/>
      <c r="Q4315" s="2"/>
      <c r="R4315" s="2"/>
      <c r="S4315" s="2"/>
      <c r="T4315" s="2"/>
      <c r="U4315" s="2"/>
      <c r="V4315" s="2"/>
      <c r="W4315" s="2"/>
    </row>
    <row r="4316" spans="1:23" x14ac:dyDescent="0.25">
      <c r="A4316" s="2"/>
      <c r="B4316" s="2"/>
      <c r="C4316" s="1"/>
      <c r="D4316" s="2"/>
      <c r="E4316" s="2"/>
      <c r="F4316" s="2"/>
      <c r="G4316" s="2"/>
      <c r="H4316" s="2"/>
      <c r="I4316" s="2"/>
      <c r="J4316" s="2"/>
      <c r="K4316" s="2"/>
      <c r="L4316" s="2"/>
      <c r="M4316" s="2"/>
      <c r="N4316" s="2"/>
      <c r="O4316" s="2"/>
      <c r="P4316" s="2"/>
      <c r="Q4316" s="2"/>
      <c r="R4316" s="2"/>
      <c r="S4316" s="2"/>
      <c r="T4316" s="2"/>
      <c r="U4316" s="2"/>
      <c r="V4316" s="2"/>
      <c r="W4316" s="2"/>
    </row>
    <row r="4317" spans="1:23" x14ac:dyDescent="0.25">
      <c r="A4317" s="2"/>
      <c r="B4317" s="2"/>
      <c r="C4317" s="1"/>
      <c r="D4317" s="2"/>
      <c r="E4317" s="2"/>
      <c r="F4317" s="2"/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  <c r="S4317" s="2"/>
      <c r="T4317" s="2"/>
      <c r="U4317" s="2"/>
      <c r="V4317" s="2"/>
      <c r="W4317" s="2"/>
    </row>
    <row r="4318" spans="1:23" x14ac:dyDescent="0.25">
      <c r="A4318" s="2"/>
      <c r="B4318" s="2"/>
      <c r="C4318" s="1"/>
      <c r="D4318" s="2"/>
      <c r="E4318" s="2"/>
      <c r="F4318" s="2"/>
      <c r="G4318" s="2"/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  <c r="S4318" s="2"/>
      <c r="T4318" s="2"/>
      <c r="U4318" s="2"/>
      <c r="V4318" s="2"/>
      <c r="W4318" s="2"/>
    </row>
    <row r="4319" spans="1:23" x14ac:dyDescent="0.25">
      <c r="A4319" s="2"/>
      <c r="B4319" s="2"/>
      <c r="C4319" s="1"/>
      <c r="D4319" s="2"/>
      <c r="E4319" s="2"/>
      <c r="F4319" s="2"/>
      <c r="G4319" s="2"/>
      <c r="H4319" s="2"/>
      <c r="I4319" s="2"/>
      <c r="J4319" s="2"/>
      <c r="K4319" s="2"/>
      <c r="L4319" s="2"/>
      <c r="M4319" s="2"/>
      <c r="N4319" s="2"/>
      <c r="O4319" s="2"/>
      <c r="P4319" s="2"/>
      <c r="Q4319" s="2"/>
      <c r="R4319" s="2"/>
      <c r="S4319" s="2"/>
      <c r="T4319" s="2"/>
      <c r="U4319" s="2"/>
      <c r="V4319" s="2"/>
      <c r="W4319" s="2"/>
    </row>
    <row r="4320" spans="1:23" x14ac:dyDescent="0.25">
      <c r="A4320" s="2"/>
      <c r="B4320" s="2"/>
      <c r="C4320" s="1"/>
      <c r="D4320" s="2"/>
      <c r="E4320" s="2"/>
      <c r="F4320" s="2"/>
      <c r="G4320" s="2"/>
      <c r="H4320" s="2"/>
      <c r="I4320" s="2"/>
      <c r="J4320" s="2"/>
      <c r="K4320" s="2"/>
      <c r="L4320" s="2"/>
      <c r="M4320" s="2"/>
      <c r="N4320" s="2"/>
      <c r="O4320" s="2"/>
      <c r="P4320" s="2"/>
      <c r="Q4320" s="2"/>
      <c r="R4320" s="2"/>
      <c r="S4320" s="2"/>
      <c r="T4320" s="2"/>
      <c r="U4320" s="2"/>
      <c r="V4320" s="2"/>
      <c r="W4320" s="2"/>
    </row>
    <row r="4321" spans="1:23" x14ac:dyDescent="0.25">
      <c r="A4321" s="2"/>
      <c r="B4321" s="2"/>
      <c r="C4321" s="1"/>
      <c r="D4321" s="2"/>
      <c r="E4321" s="2"/>
      <c r="F4321" s="2"/>
      <c r="G4321" s="2"/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  <c r="S4321" s="2"/>
      <c r="T4321" s="2"/>
      <c r="U4321" s="2"/>
      <c r="V4321" s="2"/>
      <c r="W4321" s="2"/>
    </row>
    <row r="4322" spans="1:23" x14ac:dyDescent="0.25">
      <c r="A4322" s="2"/>
      <c r="B4322" s="2"/>
      <c r="C4322" s="1"/>
      <c r="D4322" s="2"/>
      <c r="E4322" s="2"/>
      <c r="F4322" s="2"/>
      <c r="G4322" s="2"/>
      <c r="H4322" s="2"/>
      <c r="I4322" s="2"/>
      <c r="J4322" s="2"/>
      <c r="K4322" s="2"/>
      <c r="L4322" s="2"/>
      <c r="M4322" s="2"/>
      <c r="N4322" s="2"/>
      <c r="O4322" s="2"/>
      <c r="P4322" s="2"/>
      <c r="Q4322" s="2"/>
      <c r="R4322" s="2"/>
      <c r="S4322" s="2"/>
      <c r="T4322" s="2"/>
      <c r="U4322" s="2"/>
      <c r="V4322" s="2"/>
      <c r="W4322" s="2"/>
    </row>
    <row r="4323" spans="1:23" x14ac:dyDescent="0.25">
      <c r="A4323" s="2"/>
      <c r="B4323" s="2"/>
      <c r="C4323" s="1"/>
      <c r="D4323" s="2"/>
      <c r="E4323" s="2"/>
      <c r="F4323" s="2"/>
      <c r="G4323" s="2"/>
      <c r="H4323" s="2"/>
      <c r="I4323" s="2"/>
      <c r="J4323" s="2"/>
      <c r="K4323" s="2"/>
      <c r="L4323" s="2"/>
      <c r="M4323" s="2"/>
      <c r="N4323" s="2"/>
      <c r="O4323" s="2"/>
      <c r="P4323" s="2"/>
      <c r="Q4323" s="2"/>
      <c r="R4323" s="2"/>
      <c r="S4323" s="2"/>
      <c r="T4323" s="2"/>
      <c r="U4323" s="2"/>
      <c r="V4323" s="2"/>
      <c r="W4323" s="2"/>
    </row>
    <row r="4324" spans="1:23" x14ac:dyDescent="0.25">
      <c r="A4324" s="2"/>
      <c r="B4324" s="2"/>
      <c r="C4324" s="1"/>
      <c r="D4324" s="2"/>
      <c r="E4324" s="2"/>
      <c r="F4324" s="2"/>
      <c r="G4324" s="2"/>
      <c r="H4324" s="2"/>
      <c r="I4324" s="2"/>
      <c r="J4324" s="2"/>
      <c r="K4324" s="2"/>
      <c r="L4324" s="2"/>
      <c r="M4324" s="2"/>
      <c r="N4324" s="2"/>
      <c r="O4324" s="2"/>
      <c r="P4324" s="2"/>
      <c r="Q4324" s="2"/>
      <c r="R4324" s="2"/>
      <c r="S4324" s="2"/>
      <c r="T4324" s="2"/>
      <c r="U4324" s="2"/>
      <c r="V4324" s="2"/>
      <c r="W4324" s="2"/>
    </row>
    <row r="4325" spans="1:23" x14ac:dyDescent="0.25">
      <c r="A4325" s="2"/>
      <c r="B4325" s="2"/>
      <c r="C4325" s="1"/>
      <c r="D4325" s="2"/>
      <c r="E4325" s="2"/>
      <c r="F4325" s="2"/>
      <c r="G4325" s="2"/>
      <c r="H4325" s="2"/>
      <c r="I4325" s="2"/>
      <c r="J4325" s="2"/>
      <c r="K4325" s="2"/>
      <c r="L4325" s="2"/>
      <c r="M4325" s="2"/>
      <c r="N4325" s="2"/>
      <c r="O4325" s="2"/>
      <c r="P4325" s="2"/>
      <c r="Q4325" s="2"/>
      <c r="R4325" s="2"/>
      <c r="S4325" s="2"/>
      <c r="T4325" s="2"/>
      <c r="U4325" s="2"/>
      <c r="V4325" s="2"/>
      <c r="W4325" s="2"/>
    </row>
    <row r="4326" spans="1:23" x14ac:dyDescent="0.25">
      <c r="A4326" s="2"/>
      <c r="B4326" s="2"/>
      <c r="C4326" s="1"/>
      <c r="D4326" s="2"/>
      <c r="E4326" s="2"/>
      <c r="F4326" s="2"/>
      <c r="G4326" s="2"/>
      <c r="H4326" s="2"/>
      <c r="I4326" s="2"/>
      <c r="J4326" s="2"/>
      <c r="K4326" s="2"/>
      <c r="L4326" s="2"/>
      <c r="M4326" s="2"/>
      <c r="N4326" s="2"/>
      <c r="O4326" s="2"/>
      <c r="P4326" s="2"/>
      <c r="Q4326" s="2"/>
      <c r="R4326" s="2"/>
      <c r="S4326" s="2"/>
      <c r="T4326" s="2"/>
      <c r="U4326" s="2"/>
      <c r="V4326" s="2"/>
      <c r="W4326" s="2"/>
    </row>
    <row r="4327" spans="1:23" x14ac:dyDescent="0.25">
      <c r="A4327" s="2"/>
      <c r="B4327" s="2"/>
      <c r="C4327" s="1"/>
      <c r="D4327" s="2"/>
      <c r="E4327" s="2"/>
      <c r="F4327" s="2"/>
      <c r="G4327" s="2"/>
      <c r="H4327" s="2"/>
      <c r="I4327" s="2"/>
      <c r="J4327" s="2"/>
      <c r="K4327" s="2"/>
      <c r="L4327" s="2"/>
      <c r="M4327" s="2"/>
      <c r="N4327" s="2"/>
      <c r="O4327" s="2"/>
      <c r="P4327" s="2"/>
      <c r="Q4327" s="2"/>
      <c r="R4327" s="2"/>
      <c r="S4327" s="2"/>
      <c r="T4327" s="2"/>
      <c r="U4327" s="2"/>
      <c r="V4327" s="2"/>
      <c r="W4327" s="2"/>
    </row>
    <row r="4328" spans="1:23" x14ac:dyDescent="0.25">
      <c r="A4328" s="2"/>
      <c r="B4328" s="2"/>
      <c r="C4328" s="1"/>
      <c r="D4328" s="2"/>
      <c r="E4328" s="2"/>
      <c r="F4328" s="2"/>
      <c r="G4328" s="2"/>
      <c r="H4328" s="2"/>
      <c r="I4328" s="2"/>
      <c r="J4328" s="2"/>
      <c r="K4328" s="2"/>
      <c r="L4328" s="2"/>
      <c r="M4328" s="2"/>
      <c r="N4328" s="2"/>
      <c r="O4328" s="2"/>
      <c r="P4328" s="2"/>
      <c r="Q4328" s="2"/>
      <c r="R4328" s="2"/>
      <c r="S4328" s="2"/>
      <c r="T4328" s="2"/>
      <c r="U4328" s="2"/>
      <c r="V4328" s="2"/>
      <c r="W4328" s="2"/>
    </row>
    <row r="4329" spans="1:23" x14ac:dyDescent="0.25">
      <c r="A4329" s="2"/>
      <c r="B4329" s="2"/>
      <c r="C4329" s="1"/>
      <c r="D4329" s="2"/>
      <c r="E4329" s="2"/>
      <c r="F4329" s="2"/>
      <c r="G4329" s="2"/>
      <c r="H4329" s="2"/>
      <c r="I4329" s="2"/>
      <c r="J4329" s="2"/>
      <c r="K4329" s="2"/>
      <c r="L4329" s="2"/>
      <c r="M4329" s="2"/>
      <c r="N4329" s="2"/>
      <c r="O4329" s="2"/>
      <c r="P4329" s="2"/>
      <c r="Q4329" s="2"/>
      <c r="R4329" s="2"/>
      <c r="S4329" s="2"/>
      <c r="T4329" s="2"/>
      <c r="U4329" s="2"/>
      <c r="V4329" s="2"/>
      <c r="W4329" s="2"/>
    </row>
    <row r="4330" spans="1:23" x14ac:dyDescent="0.25">
      <c r="A4330" s="2"/>
      <c r="B4330" s="2"/>
      <c r="C4330" s="1"/>
      <c r="D4330" s="2"/>
      <c r="E4330" s="2"/>
      <c r="F4330" s="2"/>
      <c r="G4330" s="2"/>
      <c r="H4330" s="2"/>
      <c r="I4330" s="2"/>
      <c r="J4330" s="2"/>
      <c r="K4330" s="2"/>
      <c r="L4330" s="2"/>
      <c r="M4330" s="2"/>
      <c r="N4330" s="2"/>
      <c r="O4330" s="2"/>
      <c r="P4330" s="2"/>
      <c r="Q4330" s="2"/>
      <c r="R4330" s="2"/>
      <c r="S4330" s="2"/>
      <c r="T4330" s="2"/>
      <c r="U4330" s="2"/>
      <c r="V4330" s="2"/>
      <c r="W4330" s="2"/>
    </row>
    <row r="4331" spans="1:23" x14ac:dyDescent="0.25">
      <c r="A4331" s="2"/>
      <c r="B4331" s="2"/>
      <c r="C4331" s="1"/>
      <c r="D4331" s="2"/>
      <c r="E4331" s="2"/>
      <c r="F4331" s="2"/>
      <c r="G4331" s="2"/>
      <c r="H4331" s="2"/>
      <c r="I4331" s="2"/>
      <c r="J4331" s="2"/>
      <c r="K4331" s="2"/>
      <c r="L4331" s="2"/>
      <c r="M4331" s="2"/>
      <c r="N4331" s="2"/>
      <c r="O4331" s="2"/>
      <c r="P4331" s="2"/>
      <c r="Q4331" s="2"/>
      <c r="R4331" s="2"/>
      <c r="S4331" s="2"/>
      <c r="T4331" s="2"/>
      <c r="U4331" s="2"/>
      <c r="V4331" s="2"/>
      <c r="W4331" s="2"/>
    </row>
    <row r="4332" spans="1:23" x14ac:dyDescent="0.25">
      <c r="A4332" s="2"/>
      <c r="B4332" s="2"/>
      <c r="C4332" s="1"/>
      <c r="D4332" s="2"/>
      <c r="E4332" s="2"/>
      <c r="F4332" s="2"/>
      <c r="G4332" s="2"/>
      <c r="H4332" s="2"/>
      <c r="I4332" s="2"/>
      <c r="J4332" s="2"/>
      <c r="K4332" s="2"/>
      <c r="L4332" s="2"/>
      <c r="M4332" s="2"/>
      <c r="N4332" s="2"/>
      <c r="O4332" s="2"/>
      <c r="P4332" s="2"/>
      <c r="Q4332" s="2"/>
      <c r="R4332" s="2"/>
      <c r="S4332" s="2"/>
      <c r="T4332" s="2"/>
      <c r="U4332" s="2"/>
      <c r="V4332" s="2"/>
      <c r="W4332" s="2"/>
    </row>
    <row r="4333" spans="1:23" x14ac:dyDescent="0.25">
      <c r="A4333" s="2"/>
      <c r="B4333" s="2"/>
      <c r="C4333" s="1"/>
      <c r="D4333" s="2"/>
      <c r="E4333" s="2"/>
      <c r="F4333" s="2"/>
      <c r="G4333" s="2"/>
      <c r="H4333" s="2"/>
      <c r="I4333" s="2"/>
      <c r="J4333" s="2"/>
      <c r="K4333" s="2"/>
      <c r="L4333" s="2"/>
      <c r="M4333" s="2"/>
      <c r="N4333" s="2"/>
      <c r="O4333" s="2"/>
      <c r="P4333" s="2"/>
      <c r="Q4333" s="2"/>
      <c r="R4333" s="2"/>
      <c r="S4333" s="2"/>
      <c r="T4333" s="2"/>
      <c r="U4333" s="2"/>
      <c r="V4333" s="2"/>
      <c r="W4333" s="2"/>
    </row>
    <row r="4334" spans="1:23" x14ac:dyDescent="0.25">
      <c r="A4334" s="2"/>
      <c r="B4334" s="2"/>
      <c r="C4334" s="1"/>
      <c r="D4334" s="2"/>
      <c r="E4334" s="2"/>
      <c r="F4334" s="2"/>
      <c r="G4334" s="2"/>
      <c r="H4334" s="2"/>
      <c r="I4334" s="2"/>
      <c r="J4334" s="2"/>
      <c r="K4334" s="2"/>
      <c r="L4334" s="2"/>
      <c r="M4334" s="2"/>
      <c r="N4334" s="2"/>
      <c r="O4334" s="2"/>
      <c r="P4334" s="2"/>
      <c r="Q4334" s="2"/>
      <c r="R4334" s="2"/>
      <c r="S4334" s="2"/>
      <c r="T4334" s="2"/>
      <c r="U4334" s="2"/>
      <c r="V4334" s="2"/>
      <c r="W4334" s="2"/>
    </row>
    <row r="4335" spans="1:23" x14ac:dyDescent="0.25">
      <c r="A4335" s="2"/>
      <c r="B4335" s="2"/>
      <c r="C4335" s="1"/>
      <c r="D4335" s="2"/>
      <c r="E4335" s="2"/>
      <c r="F4335" s="2"/>
      <c r="G4335" s="2"/>
      <c r="H4335" s="2"/>
      <c r="I4335" s="2"/>
      <c r="J4335" s="2"/>
      <c r="K4335" s="2"/>
      <c r="L4335" s="2"/>
      <c r="M4335" s="2"/>
      <c r="N4335" s="2"/>
      <c r="O4335" s="2"/>
      <c r="P4335" s="2"/>
      <c r="Q4335" s="2"/>
      <c r="R4335" s="2"/>
      <c r="S4335" s="2"/>
      <c r="T4335" s="2"/>
      <c r="U4335" s="2"/>
      <c r="V4335" s="2"/>
      <c r="W4335" s="2"/>
    </row>
    <row r="4336" spans="1:23" x14ac:dyDescent="0.25">
      <c r="A4336" s="2"/>
      <c r="B4336" s="2"/>
      <c r="C4336" s="1"/>
      <c r="D4336" s="2"/>
      <c r="E4336" s="2"/>
      <c r="F4336" s="2"/>
      <c r="G4336" s="2"/>
      <c r="H4336" s="2"/>
      <c r="I4336" s="2"/>
      <c r="J4336" s="2"/>
      <c r="K4336" s="2"/>
      <c r="L4336" s="2"/>
      <c r="M4336" s="2"/>
      <c r="N4336" s="2"/>
      <c r="O4336" s="2"/>
      <c r="P4336" s="2"/>
      <c r="Q4336" s="2"/>
      <c r="R4336" s="2"/>
      <c r="S4336" s="2"/>
      <c r="T4336" s="2"/>
      <c r="U4336" s="2"/>
      <c r="V4336" s="2"/>
      <c r="W4336" s="2"/>
    </row>
    <row r="4337" spans="1:23" x14ac:dyDescent="0.25">
      <c r="A4337" s="2"/>
      <c r="B4337" s="2"/>
      <c r="C4337" s="1"/>
      <c r="D4337" s="2"/>
      <c r="E4337" s="2"/>
      <c r="F4337" s="2"/>
      <c r="G4337" s="2"/>
      <c r="H4337" s="2"/>
      <c r="I4337" s="2"/>
      <c r="J4337" s="2"/>
      <c r="K4337" s="2"/>
      <c r="L4337" s="2"/>
      <c r="M4337" s="2"/>
      <c r="N4337" s="2"/>
      <c r="O4337" s="2"/>
      <c r="P4337" s="2"/>
      <c r="Q4337" s="2"/>
      <c r="R4337" s="2"/>
      <c r="S4337" s="2"/>
      <c r="T4337" s="2"/>
      <c r="U4337" s="2"/>
      <c r="V4337" s="2"/>
      <c r="W4337" s="2"/>
    </row>
    <row r="4338" spans="1:23" x14ac:dyDescent="0.25">
      <c r="A4338" s="2"/>
      <c r="B4338" s="2"/>
      <c r="C4338" s="1"/>
      <c r="D4338" s="2"/>
      <c r="E4338" s="2"/>
      <c r="F4338" s="2"/>
      <c r="G4338" s="2"/>
      <c r="H4338" s="2"/>
      <c r="I4338" s="2"/>
      <c r="J4338" s="2"/>
      <c r="K4338" s="2"/>
      <c r="L4338" s="2"/>
      <c r="M4338" s="2"/>
      <c r="N4338" s="2"/>
      <c r="O4338" s="2"/>
      <c r="P4338" s="2"/>
      <c r="Q4338" s="2"/>
      <c r="R4338" s="2"/>
      <c r="S4338" s="2"/>
      <c r="T4338" s="2"/>
      <c r="U4338" s="2"/>
      <c r="V4338" s="2"/>
      <c r="W4338" s="2"/>
    </row>
    <row r="4339" spans="1:23" x14ac:dyDescent="0.25">
      <c r="A4339" s="2"/>
      <c r="B4339" s="2"/>
      <c r="C4339" s="1"/>
      <c r="D4339" s="2"/>
      <c r="E4339" s="2"/>
      <c r="F4339" s="2"/>
      <c r="G4339" s="2"/>
      <c r="H4339" s="2"/>
      <c r="I4339" s="2"/>
      <c r="J4339" s="2"/>
      <c r="K4339" s="2"/>
      <c r="L4339" s="2"/>
      <c r="M4339" s="2"/>
      <c r="N4339" s="2"/>
      <c r="O4339" s="2"/>
      <c r="P4339" s="2"/>
      <c r="Q4339" s="2"/>
      <c r="R4339" s="2"/>
      <c r="S4339" s="2"/>
      <c r="T4339" s="2"/>
      <c r="U4339" s="2"/>
      <c r="V4339" s="2"/>
      <c r="W4339" s="2"/>
    </row>
    <row r="4340" spans="1:23" x14ac:dyDescent="0.25">
      <c r="A4340" s="2"/>
      <c r="B4340" s="2"/>
      <c r="C4340" s="1"/>
      <c r="D4340" s="2"/>
      <c r="E4340" s="2"/>
      <c r="F4340" s="2"/>
      <c r="G4340" s="2"/>
      <c r="H4340" s="2"/>
      <c r="I4340" s="2"/>
      <c r="J4340" s="2"/>
      <c r="K4340" s="2"/>
      <c r="L4340" s="2"/>
      <c r="M4340" s="2"/>
      <c r="N4340" s="2"/>
      <c r="O4340" s="2"/>
      <c r="P4340" s="2"/>
      <c r="Q4340" s="2"/>
      <c r="R4340" s="2"/>
      <c r="S4340" s="2"/>
      <c r="T4340" s="2"/>
      <c r="U4340" s="2"/>
      <c r="V4340" s="2"/>
      <c r="W4340" s="2"/>
    </row>
    <row r="4341" spans="1:23" x14ac:dyDescent="0.25">
      <c r="A4341" s="2"/>
      <c r="B4341" s="2"/>
      <c r="C4341" s="1"/>
      <c r="D4341" s="2"/>
      <c r="E4341" s="2"/>
      <c r="F4341" s="2"/>
      <c r="G4341" s="2"/>
      <c r="H4341" s="2"/>
      <c r="I4341" s="2"/>
      <c r="J4341" s="2"/>
      <c r="K4341" s="2"/>
      <c r="L4341" s="2"/>
      <c r="M4341" s="2"/>
      <c r="N4341" s="2"/>
      <c r="O4341" s="2"/>
      <c r="P4341" s="2"/>
      <c r="Q4341" s="2"/>
      <c r="R4341" s="2"/>
      <c r="S4341" s="2"/>
      <c r="T4341" s="2"/>
      <c r="U4341" s="2"/>
      <c r="V4341" s="2"/>
      <c r="W4341" s="2"/>
    </row>
    <row r="4342" spans="1:23" x14ac:dyDescent="0.25">
      <c r="A4342" s="2"/>
      <c r="B4342" s="2"/>
      <c r="C4342" s="1"/>
      <c r="D4342" s="2"/>
      <c r="E4342" s="2"/>
      <c r="F4342" s="2"/>
      <c r="G4342" s="2"/>
      <c r="H4342" s="2"/>
      <c r="I4342" s="2"/>
      <c r="J4342" s="2"/>
      <c r="K4342" s="2"/>
      <c r="L4342" s="2"/>
      <c r="M4342" s="2"/>
      <c r="N4342" s="2"/>
      <c r="O4342" s="2"/>
      <c r="P4342" s="2"/>
      <c r="Q4342" s="2"/>
      <c r="R4342" s="2"/>
      <c r="S4342" s="2"/>
      <c r="T4342" s="2"/>
      <c r="U4342" s="2"/>
      <c r="V4342" s="2"/>
      <c r="W4342" s="2"/>
    </row>
    <row r="4343" spans="1:23" x14ac:dyDescent="0.25">
      <c r="A4343" s="2"/>
      <c r="B4343" s="2"/>
      <c r="C4343" s="1"/>
      <c r="D4343" s="2"/>
      <c r="E4343" s="2"/>
      <c r="F4343" s="2"/>
      <c r="G4343" s="2"/>
      <c r="H4343" s="2"/>
      <c r="I4343" s="2"/>
      <c r="J4343" s="2"/>
      <c r="K4343" s="2"/>
      <c r="L4343" s="2"/>
      <c r="M4343" s="2"/>
      <c r="N4343" s="2"/>
      <c r="O4343" s="2"/>
      <c r="P4343" s="2"/>
      <c r="Q4343" s="2"/>
      <c r="R4343" s="2"/>
      <c r="S4343" s="2"/>
      <c r="T4343" s="2"/>
      <c r="U4343" s="2"/>
      <c r="V4343" s="2"/>
      <c r="W4343" s="2"/>
    </row>
    <row r="4344" spans="1:23" x14ac:dyDescent="0.25">
      <c r="A4344" s="2"/>
      <c r="B4344" s="2"/>
      <c r="C4344" s="1"/>
      <c r="D4344" s="2"/>
      <c r="E4344" s="2"/>
      <c r="F4344" s="2"/>
      <c r="G4344" s="2"/>
      <c r="H4344" s="2"/>
      <c r="I4344" s="2"/>
      <c r="J4344" s="2"/>
      <c r="K4344" s="2"/>
      <c r="L4344" s="2"/>
      <c r="M4344" s="2"/>
      <c r="N4344" s="2"/>
      <c r="O4344" s="2"/>
      <c r="P4344" s="2"/>
      <c r="Q4344" s="2"/>
      <c r="R4344" s="2"/>
      <c r="S4344" s="2"/>
      <c r="T4344" s="2"/>
      <c r="U4344" s="2"/>
      <c r="V4344" s="2"/>
      <c r="W4344" s="2"/>
    </row>
    <row r="4345" spans="1:23" x14ac:dyDescent="0.25">
      <c r="A4345" s="2"/>
      <c r="B4345" s="2"/>
      <c r="C4345" s="1"/>
      <c r="D4345" s="2"/>
      <c r="E4345" s="2"/>
      <c r="F4345" s="2"/>
      <c r="G4345" s="2"/>
      <c r="H4345" s="2"/>
      <c r="I4345" s="2"/>
      <c r="J4345" s="2"/>
      <c r="K4345" s="2"/>
      <c r="L4345" s="2"/>
      <c r="M4345" s="2"/>
      <c r="N4345" s="2"/>
      <c r="O4345" s="2"/>
      <c r="P4345" s="2"/>
      <c r="Q4345" s="2"/>
      <c r="R4345" s="2"/>
      <c r="S4345" s="2"/>
      <c r="T4345" s="2"/>
      <c r="U4345" s="2"/>
      <c r="V4345" s="2"/>
      <c r="W4345" s="2"/>
    </row>
    <row r="4346" spans="1:23" x14ac:dyDescent="0.25">
      <c r="A4346" s="2"/>
      <c r="B4346" s="2"/>
      <c r="C4346" s="1"/>
      <c r="D4346" s="2"/>
      <c r="E4346" s="2"/>
      <c r="F4346" s="2"/>
      <c r="G4346" s="2"/>
      <c r="H4346" s="2"/>
      <c r="I4346" s="2"/>
      <c r="J4346" s="2"/>
      <c r="K4346" s="2"/>
      <c r="L4346" s="2"/>
      <c r="M4346" s="2"/>
      <c r="N4346" s="2"/>
      <c r="O4346" s="2"/>
      <c r="P4346" s="2"/>
      <c r="Q4346" s="2"/>
      <c r="R4346" s="2"/>
      <c r="S4346" s="2"/>
      <c r="T4346" s="2"/>
      <c r="U4346" s="2"/>
      <c r="V4346" s="2"/>
      <c r="W4346" s="2"/>
    </row>
    <row r="4347" spans="1:23" x14ac:dyDescent="0.25">
      <c r="A4347" s="2"/>
      <c r="B4347" s="2"/>
      <c r="C4347" s="1"/>
      <c r="D4347" s="2"/>
      <c r="E4347" s="2"/>
      <c r="F4347" s="2"/>
      <c r="G4347" s="2"/>
      <c r="H4347" s="2"/>
      <c r="I4347" s="2"/>
      <c r="J4347" s="2"/>
      <c r="K4347" s="2"/>
      <c r="L4347" s="2"/>
      <c r="M4347" s="2"/>
      <c r="N4347" s="2"/>
      <c r="O4347" s="2"/>
      <c r="P4347" s="2"/>
      <c r="Q4347" s="2"/>
      <c r="R4347" s="2"/>
      <c r="S4347" s="2"/>
      <c r="T4347" s="2"/>
      <c r="U4347" s="2"/>
      <c r="V4347" s="2"/>
      <c r="W4347" s="2"/>
    </row>
    <row r="4348" spans="1:23" x14ac:dyDescent="0.25">
      <c r="A4348" s="2"/>
      <c r="B4348" s="2"/>
      <c r="C4348" s="1"/>
      <c r="D4348" s="2"/>
      <c r="E4348" s="2"/>
      <c r="F4348" s="2"/>
      <c r="G4348" s="2"/>
      <c r="H4348" s="2"/>
      <c r="I4348" s="2"/>
      <c r="J4348" s="2"/>
      <c r="K4348" s="2"/>
      <c r="L4348" s="2"/>
      <c r="M4348" s="2"/>
      <c r="N4348" s="2"/>
      <c r="O4348" s="2"/>
      <c r="P4348" s="2"/>
      <c r="Q4348" s="2"/>
      <c r="R4348" s="2"/>
      <c r="S4348" s="2"/>
      <c r="T4348" s="2"/>
      <c r="U4348" s="2"/>
      <c r="V4348" s="2"/>
      <c r="W4348" s="2"/>
    </row>
    <row r="4349" spans="1:23" x14ac:dyDescent="0.25">
      <c r="A4349" s="2"/>
      <c r="B4349" s="2"/>
      <c r="C4349" s="1"/>
      <c r="D4349" s="2"/>
      <c r="E4349" s="2"/>
      <c r="F4349" s="2"/>
      <c r="G4349" s="2"/>
      <c r="H4349" s="2"/>
      <c r="I4349" s="2"/>
      <c r="J4349" s="2"/>
      <c r="K4349" s="2"/>
      <c r="L4349" s="2"/>
      <c r="M4349" s="2"/>
      <c r="N4349" s="2"/>
      <c r="O4349" s="2"/>
      <c r="P4349" s="2"/>
      <c r="Q4349" s="2"/>
      <c r="R4349" s="2"/>
      <c r="S4349" s="2"/>
      <c r="T4349" s="2"/>
      <c r="U4349" s="2"/>
      <c r="V4349" s="2"/>
      <c r="W4349" s="2"/>
    </row>
    <row r="4350" spans="1:23" x14ac:dyDescent="0.25">
      <c r="A4350" s="2"/>
      <c r="B4350" s="2"/>
      <c r="C4350" s="1"/>
      <c r="D4350" s="2"/>
      <c r="E4350" s="2"/>
      <c r="F4350" s="2"/>
      <c r="G4350" s="2"/>
      <c r="H4350" s="2"/>
      <c r="I4350" s="2"/>
      <c r="J4350" s="2"/>
      <c r="K4350" s="2"/>
      <c r="L4350" s="2"/>
      <c r="M4350" s="2"/>
      <c r="N4350" s="2"/>
      <c r="O4350" s="2"/>
      <c r="P4350" s="2"/>
      <c r="Q4350" s="2"/>
      <c r="R4350" s="2"/>
      <c r="S4350" s="2"/>
      <c r="T4350" s="2"/>
      <c r="U4350" s="2"/>
      <c r="V4350" s="2"/>
      <c r="W4350" s="2"/>
    </row>
    <row r="4351" spans="1:23" x14ac:dyDescent="0.25">
      <c r="A4351" s="2"/>
      <c r="B4351" s="2"/>
      <c r="C4351" s="1"/>
      <c r="D4351" s="2"/>
      <c r="E4351" s="2"/>
      <c r="F4351" s="2"/>
      <c r="G4351" s="2"/>
      <c r="H4351" s="2"/>
      <c r="I4351" s="2"/>
      <c r="J4351" s="2"/>
      <c r="K4351" s="2"/>
      <c r="L4351" s="2"/>
      <c r="M4351" s="2"/>
      <c r="N4351" s="2"/>
      <c r="O4351" s="2"/>
      <c r="P4351" s="2"/>
      <c r="Q4351" s="2"/>
      <c r="R4351" s="2"/>
      <c r="S4351" s="2"/>
      <c r="T4351" s="2"/>
      <c r="U4351" s="2"/>
      <c r="V4351" s="2"/>
      <c r="W4351" s="2"/>
    </row>
    <row r="4352" spans="1:23" x14ac:dyDescent="0.25">
      <c r="A4352" s="2"/>
      <c r="B4352" s="2"/>
      <c r="C4352" s="1"/>
      <c r="D4352" s="2"/>
      <c r="E4352" s="2"/>
      <c r="F4352" s="2"/>
      <c r="G4352" s="2"/>
      <c r="H4352" s="2"/>
      <c r="I4352" s="2"/>
      <c r="J4352" s="2"/>
      <c r="K4352" s="2"/>
      <c r="L4352" s="2"/>
      <c r="M4352" s="2"/>
      <c r="N4352" s="2"/>
      <c r="O4352" s="2"/>
      <c r="P4352" s="2"/>
      <c r="Q4352" s="2"/>
      <c r="R4352" s="2"/>
      <c r="S4352" s="2"/>
      <c r="T4352" s="2"/>
      <c r="U4352" s="2"/>
      <c r="V4352" s="2"/>
      <c r="W4352" s="2"/>
    </row>
    <row r="4353" spans="1:23" x14ac:dyDescent="0.25">
      <c r="A4353" s="2"/>
      <c r="B4353" s="2"/>
      <c r="C4353" s="1"/>
      <c r="D4353" s="2"/>
      <c r="E4353" s="2"/>
      <c r="F4353" s="2"/>
      <c r="G4353" s="2"/>
      <c r="H4353" s="2"/>
      <c r="I4353" s="2"/>
      <c r="J4353" s="2"/>
      <c r="K4353" s="2"/>
      <c r="L4353" s="2"/>
      <c r="M4353" s="2"/>
      <c r="N4353" s="2"/>
      <c r="O4353" s="2"/>
      <c r="P4353" s="2"/>
      <c r="Q4353" s="2"/>
      <c r="R4353" s="2"/>
      <c r="S4353" s="2"/>
      <c r="T4353" s="2"/>
      <c r="U4353" s="2"/>
      <c r="V4353" s="2"/>
      <c r="W4353" s="2"/>
    </row>
    <row r="4354" spans="1:23" x14ac:dyDescent="0.25">
      <c r="A4354" s="2"/>
      <c r="B4354" s="2"/>
      <c r="C4354" s="1"/>
      <c r="D4354" s="2"/>
      <c r="E4354" s="2"/>
      <c r="F4354" s="2"/>
      <c r="G4354" s="2"/>
      <c r="H4354" s="2"/>
      <c r="I4354" s="2"/>
      <c r="J4354" s="2"/>
      <c r="K4354" s="2"/>
      <c r="L4354" s="2"/>
      <c r="M4354" s="2"/>
      <c r="N4354" s="2"/>
      <c r="O4354" s="2"/>
      <c r="P4354" s="2"/>
      <c r="Q4354" s="2"/>
      <c r="R4354" s="2"/>
      <c r="S4354" s="2"/>
      <c r="T4354" s="2"/>
      <c r="U4354" s="2"/>
      <c r="V4354" s="2"/>
      <c r="W4354" s="2"/>
    </row>
    <row r="4355" spans="1:23" x14ac:dyDescent="0.25">
      <c r="A4355" s="2"/>
      <c r="B4355" s="2"/>
      <c r="C4355" s="1"/>
      <c r="D4355" s="2"/>
      <c r="E4355" s="2"/>
      <c r="F4355" s="2"/>
      <c r="G4355" s="2"/>
      <c r="H4355" s="2"/>
      <c r="I4355" s="2"/>
      <c r="J4355" s="2"/>
      <c r="K4355" s="2"/>
      <c r="L4355" s="2"/>
      <c r="M4355" s="2"/>
      <c r="N4355" s="2"/>
      <c r="O4355" s="2"/>
      <c r="P4355" s="2"/>
      <c r="Q4355" s="2"/>
      <c r="R4355" s="2"/>
      <c r="S4355" s="2"/>
      <c r="T4355" s="2"/>
      <c r="U4355" s="2"/>
      <c r="V4355" s="2"/>
      <c r="W4355" s="2"/>
    </row>
    <row r="4356" spans="1:23" x14ac:dyDescent="0.25">
      <c r="A4356" s="2"/>
      <c r="B4356" s="2"/>
      <c r="C4356" s="1"/>
      <c r="D4356" s="2"/>
      <c r="E4356" s="2"/>
      <c r="F4356" s="2"/>
      <c r="G4356" s="2"/>
      <c r="H4356" s="2"/>
      <c r="I4356" s="2"/>
      <c r="J4356" s="2"/>
      <c r="K4356" s="2"/>
      <c r="L4356" s="2"/>
      <c r="M4356" s="2"/>
      <c r="N4356" s="2"/>
      <c r="O4356" s="2"/>
      <c r="P4356" s="2"/>
      <c r="Q4356" s="2"/>
      <c r="R4356" s="2"/>
      <c r="S4356" s="2"/>
      <c r="T4356" s="2"/>
      <c r="U4356" s="2"/>
      <c r="V4356" s="2"/>
      <c r="W4356" s="2"/>
    </row>
    <row r="4357" spans="1:23" x14ac:dyDescent="0.25">
      <c r="A4357" s="2"/>
      <c r="B4357" s="2"/>
      <c r="C4357" s="1"/>
      <c r="D4357" s="2"/>
      <c r="E4357" s="2"/>
      <c r="F4357" s="2"/>
      <c r="G4357" s="2"/>
      <c r="H4357" s="2"/>
      <c r="I4357" s="2"/>
      <c r="J4357" s="2"/>
      <c r="K4357" s="2"/>
      <c r="L4357" s="2"/>
      <c r="M4357" s="2"/>
      <c r="N4357" s="2"/>
      <c r="O4357" s="2"/>
      <c r="P4357" s="2"/>
      <c r="Q4357" s="2"/>
      <c r="R4357" s="2"/>
      <c r="S4357" s="2"/>
      <c r="T4357" s="2"/>
      <c r="U4357" s="2"/>
      <c r="V4357" s="2"/>
      <c r="W4357" s="2"/>
    </row>
    <row r="4358" spans="1:23" x14ac:dyDescent="0.25">
      <c r="A4358" s="2"/>
      <c r="B4358" s="2"/>
      <c r="C4358" s="1"/>
      <c r="D4358" s="2"/>
      <c r="E4358" s="2"/>
      <c r="F4358" s="2"/>
      <c r="G4358" s="2"/>
      <c r="H4358" s="2"/>
      <c r="I4358" s="2"/>
      <c r="J4358" s="2"/>
      <c r="K4358" s="2"/>
      <c r="L4358" s="2"/>
      <c r="M4358" s="2"/>
      <c r="N4358" s="2"/>
      <c r="O4358" s="2"/>
      <c r="P4358" s="2"/>
      <c r="Q4358" s="2"/>
      <c r="R4358" s="2"/>
      <c r="S4358" s="2"/>
      <c r="T4358" s="2"/>
      <c r="U4358" s="2"/>
      <c r="V4358" s="2"/>
      <c r="W4358" s="2"/>
    </row>
    <row r="4359" spans="1:23" x14ac:dyDescent="0.25">
      <c r="A4359" s="2"/>
      <c r="B4359" s="2"/>
      <c r="C4359" s="1"/>
      <c r="D4359" s="2"/>
      <c r="E4359" s="2"/>
      <c r="F4359" s="2"/>
      <c r="G4359" s="2"/>
      <c r="H4359" s="2"/>
      <c r="I4359" s="2"/>
      <c r="J4359" s="2"/>
      <c r="K4359" s="2"/>
      <c r="L4359" s="2"/>
      <c r="M4359" s="2"/>
      <c r="N4359" s="2"/>
      <c r="O4359" s="2"/>
      <c r="P4359" s="2"/>
      <c r="Q4359" s="2"/>
      <c r="R4359" s="2"/>
      <c r="S4359" s="2"/>
      <c r="T4359" s="2"/>
      <c r="U4359" s="2"/>
      <c r="V4359" s="2"/>
      <c r="W4359" s="2"/>
    </row>
    <row r="4360" spans="1:23" x14ac:dyDescent="0.25">
      <c r="A4360" s="2"/>
      <c r="B4360" s="2"/>
      <c r="C4360" s="1"/>
      <c r="D4360" s="2"/>
      <c r="E4360" s="2"/>
      <c r="F4360" s="2"/>
      <c r="G4360" s="2"/>
      <c r="H4360" s="2"/>
      <c r="I4360" s="2"/>
      <c r="J4360" s="2"/>
      <c r="K4360" s="2"/>
      <c r="L4360" s="2"/>
      <c r="M4360" s="2"/>
      <c r="N4360" s="2"/>
      <c r="O4360" s="2"/>
      <c r="P4360" s="2"/>
      <c r="Q4360" s="2"/>
      <c r="R4360" s="2"/>
      <c r="S4360" s="2"/>
      <c r="T4360" s="2"/>
      <c r="U4360" s="2"/>
      <c r="V4360" s="2"/>
      <c r="W4360" s="2"/>
    </row>
    <row r="4361" spans="1:23" x14ac:dyDescent="0.25">
      <c r="A4361" s="2"/>
      <c r="B4361" s="2"/>
      <c r="C4361" s="1"/>
      <c r="D4361" s="2"/>
      <c r="E4361" s="2"/>
      <c r="F4361" s="2"/>
      <c r="G4361" s="2"/>
      <c r="H4361" s="2"/>
      <c r="I4361" s="2"/>
      <c r="J4361" s="2"/>
      <c r="K4361" s="2"/>
      <c r="L4361" s="2"/>
      <c r="M4361" s="2"/>
      <c r="N4361" s="2"/>
      <c r="O4361" s="2"/>
      <c r="P4361" s="2"/>
      <c r="Q4361" s="2"/>
      <c r="R4361" s="2"/>
      <c r="S4361" s="2"/>
      <c r="T4361" s="2"/>
      <c r="U4361" s="2"/>
      <c r="V4361" s="2"/>
      <c r="W4361" s="2"/>
    </row>
    <row r="4362" spans="1:23" x14ac:dyDescent="0.25">
      <c r="A4362" s="2"/>
      <c r="B4362" s="2"/>
      <c r="C4362" s="1"/>
      <c r="D4362" s="2"/>
      <c r="E4362" s="2"/>
      <c r="F4362" s="2"/>
      <c r="G4362" s="2"/>
      <c r="H4362" s="2"/>
      <c r="I4362" s="2"/>
      <c r="J4362" s="2"/>
      <c r="K4362" s="2"/>
      <c r="L4362" s="2"/>
      <c r="M4362" s="2"/>
      <c r="N4362" s="2"/>
      <c r="O4362" s="2"/>
      <c r="P4362" s="2"/>
      <c r="Q4362" s="2"/>
      <c r="R4362" s="2"/>
      <c r="S4362" s="2"/>
      <c r="T4362" s="2"/>
      <c r="U4362" s="2"/>
      <c r="V4362" s="2"/>
      <c r="W4362" s="2"/>
    </row>
    <row r="4363" spans="1:23" x14ac:dyDescent="0.25">
      <c r="A4363" s="2"/>
      <c r="B4363" s="2"/>
      <c r="C4363" s="1"/>
      <c r="D4363" s="2"/>
      <c r="E4363" s="2"/>
      <c r="F4363" s="2"/>
      <c r="G4363" s="2"/>
      <c r="H4363" s="2"/>
      <c r="I4363" s="2"/>
      <c r="J4363" s="2"/>
      <c r="K4363" s="2"/>
      <c r="L4363" s="2"/>
      <c r="M4363" s="2"/>
      <c r="N4363" s="2"/>
      <c r="O4363" s="2"/>
      <c r="P4363" s="2"/>
      <c r="Q4363" s="2"/>
      <c r="R4363" s="2"/>
      <c r="S4363" s="2"/>
      <c r="T4363" s="2"/>
      <c r="U4363" s="2"/>
      <c r="V4363" s="2"/>
      <c r="W4363" s="2"/>
    </row>
    <row r="4364" spans="1:23" x14ac:dyDescent="0.25">
      <c r="A4364" s="2"/>
      <c r="B4364" s="2"/>
      <c r="C4364" s="1"/>
      <c r="D4364" s="2"/>
      <c r="E4364" s="2"/>
      <c r="F4364" s="2"/>
      <c r="G4364" s="2"/>
      <c r="H4364" s="2"/>
      <c r="I4364" s="2"/>
      <c r="J4364" s="2"/>
      <c r="K4364" s="2"/>
      <c r="L4364" s="2"/>
      <c r="M4364" s="2"/>
      <c r="N4364" s="2"/>
      <c r="O4364" s="2"/>
      <c r="P4364" s="2"/>
      <c r="Q4364" s="2"/>
      <c r="R4364" s="2"/>
      <c r="S4364" s="2"/>
      <c r="T4364" s="2"/>
      <c r="U4364" s="2"/>
      <c r="V4364" s="2"/>
      <c r="W4364" s="2"/>
    </row>
    <row r="4365" spans="1:23" x14ac:dyDescent="0.25">
      <c r="A4365" s="2"/>
      <c r="B4365" s="2"/>
      <c r="C4365" s="1"/>
      <c r="D4365" s="2"/>
      <c r="E4365" s="2"/>
      <c r="F4365" s="2"/>
      <c r="G4365" s="2"/>
      <c r="H4365" s="2"/>
      <c r="I4365" s="2"/>
      <c r="J4365" s="2"/>
      <c r="K4365" s="2"/>
      <c r="L4365" s="2"/>
      <c r="M4365" s="2"/>
      <c r="N4365" s="2"/>
      <c r="O4365" s="2"/>
      <c r="P4365" s="2"/>
      <c r="Q4365" s="2"/>
      <c r="R4365" s="2"/>
      <c r="S4365" s="2"/>
      <c r="T4365" s="2"/>
      <c r="U4365" s="2"/>
      <c r="V4365" s="2"/>
      <c r="W4365" s="2"/>
    </row>
    <row r="4366" spans="1:23" x14ac:dyDescent="0.25">
      <c r="A4366" s="2"/>
      <c r="B4366" s="2"/>
      <c r="C4366" s="1"/>
      <c r="D4366" s="2"/>
      <c r="E4366" s="2"/>
      <c r="F4366" s="2"/>
      <c r="G4366" s="2"/>
      <c r="H4366" s="2"/>
      <c r="I4366" s="2"/>
      <c r="J4366" s="2"/>
      <c r="K4366" s="2"/>
      <c r="L4366" s="2"/>
      <c r="M4366" s="2"/>
      <c r="N4366" s="2"/>
      <c r="O4366" s="2"/>
      <c r="P4366" s="2"/>
      <c r="Q4366" s="2"/>
      <c r="R4366" s="2"/>
      <c r="S4366" s="2"/>
      <c r="T4366" s="2"/>
      <c r="U4366" s="2"/>
      <c r="V4366" s="2"/>
      <c r="W4366" s="2"/>
    </row>
    <row r="4367" spans="1:23" x14ac:dyDescent="0.25">
      <c r="A4367" s="2"/>
      <c r="B4367" s="2"/>
      <c r="C4367" s="1"/>
      <c r="D4367" s="2"/>
      <c r="E4367" s="2"/>
      <c r="F4367" s="2"/>
      <c r="G4367" s="2"/>
      <c r="H4367" s="2"/>
      <c r="I4367" s="2"/>
      <c r="J4367" s="2"/>
      <c r="K4367" s="2"/>
      <c r="L4367" s="2"/>
      <c r="M4367" s="2"/>
      <c r="N4367" s="2"/>
      <c r="O4367" s="2"/>
      <c r="P4367" s="2"/>
      <c r="Q4367" s="2"/>
      <c r="R4367" s="2"/>
      <c r="S4367" s="2"/>
      <c r="T4367" s="2"/>
      <c r="U4367" s="2"/>
      <c r="V4367" s="2"/>
      <c r="W4367" s="2"/>
    </row>
    <row r="4368" spans="1:23" x14ac:dyDescent="0.25">
      <c r="A4368" s="2"/>
      <c r="B4368" s="2"/>
      <c r="C4368" s="1"/>
      <c r="D4368" s="2"/>
      <c r="E4368" s="2"/>
      <c r="F4368" s="2"/>
      <c r="G4368" s="2"/>
      <c r="H4368" s="2"/>
      <c r="I4368" s="2"/>
      <c r="J4368" s="2"/>
      <c r="K4368" s="2"/>
      <c r="L4368" s="2"/>
      <c r="M4368" s="2"/>
      <c r="N4368" s="2"/>
      <c r="O4368" s="2"/>
      <c r="P4368" s="2"/>
      <c r="Q4368" s="2"/>
      <c r="R4368" s="2"/>
      <c r="S4368" s="2"/>
      <c r="T4368" s="2"/>
      <c r="U4368" s="2"/>
      <c r="V4368" s="2"/>
      <c r="W4368" s="2"/>
    </row>
    <row r="4369" spans="1:23" x14ac:dyDescent="0.25">
      <c r="A4369" s="2"/>
      <c r="B4369" s="2"/>
      <c r="C4369" s="1"/>
      <c r="D4369" s="2"/>
      <c r="E4369" s="2"/>
      <c r="F4369" s="2"/>
      <c r="G4369" s="2"/>
      <c r="H4369" s="2"/>
      <c r="I4369" s="2"/>
      <c r="J4369" s="2"/>
      <c r="K4369" s="2"/>
      <c r="L4369" s="2"/>
      <c r="M4369" s="2"/>
      <c r="N4369" s="2"/>
      <c r="O4369" s="2"/>
      <c r="P4369" s="2"/>
      <c r="Q4369" s="2"/>
      <c r="R4369" s="2"/>
      <c r="S4369" s="2"/>
      <c r="T4369" s="2"/>
      <c r="U4369" s="2"/>
      <c r="V4369" s="2"/>
      <c r="W4369" s="2"/>
    </row>
    <row r="4370" spans="1:23" x14ac:dyDescent="0.25">
      <c r="A4370" s="2"/>
      <c r="B4370" s="2"/>
      <c r="C4370" s="1"/>
      <c r="D4370" s="2"/>
      <c r="E4370" s="2"/>
      <c r="F4370" s="2"/>
      <c r="G4370" s="2"/>
      <c r="H4370" s="2"/>
      <c r="I4370" s="2"/>
      <c r="J4370" s="2"/>
      <c r="K4370" s="2"/>
      <c r="L4370" s="2"/>
      <c r="M4370" s="2"/>
      <c r="N4370" s="2"/>
      <c r="O4370" s="2"/>
      <c r="P4370" s="2"/>
      <c r="Q4370" s="2"/>
      <c r="R4370" s="2"/>
      <c r="S4370" s="2"/>
      <c r="T4370" s="2"/>
      <c r="U4370" s="2"/>
      <c r="V4370" s="2"/>
      <c r="W4370" s="2"/>
    </row>
    <row r="4371" spans="1:23" x14ac:dyDescent="0.25">
      <c r="A4371" s="2"/>
      <c r="B4371" s="2"/>
      <c r="C4371" s="1"/>
      <c r="D4371" s="2"/>
      <c r="E4371" s="2"/>
      <c r="F4371" s="2"/>
      <c r="G4371" s="2"/>
      <c r="H4371" s="2"/>
      <c r="I4371" s="2"/>
      <c r="J4371" s="2"/>
      <c r="K4371" s="2"/>
      <c r="L4371" s="2"/>
      <c r="M4371" s="2"/>
      <c r="N4371" s="2"/>
      <c r="O4371" s="2"/>
      <c r="P4371" s="2"/>
      <c r="Q4371" s="2"/>
      <c r="R4371" s="2"/>
      <c r="S4371" s="2"/>
      <c r="T4371" s="2"/>
      <c r="U4371" s="2"/>
      <c r="V4371" s="2"/>
      <c r="W4371" s="2"/>
    </row>
    <row r="4372" spans="1:23" x14ac:dyDescent="0.25">
      <c r="A4372" s="2"/>
      <c r="B4372" s="2"/>
      <c r="C4372" s="1"/>
      <c r="D4372" s="2"/>
      <c r="E4372" s="2"/>
      <c r="F4372" s="2"/>
      <c r="G4372" s="2"/>
      <c r="H4372" s="2"/>
      <c r="I4372" s="2"/>
      <c r="J4372" s="2"/>
      <c r="K4372" s="2"/>
      <c r="L4372" s="2"/>
      <c r="M4372" s="2"/>
      <c r="N4372" s="2"/>
      <c r="O4372" s="2"/>
      <c r="P4372" s="2"/>
      <c r="Q4372" s="2"/>
      <c r="R4372" s="2"/>
      <c r="S4372" s="2"/>
      <c r="T4372" s="2"/>
      <c r="U4372" s="2"/>
      <c r="V4372" s="2"/>
      <c r="W4372" s="2"/>
    </row>
    <row r="4373" spans="1:23" x14ac:dyDescent="0.25">
      <c r="A4373" s="2"/>
      <c r="B4373" s="2"/>
      <c r="C4373" s="1"/>
      <c r="D4373" s="2"/>
      <c r="E4373" s="2"/>
      <c r="F4373" s="2"/>
      <c r="G4373" s="2"/>
      <c r="H4373" s="2"/>
      <c r="I4373" s="2"/>
      <c r="J4373" s="2"/>
      <c r="K4373" s="2"/>
      <c r="L4373" s="2"/>
      <c r="M4373" s="2"/>
      <c r="N4373" s="2"/>
      <c r="O4373" s="2"/>
      <c r="P4373" s="2"/>
      <c r="Q4373" s="2"/>
      <c r="R4373" s="2"/>
      <c r="S4373" s="2"/>
      <c r="T4373" s="2"/>
      <c r="U4373" s="2"/>
      <c r="V4373" s="2"/>
      <c r="W4373" s="2"/>
    </row>
    <row r="4374" spans="1:23" x14ac:dyDescent="0.25">
      <c r="A4374" s="2"/>
      <c r="B4374" s="2"/>
      <c r="C4374" s="1"/>
      <c r="D4374" s="2"/>
      <c r="E4374" s="2"/>
      <c r="F4374" s="2"/>
      <c r="G4374" s="2"/>
      <c r="H4374" s="2"/>
      <c r="I4374" s="2"/>
      <c r="J4374" s="2"/>
      <c r="K4374" s="2"/>
      <c r="L4374" s="2"/>
      <c r="M4374" s="2"/>
      <c r="N4374" s="2"/>
      <c r="O4374" s="2"/>
      <c r="P4374" s="2"/>
      <c r="Q4374" s="2"/>
      <c r="R4374" s="2"/>
      <c r="S4374" s="2"/>
      <c r="T4374" s="2"/>
      <c r="U4374" s="2"/>
      <c r="V4374" s="2"/>
      <c r="W4374" s="2"/>
    </row>
    <row r="4375" spans="1:23" x14ac:dyDescent="0.25">
      <c r="A4375" s="2"/>
      <c r="B4375" s="2"/>
      <c r="C4375" s="1"/>
      <c r="D4375" s="2"/>
      <c r="E4375" s="2"/>
      <c r="F4375" s="2"/>
      <c r="G4375" s="2"/>
      <c r="H4375" s="2"/>
      <c r="I4375" s="2"/>
      <c r="J4375" s="2"/>
      <c r="K4375" s="2"/>
      <c r="L4375" s="2"/>
      <c r="M4375" s="2"/>
      <c r="N4375" s="2"/>
      <c r="O4375" s="2"/>
      <c r="P4375" s="2"/>
      <c r="Q4375" s="2"/>
      <c r="R4375" s="2"/>
      <c r="S4375" s="2"/>
      <c r="T4375" s="2"/>
      <c r="U4375" s="2"/>
      <c r="V4375" s="2"/>
      <c r="W4375" s="2"/>
    </row>
    <row r="4376" spans="1:23" x14ac:dyDescent="0.25">
      <c r="A4376" s="2"/>
      <c r="B4376" s="2"/>
      <c r="C4376" s="1"/>
      <c r="D4376" s="2"/>
      <c r="E4376" s="2"/>
      <c r="F4376" s="2"/>
      <c r="G4376" s="2"/>
      <c r="H4376" s="2"/>
      <c r="I4376" s="2"/>
      <c r="J4376" s="2"/>
      <c r="K4376" s="2"/>
      <c r="L4376" s="2"/>
      <c r="M4376" s="2"/>
      <c r="N4376" s="2"/>
      <c r="O4376" s="2"/>
      <c r="P4376" s="2"/>
      <c r="Q4376" s="2"/>
      <c r="R4376" s="2"/>
      <c r="S4376" s="2"/>
      <c r="T4376" s="2"/>
      <c r="U4376" s="2"/>
      <c r="V4376" s="2"/>
      <c r="W4376" s="2"/>
    </row>
    <row r="4377" spans="1:23" x14ac:dyDescent="0.25">
      <c r="A4377" s="2"/>
      <c r="B4377" s="2"/>
      <c r="C4377" s="1"/>
      <c r="D4377" s="2"/>
      <c r="E4377" s="2"/>
      <c r="F4377" s="2"/>
      <c r="G4377" s="2"/>
      <c r="H4377" s="2"/>
      <c r="I4377" s="2"/>
      <c r="J4377" s="2"/>
      <c r="K4377" s="2"/>
      <c r="L4377" s="2"/>
      <c r="M4377" s="2"/>
      <c r="N4377" s="2"/>
      <c r="O4377" s="2"/>
      <c r="P4377" s="2"/>
      <c r="Q4377" s="2"/>
      <c r="R4377" s="2"/>
      <c r="S4377" s="2"/>
      <c r="T4377" s="2"/>
      <c r="U4377" s="2"/>
      <c r="V4377" s="2"/>
      <c r="W4377" s="2"/>
    </row>
    <row r="4378" spans="1:23" x14ac:dyDescent="0.25">
      <c r="A4378" s="2"/>
      <c r="B4378" s="2"/>
      <c r="C4378" s="1"/>
      <c r="D4378" s="2"/>
      <c r="E4378" s="2"/>
      <c r="F4378" s="2"/>
      <c r="G4378" s="2"/>
      <c r="H4378" s="2"/>
      <c r="I4378" s="2"/>
      <c r="J4378" s="2"/>
      <c r="K4378" s="2"/>
      <c r="L4378" s="2"/>
      <c r="M4378" s="2"/>
      <c r="N4378" s="2"/>
      <c r="O4378" s="2"/>
      <c r="P4378" s="2"/>
      <c r="Q4378" s="2"/>
      <c r="R4378" s="2"/>
      <c r="S4378" s="2"/>
      <c r="T4378" s="2"/>
      <c r="U4378" s="2"/>
      <c r="V4378" s="2"/>
      <c r="W4378" s="2"/>
    </row>
    <row r="4379" spans="1:23" x14ac:dyDescent="0.25">
      <c r="A4379" s="2"/>
      <c r="B4379" s="2"/>
      <c r="C4379" s="1"/>
      <c r="D4379" s="2"/>
      <c r="E4379" s="2"/>
      <c r="F4379" s="2"/>
      <c r="G4379" s="2"/>
      <c r="H4379" s="2"/>
      <c r="I4379" s="2"/>
      <c r="J4379" s="2"/>
      <c r="K4379" s="2"/>
      <c r="L4379" s="2"/>
      <c r="M4379" s="2"/>
      <c r="N4379" s="2"/>
      <c r="O4379" s="2"/>
      <c r="P4379" s="2"/>
      <c r="Q4379" s="2"/>
      <c r="R4379" s="2"/>
      <c r="S4379" s="2"/>
      <c r="T4379" s="2"/>
      <c r="U4379" s="2"/>
      <c r="V4379" s="2"/>
      <c r="W4379" s="2"/>
    </row>
    <row r="4380" spans="1:23" x14ac:dyDescent="0.25">
      <c r="A4380" s="2"/>
      <c r="B4380" s="2"/>
      <c r="C4380" s="1"/>
      <c r="D4380" s="2"/>
      <c r="E4380" s="2"/>
      <c r="F4380" s="2"/>
      <c r="G4380" s="2"/>
      <c r="H4380" s="2"/>
      <c r="I4380" s="2"/>
      <c r="J4380" s="2"/>
      <c r="K4380" s="2"/>
      <c r="L4380" s="2"/>
      <c r="M4380" s="2"/>
      <c r="N4380" s="2"/>
      <c r="O4380" s="2"/>
      <c r="P4380" s="2"/>
      <c r="Q4380" s="2"/>
      <c r="R4380" s="2"/>
      <c r="S4380" s="2"/>
      <c r="T4380" s="2"/>
      <c r="U4380" s="2"/>
      <c r="V4380" s="2"/>
      <c r="W4380" s="2"/>
    </row>
    <row r="4381" spans="1:23" x14ac:dyDescent="0.25">
      <c r="A4381" s="2"/>
      <c r="B4381" s="2"/>
      <c r="C4381" s="1"/>
      <c r="D4381" s="2"/>
      <c r="E4381" s="2"/>
      <c r="F4381" s="2"/>
      <c r="G4381" s="2"/>
      <c r="H4381" s="2"/>
      <c r="I4381" s="2"/>
      <c r="J4381" s="2"/>
      <c r="K4381" s="2"/>
      <c r="L4381" s="2"/>
      <c r="M4381" s="2"/>
      <c r="N4381" s="2"/>
      <c r="O4381" s="2"/>
      <c r="P4381" s="2"/>
      <c r="Q4381" s="2"/>
      <c r="R4381" s="2"/>
      <c r="S4381" s="2"/>
      <c r="T4381" s="2"/>
      <c r="U4381" s="2"/>
      <c r="V4381" s="2"/>
      <c r="W4381" s="2"/>
    </row>
    <row r="4382" spans="1:23" x14ac:dyDescent="0.25">
      <c r="A4382" s="2"/>
      <c r="B4382" s="2"/>
      <c r="C4382" s="1"/>
      <c r="D4382" s="2"/>
      <c r="E4382" s="2"/>
      <c r="F4382" s="2"/>
      <c r="G4382" s="2"/>
      <c r="H4382" s="2"/>
      <c r="I4382" s="2"/>
      <c r="J4382" s="2"/>
      <c r="K4382" s="2"/>
      <c r="L4382" s="2"/>
      <c r="M4382" s="2"/>
      <c r="N4382" s="2"/>
      <c r="O4382" s="2"/>
      <c r="P4382" s="2"/>
      <c r="Q4382" s="2"/>
      <c r="R4382" s="2"/>
      <c r="S4382" s="2"/>
      <c r="T4382" s="2"/>
      <c r="U4382" s="2"/>
      <c r="V4382" s="2"/>
      <c r="W4382" s="2"/>
    </row>
    <row r="4383" spans="1:23" x14ac:dyDescent="0.25">
      <c r="A4383" s="2"/>
      <c r="B4383" s="2"/>
      <c r="C4383" s="1"/>
      <c r="D4383" s="2"/>
      <c r="E4383" s="2"/>
      <c r="F4383" s="2"/>
      <c r="G4383" s="2"/>
      <c r="H4383" s="2"/>
      <c r="I4383" s="2"/>
      <c r="J4383" s="2"/>
      <c r="K4383" s="2"/>
      <c r="L4383" s="2"/>
      <c r="M4383" s="2"/>
      <c r="N4383" s="2"/>
      <c r="O4383" s="2"/>
      <c r="P4383" s="2"/>
      <c r="Q4383" s="2"/>
      <c r="R4383" s="2"/>
      <c r="S4383" s="2"/>
      <c r="T4383" s="2"/>
      <c r="U4383" s="2"/>
      <c r="V4383" s="2"/>
      <c r="W4383" s="2"/>
    </row>
    <row r="4384" spans="1:23" x14ac:dyDescent="0.25">
      <c r="A4384" s="2"/>
      <c r="B4384" s="2"/>
      <c r="C4384" s="1"/>
      <c r="D4384" s="2"/>
      <c r="E4384" s="2"/>
      <c r="F4384" s="2"/>
      <c r="G4384" s="2"/>
      <c r="H4384" s="2"/>
      <c r="I4384" s="2"/>
      <c r="J4384" s="2"/>
      <c r="K4384" s="2"/>
      <c r="L4384" s="2"/>
      <c r="M4384" s="2"/>
      <c r="N4384" s="2"/>
      <c r="O4384" s="2"/>
      <c r="P4384" s="2"/>
      <c r="Q4384" s="2"/>
      <c r="R4384" s="2"/>
      <c r="S4384" s="2"/>
      <c r="T4384" s="2"/>
      <c r="U4384" s="2"/>
      <c r="V4384" s="2"/>
      <c r="W4384" s="2"/>
    </row>
    <row r="4385" spans="1:23" x14ac:dyDescent="0.25">
      <c r="A4385" s="2"/>
      <c r="B4385" s="2"/>
      <c r="C4385" s="1"/>
      <c r="D4385" s="2"/>
      <c r="E4385" s="2"/>
      <c r="F4385" s="2"/>
      <c r="G4385" s="2"/>
      <c r="H4385" s="2"/>
      <c r="I4385" s="2"/>
      <c r="J4385" s="2"/>
      <c r="K4385" s="2"/>
      <c r="L4385" s="2"/>
      <c r="M4385" s="2"/>
      <c r="N4385" s="2"/>
      <c r="O4385" s="2"/>
      <c r="P4385" s="2"/>
      <c r="Q4385" s="2"/>
      <c r="R4385" s="2"/>
      <c r="S4385" s="2"/>
      <c r="T4385" s="2"/>
      <c r="U4385" s="2"/>
      <c r="V4385" s="2"/>
      <c r="W4385" s="2"/>
    </row>
    <row r="4386" spans="1:23" x14ac:dyDescent="0.25">
      <c r="A4386" s="2"/>
      <c r="B4386" s="2"/>
      <c r="C4386" s="1"/>
      <c r="D4386" s="2"/>
      <c r="E4386" s="2"/>
      <c r="F4386" s="2"/>
      <c r="G4386" s="2"/>
      <c r="H4386" s="2"/>
      <c r="I4386" s="2"/>
      <c r="J4386" s="2"/>
      <c r="K4386" s="2"/>
      <c r="L4386" s="2"/>
      <c r="M4386" s="2"/>
      <c r="N4386" s="2"/>
      <c r="O4386" s="2"/>
      <c r="P4386" s="2"/>
      <c r="Q4386" s="2"/>
      <c r="R4386" s="2"/>
      <c r="S4386" s="2"/>
      <c r="T4386" s="2"/>
      <c r="U4386" s="2"/>
      <c r="V4386" s="2"/>
      <c r="W4386" s="2"/>
    </row>
    <row r="4387" spans="1:23" x14ac:dyDescent="0.25">
      <c r="A4387" s="2"/>
      <c r="B4387" s="2"/>
      <c r="C4387" s="1"/>
      <c r="D4387" s="2"/>
      <c r="E4387" s="2"/>
      <c r="F4387" s="2"/>
      <c r="G4387" s="2"/>
      <c r="H4387" s="2"/>
      <c r="I4387" s="2"/>
      <c r="J4387" s="2"/>
      <c r="K4387" s="2"/>
      <c r="L4387" s="2"/>
      <c r="M4387" s="2"/>
      <c r="N4387" s="2"/>
      <c r="O4387" s="2"/>
      <c r="P4387" s="2"/>
      <c r="Q4387" s="2"/>
      <c r="R4387" s="2"/>
      <c r="S4387" s="2"/>
      <c r="T4387" s="2"/>
      <c r="U4387" s="2"/>
      <c r="V4387" s="2"/>
      <c r="W4387" s="2"/>
    </row>
    <row r="4388" spans="1:23" x14ac:dyDescent="0.25">
      <c r="A4388" s="2"/>
      <c r="B4388" s="2"/>
      <c r="C4388" s="1"/>
      <c r="D4388" s="2"/>
      <c r="E4388" s="2"/>
      <c r="F4388" s="2"/>
      <c r="G4388" s="2"/>
      <c r="H4388" s="2"/>
      <c r="I4388" s="2"/>
      <c r="J4388" s="2"/>
      <c r="K4388" s="2"/>
      <c r="L4388" s="2"/>
      <c r="M4388" s="2"/>
      <c r="N4388" s="2"/>
      <c r="O4388" s="2"/>
      <c r="P4388" s="2"/>
      <c r="Q4388" s="2"/>
      <c r="R4388" s="2"/>
      <c r="S4388" s="2"/>
      <c r="T4388" s="2"/>
      <c r="U4388" s="2"/>
      <c r="V4388" s="2"/>
      <c r="W4388" s="2"/>
    </row>
    <row r="4389" spans="1:23" x14ac:dyDescent="0.25">
      <c r="A4389" s="2"/>
      <c r="B4389" s="2"/>
      <c r="C4389" s="1"/>
      <c r="D4389" s="2"/>
      <c r="E4389" s="2"/>
      <c r="F4389" s="2"/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  <c r="S4389" s="2"/>
      <c r="T4389" s="2"/>
      <c r="U4389" s="2"/>
      <c r="V4389" s="2"/>
      <c r="W4389" s="2"/>
    </row>
    <row r="4390" spans="1:23" x14ac:dyDescent="0.25">
      <c r="A4390" s="2"/>
      <c r="B4390" s="2"/>
      <c r="C4390" s="1"/>
      <c r="D4390" s="2"/>
      <c r="E4390" s="2"/>
      <c r="F4390" s="2"/>
      <c r="G4390" s="2"/>
      <c r="H4390" s="2"/>
      <c r="I4390" s="2"/>
      <c r="J4390" s="2"/>
      <c r="K4390" s="2"/>
      <c r="L4390" s="2"/>
      <c r="M4390" s="2"/>
      <c r="N4390" s="2"/>
      <c r="O4390" s="2"/>
      <c r="P4390" s="2"/>
      <c r="Q4390" s="2"/>
      <c r="R4390" s="2"/>
      <c r="S4390" s="2"/>
      <c r="T4390" s="2"/>
      <c r="U4390" s="2"/>
      <c r="V4390" s="2"/>
      <c r="W4390" s="2"/>
    </row>
    <row r="4391" spans="1:23" x14ac:dyDescent="0.25">
      <c r="A4391" s="2"/>
      <c r="B4391" s="2"/>
      <c r="C4391" s="1"/>
      <c r="D4391" s="2"/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  <c r="S4391" s="2"/>
      <c r="T4391" s="2"/>
      <c r="U4391" s="2"/>
      <c r="V4391" s="2"/>
      <c r="W4391" s="2"/>
    </row>
    <row r="4392" spans="1:23" x14ac:dyDescent="0.25">
      <c r="A4392" s="2"/>
      <c r="B4392" s="2"/>
      <c r="C4392" s="1"/>
      <c r="D4392" s="2"/>
      <c r="E4392" s="2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  <c r="S4392" s="2"/>
      <c r="T4392" s="2"/>
      <c r="U4392" s="2"/>
      <c r="V4392" s="2"/>
      <c r="W4392" s="2"/>
    </row>
    <row r="4393" spans="1:23" x14ac:dyDescent="0.25">
      <c r="A4393" s="2"/>
      <c r="B4393" s="2"/>
      <c r="C4393" s="1"/>
      <c r="D4393" s="2"/>
      <c r="E4393" s="2"/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  <c r="S4393" s="2"/>
      <c r="T4393" s="2"/>
      <c r="U4393" s="2"/>
      <c r="V4393" s="2"/>
      <c r="W4393" s="2"/>
    </row>
    <row r="4394" spans="1:23" x14ac:dyDescent="0.25">
      <c r="A4394" s="2"/>
      <c r="B4394" s="2"/>
      <c r="C4394" s="1"/>
      <c r="D4394" s="2"/>
      <c r="E4394" s="2"/>
      <c r="F4394" s="2"/>
      <c r="G4394" s="2"/>
      <c r="H4394" s="2"/>
      <c r="I4394" s="2"/>
      <c r="J4394" s="2"/>
      <c r="K4394" s="2"/>
      <c r="L4394" s="2"/>
      <c r="M4394" s="2"/>
      <c r="N4394" s="2"/>
      <c r="O4394" s="2"/>
      <c r="P4394" s="2"/>
      <c r="Q4394" s="2"/>
      <c r="R4394" s="2"/>
      <c r="S4394" s="2"/>
      <c r="T4394" s="2"/>
      <c r="U4394" s="2"/>
      <c r="V4394" s="2"/>
      <c r="W4394" s="2"/>
    </row>
    <row r="4395" spans="1:23" x14ac:dyDescent="0.25">
      <c r="A4395" s="2"/>
      <c r="B4395" s="2"/>
      <c r="C4395" s="1"/>
      <c r="D4395" s="2"/>
      <c r="E4395" s="2"/>
      <c r="F4395" s="2"/>
      <c r="G4395" s="2"/>
      <c r="H4395" s="2"/>
      <c r="I4395" s="2"/>
      <c r="J4395" s="2"/>
      <c r="K4395" s="2"/>
      <c r="L4395" s="2"/>
      <c r="M4395" s="2"/>
      <c r="N4395" s="2"/>
      <c r="O4395" s="2"/>
      <c r="P4395" s="2"/>
      <c r="Q4395" s="2"/>
      <c r="R4395" s="2"/>
      <c r="S4395" s="2"/>
      <c r="T4395" s="2"/>
      <c r="U4395" s="2"/>
      <c r="V4395" s="2"/>
      <c r="W4395" s="2"/>
    </row>
    <row r="4396" spans="1:23" x14ac:dyDescent="0.25">
      <c r="A4396" s="2"/>
      <c r="B4396" s="2"/>
      <c r="C4396" s="1"/>
      <c r="D4396" s="2"/>
      <c r="E4396" s="2"/>
      <c r="F4396" s="2"/>
      <c r="G4396" s="2"/>
      <c r="H4396" s="2"/>
      <c r="I4396" s="2"/>
      <c r="J4396" s="2"/>
      <c r="K4396" s="2"/>
      <c r="L4396" s="2"/>
      <c r="M4396" s="2"/>
      <c r="N4396" s="2"/>
      <c r="O4396" s="2"/>
      <c r="P4396" s="2"/>
      <c r="Q4396" s="2"/>
      <c r="R4396" s="2"/>
      <c r="S4396" s="2"/>
      <c r="T4396" s="2"/>
      <c r="U4396" s="2"/>
      <c r="V4396" s="2"/>
      <c r="W4396" s="2"/>
    </row>
    <row r="4397" spans="1:23" x14ac:dyDescent="0.25">
      <c r="A4397" s="2"/>
      <c r="B4397" s="2"/>
      <c r="C4397" s="1"/>
      <c r="D4397" s="2"/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/>
      <c r="P4397" s="2"/>
      <c r="Q4397" s="2"/>
      <c r="R4397" s="2"/>
      <c r="S4397" s="2"/>
      <c r="T4397" s="2"/>
      <c r="U4397" s="2"/>
      <c r="V4397" s="2"/>
      <c r="W4397" s="2"/>
    </row>
    <row r="4398" spans="1:23" x14ac:dyDescent="0.25">
      <c r="A4398" s="2"/>
      <c r="B4398" s="2"/>
      <c r="C4398" s="1"/>
      <c r="D4398" s="2"/>
      <c r="E4398" s="2"/>
      <c r="F4398" s="2"/>
      <c r="G4398" s="2"/>
      <c r="H4398" s="2"/>
      <c r="I4398" s="2"/>
      <c r="J4398" s="2"/>
      <c r="K4398" s="2"/>
      <c r="L4398" s="2"/>
      <c r="M4398" s="2"/>
      <c r="N4398" s="2"/>
      <c r="O4398" s="2"/>
      <c r="P4398" s="2"/>
      <c r="Q4398" s="2"/>
      <c r="R4398" s="2"/>
      <c r="S4398" s="2"/>
      <c r="T4398" s="2"/>
      <c r="U4398" s="2"/>
      <c r="V4398" s="2"/>
      <c r="W4398" s="2"/>
    </row>
    <row r="4399" spans="1:23" x14ac:dyDescent="0.25">
      <c r="A4399" s="2"/>
      <c r="B4399" s="2"/>
      <c r="C4399" s="1"/>
      <c r="D4399" s="2"/>
      <c r="E4399" s="2"/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2"/>
      <c r="Q4399" s="2"/>
      <c r="R4399" s="2"/>
      <c r="S4399" s="2"/>
      <c r="T4399" s="2"/>
      <c r="U4399" s="2"/>
      <c r="V4399" s="2"/>
      <c r="W4399" s="2"/>
    </row>
    <row r="4400" spans="1:23" x14ac:dyDescent="0.25">
      <c r="A4400" s="2"/>
      <c r="B4400" s="2"/>
      <c r="C4400" s="1"/>
      <c r="D4400" s="2"/>
      <c r="E4400" s="2"/>
      <c r="F4400" s="2"/>
      <c r="G4400" s="2"/>
      <c r="H4400" s="2"/>
      <c r="I4400" s="2"/>
      <c r="J4400" s="2"/>
      <c r="K4400" s="2"/>
      <c r="L4400" s="2"/>
      <c r="M4400" s="2"/>
      <c r="N4400" s="2"/>
      <c r="O4400" s="2"/>
      <c r="P4400" s="2"/>
      <c r="Q4400" s="2"/>
      <c r="R4400" s="2"/>
      <c r="S4400" s="2"/>
      <c r="T4400" s="2"/>
      <c r="U4400" s="2"/>
      <c r="V4400" s="2"/>
      <c r="W4400" s="2"/>
    </row>
    <row r="4401" spans="1:23" x14ac:dyDescent="0.25">
      <c r="A4401" s="2"/>
      <c r="B4401" s="2"/>
      <c r="C4401" s="1"/>
      <c r="D4401" s="2"/>
      <c r="E4401" s="2"/>
      <c r="F4401" s="2"/>
      <c r="G4401" s="2"/>
      <c r="H4401" s="2"/>
      <c r="I4401" s="2"/>
      <c r="J4401" s="2"/>
      <c r="K4401" s="2"/>
      <c r="L4401" s="2"/>
      <c r="M4401" s="2"/>
      <c r="N4401" s="2"/>
      <c r="O4401" s="2"/>
      <c r="P4401" s="2"/>
      <c r="Q4401" s="2"/>
      <c r="R4401" s="2"/>
      <c r="S4401" s="2"/>
      <c r="T4401" s="2"/>
      <c r="U4401" s="2"/>
      <c r="V4401" s="2"/>
      <c r="W4401" s="2"/>
    </row>
    <row r="4402" spans="1:23" x14ac:dyDescent="0.25">
      <c r="A4402" s="2"/>
      <c r="B4402" s="2"/>
      <c r="C4402" s="1"/>
      <c r="D4402" s="2"/>
      <c r="E4402" s="2"/>
      <c r="F4402" s="2"/>
      <c r="G4402" s="2"/>
      <c r="H4402" s="2"/>
      <c r="I4402" s="2"/>
      <c r="J4402" s="2"/>
      <c r="K4402" s="2"/>
      <c r="L4402" s="2"/>
      <c r="M4402" s="2"/>
      <c r="N4402" s="2"/>
      <c r="O4402" s="2"/>
      <c r="P4402" s="2"/>
      <c r="Q4402" s="2"/>
      <c r="R4402" s="2"/>
      <c r="S4402" s="2"/>
      <c r="T4402" s="2"/>
      <c r="U4402" s="2"/>
      <c r="V4402" s="2"/>
      <c r="W4402" s="2"/>
    </row>
    <row r="4403" spans="1:23" x14ac:dyDescent="0.25">
      <c r="A4403" s="2"/>
      <c r="B4403" s="2"/>
      <c r="C4403" s="1"/>
      <c r="D4403" s="2"/>
      <c r="E4403" s="2"/>
      <c r="F4403" s="2"/>
      <c r="G4403" s="2"/>
      <c r="H4403" s="2"/>
      <c r="I4403" s="2"/>
      <c r="J4403" s="2"/>
      <c r="K4403" s="2"/>
      <c r="L4403" s="2"/>
      <c r="M4403" s="2"/>
      <c r="N4403" s="2"/>
      <c r="O4403" s="2"/>
      <c r="P4403" s="2"/>
      <c r="Q4403" s="2"/>
      <c r="R4403" s="2"/>
      <c r="S4403" s="2"/>
      <c r="T4403" s="2"/>
      <c r="U4403" s="2"/>
      <c r="V4403" s="2"/>
      <c r="W4403" s="2"/>
    </row>
    <row r="4404" spans="1:23" x14ac:dyDescent="0.25">
      <c r="A4404" s="2"/>
      <c r="B4404" s="2"/>
      <c r="C4404" s="1"/>
      <c r="D4404" s="2"/>
      <c r="E4404" s="2"/>
      <c r="F4404" s="2"/>
      <c r="G4404" s="2"/>
      <c r="H4404" s="2"/>
      <c r="I4404" s="2"/>
      <c r="J4404" s="2"/>
      <c r="K4404" s="2"/>
      <c r="L4404" s="2"/>
      <c r="M4404" s="2"/>
      <c r="N4404" s="2"/>
      <c r="O4404" s="2"/>
      <c r="P4404" s="2"/>
      <c r="Q4404" s="2"/>
      <c r="R4404" s="2"/>
      <c r="S4404" s="2"/>
      <c r="T4404" s="2"/>
      <c r="U4404" s="2"/>
      <c r="V4404" s="2"/>
      <c r="W4404" s="2"/>
    </row>
    <row r="4405" spans="1:23" x14ac:dyDescent="0.25">
      <c r="A4405" s="2"/>
      <c r="B4405" s="2"/>
      <c r="C4405" s="1"/>
      <c r="D4405" s="2"/>
      <c r="E4405" s="2"/>
      <c r="F4405" s="2"/>
      <c r="G4405" s="2"/>
      <c r="H4405" s="2"/>
      <c r="I4405" s="2"/>
      <c r="J4405" s="2"/>
      <c r="K4405" s="2"/>
      <c r="L4405" s="2"/>
      <c r="M4405" s="2"/>
      <c r="N4405" s="2"/>
      <c r="O4405" s="2"/>
      <c r="P4405" s="2"/>
      <c r="Q4405" s="2"/>
      <c r="R4405" s="2"/>
      <c r="S4405" s="2"/>
      <c r="T4405" s="2"/>
      <c r="U4405" s="2"/>
      <c r="V4405" s="2"/>
      <c r="W4405" s="2"/>
    </row>
    <row r="4406" spans="1:23" x14ac:dyDescent="0.25">
      <c r="A4406" s="2"/>
      <c r="B4406" s="2"/>
      <c r="C4406" s="1"/>
      <c r="D4406" s="2"/>
      <c r="E4406" s="2"/>
      <c r="F4406" s="2"/>
      <c r="G4406" s="2"/>
      <c r="H4406" s="2"/>
      <c r="I4406" s="2"/>
      <c r="J4406" s="2"/>
      <c r="K4406" s="2"/>
      <c r="L4406" s="2"/>
      <c r="M4406" s="2"/>
      <c r="N4406" s="2"/>
      <c r="O4406" s="2"/>
      <c r="P4406" s="2"/>
      <c r="Q4406" s="2"/>
      <c r="R4406" s="2"/>
      <c r="S4406" s="2"/>
      <c r="T4406" s="2"/>
      <c r="U4406" s="2"/>
      <c r="V4406" s="2"/>
      <c r="W4406" s="2"/>
    </row>
    <row r="4407" spans="1:23" x14ac:dyDescent="0.25">
      <c r="A4407" s="2"/>
      <c r="B4407" s="2"/>
      <c r="C4407" s="1"/>
      <c r="D4407" s="2"/>
      <c r="E4407" s="2"/>
      <c r="F4407" s="2"/>
      <c r="G4407" s="2"/>
      <c r="H4407" s="2"/>
      <c r="I4407" s="2"/>
      <c r="J4407" s="2"/>
      <c r="K4407" s="2"/>
      <c r="L4407" s="2"/>
      <c r="M4407" s="2"/>
      <c r="N4407" s="2"/>
      <c r="O4407" s="2"/>
      <c r="P4407" s="2"/>
      <c r="Q4407" s="2"/>
      <c r="R4407" s="2"/>
      <c r="S4407" s="2"/>
      <c r="T4407" s="2"/>
      <c r="U4407" s="2"/>
      <c r="V4407" s="2"/>
      <c r="W4407" s="2"/>
    </row>
    <row r="4408" spans="1:23" x14ac:dyDescent="0.25">
      <c r="A4408" s="2"/>
      <c r="B4408" s="2"/>
      <c r="C4408" s="1"/>
      <c r="D4408" s="2"/>
      <c r="E4408" s="2"/>
      <c r="F4408" s="2"/>
      <c r="G4408" s="2"/>
      <c r="H4408" s="2"/>
      <c r="I4408" s="2"/>
      <c r="J4408" s="2"/>
      <c r="K4408" s="2"/>
      <c r="L4408" s="2"/>
      <c r="M4408" s="2"/>
      <c r="N4408" s="2"/>
      <c r="O4408" s="2"/>
      <c r="P4408" s="2"/>
      <c r="Q4408" s="2"/>
      <c r="R4408" s="2"/>
      <c r="S4408" s="2"/>
      <c r="T4408" s="2"/>
      <c r="U4408" s="2"/>
      <c r="V4408" s="2"/>
      <c r="W4408" s="2"/>
    </row>
    <row r="4409" spans="1:23" x14ac:dyDescent="0.25">
      <c r="A4409" s="2"/>
      <c r="B4409" s="2"/>
      <c r="C4409" s="1"/>
      <c r="D4409" s="2"/>
      <c r="E4409" s="2"/>
      <c r="F4409" s="2"/>
      <c r="G4409" s="2"/>
      <c r="H4409" s="2"/>
      <c r="I4409" s="2"/>
      <c r="J4409" s="2"/>
      <c r="K4409" s="2"/>
      <c r="L4409" s="2"/>
      <c r="M4409" s="2"/>
      <c r="N4409" s="2"/>
      <c r="O4409" s="2"/>
      <c r="P4409" s="2"/>
      <c r="Q4409" s="2"/>
      <c r="R4409" s="2"/>
      <c r="S4409" s="2"/>
      <c r="T4409" s="2"/>
      <c r="U4409" s="2"/>
      <c r="V4409" s="2"/>
      <c r="W4409" s="2"/>
    </row>
    <row r="4410" spans="1:23" x14ac:dyDescent="0.25">
      <c r="A4410" s="2"/>
      <c r="B4410" s="2"/>
      <c r="C4410" s="1"/>
      <c r="D4410" s="2"/>
      <c r="E4410" s="2"/>
      <c r="F4410" s="2"/>
      <c r="G4410" s="2"/>
      <c r="H4410" s="2"/>
      <c r="I4410" s="2"/>
      <c r="J4410" s="2"/>
      <c r="K4410" s="2"/>
      <c r="L4410" s="2"/>
      <c r="M4410" s="2"/>
      <c r="N4410" s="2"/>
      <c r="O4410" s="2"/>
      <c r="P4410" s="2"/>
      <c r="Q4410" s="2"/>
      <c r="R4410" s="2"/>
      <c r="S4410" s="2"/>
      <c r="T4410" s="2"/>
      <c r="U4410" s="2"/>
      <c r="V4410" s="2"/>
      <c r="W4410" s="2"/>
    </row>
    <row r="4411" spans="1:23" x14ac:dyDescent="0.25">
      <c r="A4411" s="2"/>
      <c r="B4411" s="2"/>
      <c r="C4411" s="1"/>
      <c r="D4411" s="2"/>
      <c r="E4411" s="2"/>
      <c r="F4411" s="2"/>
      <c r="G4411" s="2"/>
      <c r="H4411" s="2"/>
      <c r="I4411" s="2"/>
      <c r="J4411" s="2"/>
      <c r="K4411" s="2"/>
      <c r="L4411" s="2"/>
      <c r="M4411" s="2"/>
      <c r="N4411" s="2"/>
      <c r="O4411" s="2"/>
      <c r="P4411" s="2"/>
      <c r="Q4411" s="2"/>
      <c r="R4411" s="2"/>
      <c r="S4411" s="2"/>
      <c r="T4411" s="2"/>
      <c r="U4411" s="2"/>
      <c r="V4411" s="2"/>
      <c r="W4411" s="2"/>
    </row>
    <row r="4412" spans="1:23" x14ac:dyDescent="0.25">
      <c r="A4412" s="2"/>
      <c r="B4412" s="2"/>
      <c r="C4412" s="1"/>
      <c r="D4412" s="2"/>
      <c r="E4412" s="2"/>
      <c r="F4412" s="2"/>
      <c r="G4412" s="2"/>
      <c r="H4412" s="2"/>
      <c r="I4412" s="2"/>
      <c r="J4412" s="2"/>
      <c r="K4412" s="2"/>
      <c r="L4412" s="2"/>
      <c r="M4412" s="2"/>
      <c r="N4412" s="2"/>
      <c r="O4412" s="2"/>
      <c r="P4412" s="2"/>
      <c r="Q4412" s="2"/>
      <c r="R4412" s="2"/>
      <c r="S4412" s="2"/>
      <c r="T4412" s="2"/>
      <c r="U4412" s="2"/>
      <c r="V4412" s="2"/>
      <c r="W4412" s="2"/>
    </row>
    <row r="4413" spans="1:23" x14ac:dyDescent="0.25">
      <c r="A4413" s="2"/>
      <c r="B4413" s="2"/>
      <c r="C4413" s="1"/>
      <c r="D4413" s="2"/>
      <c r="E4413" s="2"/>
      <c r="F4413" s="2"/>
      <c r="G4413" s="2"/>
      <c r="H4413" s="2"/>
      <c r="I4413" s="2"/>
      <c r="J4413" s="2"/>
      <c r="K4413" s="2"/>
      <c r="L4413" s="2"/>
      <c r="M4413" s="2"/>
      <c r="N4413" s="2"/>
      <c r="O4413" s="2"/>
      <c r="P4413" s="2"/>
      <c r="Q4413" s="2"/>
      <c r="R4413" s="2"/>
      <c r="S4413" s="2"/>
      <c r="T4413" s="2"/>
      <c r="U4413" s="2"/>
      <c r="V4413" s="2"/>
      <c r="W4413" s="2"/>
    </row>
    <row r="4414" spans="1:23" x14ac:dyDescent="0.25">
      <c r="A4414" s="2"/>
      <c r="B4414" s="2"/>
      <c r="C4414" s="1"/>
      <c r="D4414" s="2"/>
      <c r="E4414" s="2"/>
      <c r="F4414" s="2"/>
      <c r="G4414" s="2"/>
      <c r="H4414" s="2"/>
      <c r="I4414" s="2"/>
      <c r="J4414" s="2"/>
      <c r="K4414" s="2"/>
      <c r="L4414" s="2"/>
      <c r="M4414" s="2"/>
      <c r="N4414" s="2"/>
      <c r="O4414" s="2"/>
      <c r="P4414" s="2"/>
      <c r="Q4414" s="2"/>
      <c r="R4414" s="2"/>
      <c r="S4414" s="2"/>
      <c r="T4414" s="2"/>
      <c r="U4414" s="2"/>
      <c r="V4414" s="2"/>
      <c r="W4414" s="2"/>
    </row>
    <row r="4415" spans="1:23" x14ac:dyDescent="0.25">
      <c r="A4415" s="2"/>
      <c r="B4415" s="2"/>
      <c r="C4415" s="1"/>
      <c r="D4415" s="2"/>
      <c r="E4415" s="2"/>
      <c r="F4415" s="2"/>
      <c r="G4415" s="2"/>
      <c r="H4415" s="2"/>
      <c r="I4415" s="2"/>
      <c r="J4415" s="2"/>
      <c r="K4415" s="2"/>
      <c r="L4415" s="2"/>
      <c r="M4415" s="2"/>
      <c r="N4415" s="2"/>
      <c r="O4415" s="2"/>
      <c r="P4415" s="2"/>
      <c r="Q4415" s="2"/>
      <c r="R4415" s="2"/>
      <c r="S4415" s="2"/>
      <c r="T4415" s="2"/>
      <c r="U4415" s="2"/>
      <c r="V4415" s="2"/>
      <c r="W4415" s="2"/>
    </row>
    <row r="4416" spans="1:23" x14ac:dyDescent="0.25">
      <c r="A4416" s="2"/>
      <c r="B4416" s="2"/>
      <c r="C4416" s="1"/>
      <c r="D4416" s="2"/>
      <c r="E4416" s="2"/>
      <c r="F4416" s="2"/>
      <c r="G4416" s="2"/>
      <c r="H4416" s="2"/>
      <c r="I4416" s="2"/>
      <c r="J4416" s="2"/>
      <c r="K4416" s="2"/>
      <c r="L4416" s="2"/>
      <c r="M4416" s="2"/>
      <c r="N4416" s="2"/>
      <c r="O4416" s="2"/>
      <c r="P4416" s="2"/>
      <c r="Q4416" s="2"/>
      <c r="R4416" s="2"/>
      <c r="S4416" s="2"/>
      <c r="T4416" s="2"/>
      <c r="U4416" s="2"/>
      <c r="V4416" s="2"/>
      <c r="W4416" s="2"/>
    </row>
    <row r="4417" spans="1:23" x14ac:dyDescent="0.25">
      <c r="A4417" s="2"/>
      <c r="B4417" s="2"/>
      <c r="C4417" s="1"/>
      <c r="D4417" s="2"/>
      <c r="E4417" s="2"/>
      <c r="F4417" s="2"/>
      <c r="G4417" s="2"/>
      <c r="H4417" s="2"/>
      <c r="I4417" s="2"/>
      <c r="J4417" s="2"/>
      <c r="K4417" s="2"/>
      <c r="L4417" s="2"/>
      <c r="M4417" s="2"/>
      <c r="N4417" s="2"/>
      <c r="O4417" s="2"/>
      <c r="P4417" s="2"/>
      <c r="Q4417" s="2"/>
      <c r="R4417" s="2"/>
      <c r="S4417" s="2"/>
      <c r="T4417" s="2"/>
      <c r="U4417" s="2"/>
      <c r="V4417" s="2"/>
      <c r="W4417" s="2"/>
    </row>
    <row r="4418" spans="1:23" x14ac:dyDescent="0.25">
      <c r="A4418" s="2"/>
      <c r="B4418" s="2"/>
      <c r="C4418" s="1"/>
      <c r="D4418" s="2"/>
      <c r="E4418" s="2"/>
      <c r="F4418" s="2"/>
      <c r="G4418" s="2"/>
      <c r="H4418" s="2"/>
      <c r="I4418" s="2"/>
      <c r="J4418" s="2"/>
      <c r="K4418" s="2"/>
      <c r="L4418" s="2"/>
      <c r="M4418" s="2"/>
      <c r="N4418" s="2"/>
      <c r="O4418" s="2"/>
      <c r="P4418" s="2"/>
      <c r="Q4418" s="2"/>
      <c r="R4418" s="2"/>
      <c r="S4418" s="2"/>
      <c r="T4418" s="2"/>
      <c r="U4418" s="2"/>
      <c r="V4418" s="2"/>
      <c r="W4418" s="2"/>
    </row>
    <row r="4419" spans="1:23" x14ac:dyDescent="0.25">
      <c r="A4419" s="2"/>
      <c r="B4419" s="2"/>
      <c r="C4419" s="1"/>
      <c r="D4419" s="2"/>
      <c r="E4419" s="2"/>
      <c r="F4419" s="2"/>
      <c r="G4419" s="2"/>
      <c r="H4419" s="2"/>
      <c r="I4419" s="2"/>
      <c r="J4419" s="2"/>
      <c r="K4419" s="2"/>
      <c r="L4419" s="2"/>
      <c r="M4419" s="2"/>
      <c r="N4419" s="2"/>
      <c r="O4419" s="2"/>
      <c r="P4419" s="2"/>
      <c r="Q4419" s="2"/>
      <c r="R4419" s="2"/>
      <c r="S4419" s="2"/>
      <c r="T4419" s="2"/>
      <c r="U4419" s="2"/>
      <c r="V4419" s="2"/>
      <c r="W4419" s="2"/>
    </row>
    <row r="4420" spans="1:23" x14ac:dyDescent="0.25">
      <c r="A4420" s="2"/>
      <c r="B4420" s="2"/>
      <c r="C4420" s="1"/>
      <c r="D4420" s="2"/>
      <c r="E4420" s="2"/>
      <c r="F4420" s="2"/>
      <c r="G4420" s="2"/>
      <c r="H4420" s="2"/>
      <c r="I4420" s="2"/>
      <c r="J4420" s="2"/>
      <c r="K4420" s="2"/>
      <c r="L4420" s="2"/>
      <c r="M4420" s="2"/>
      <c r="N4420" s="2"/>
      <c r="O4420" s="2"/>
      <c r="P4420" s="2"/>
      <c r="Q4420" s="2"/>
      <c r="R4420" s="2"/>
      <c r="S4420" s="2"/>
      <c r="T4420" s="2"/>
      <c r="U4420" s="2"/>
      <c r="V4420" s="2"/>
      <c r="W4420" s="2"/>
    </row>
    <row r="4421" spans="1:23" x14ac:dyDescent="0.25">
      <c r="A4421" s="2"/>
      <c r="B4421" s="2"/>
      <c r="C4421" s="1"/>
      <c r="D4421" s="2"/>
      <c r="E4421" s="2"/>
      <c r="F4421" s="2"/>
      <c r="G4421" s="2"/>
      <c r="H4421" s="2"/>
      <c r="I4421" s="2"/>
      <c r="J4421" s="2"/>
      <c r="K4421" s="2"/>
      <c r="L4421" s="2"/>
      <c r="M4421" s="2"/>
      <c r="N4421" s="2"/>
      <c r="O4421" s="2"/>
      <c r="P4421" s="2"/>
      <c r="Q4421" s="2"/>
      <c r="R4421" s="2"/>
      <c r="S4421" s="2"/>
      <c r="T4421" s="2"/>
      <c r="U4421" s="2"/>
      <c r="V4421" s="2"/>
      <c r="W4421" s="2"/>
    </row>
    <row r="4422" spans="1:23" x14ac:dyDescent="0.25">
      <c r="A4422" s="2"/>
      <c r="B4422" s="2"/>
      <c r="C4422" s="1"/>
      <c r="D4422" s="2"/>
      <c r="E4422" s="2"/>
      <c r="F4422" s="2"/>
      <c r="G4422" s="2"/>
      <c r="H4422" s="2"/>
      <c r="I4422" s="2"/>
      <c r="J4422" s="2"/>
      <c r="K4422" s="2"/>
      <c r="L4422" s="2"/>
      <c r="M4422" s="2"/>
      <c r="N4422" s="2"/>
      <c r="O4422" s="2"/>
      <c r="P4422" s="2"/>
      <c r="Q4422" s="2"/>
      <c r="R4422" s="2"/>
      <c r="S4422" s="2"/>
      <c r="T4422" s="2"/>
      <c r="U4422" s="2"/>
      <c r="V4422" s="2"/>
      <c r="W4422" s="2"/>
    </row>
    <row r="4423" spans="1:23" x14ac:dyDescent="0.25">
      <c r="A4423" s="2"/>
      <c r="B4423" s="2"/>
      <c r="C4423" s="1"/>
      <c r="D4423" s="2"/>
      <c r="E4423" s="2"/>
      <c r="F4423" s="2"/>
      <c r="G4423" s="2"/>
      <c r="H4423" s="2"/>
      <c r="I4423" s="2"/>
      <c r="J4423" s="2"/>
      <c r="K4423" s="2"/>
      <c r="L4423" s="2"/>
      <c r="M4423" s="2"/>
      <c r="N4423" s="2"/>
      <c r="O4423" s="2"/>
      <c r="P4423" s="2"/>
      <c r="Q4423" s="2"/>
      <c r="R4423" s="2"/>
      <c r="S4423" s="2"/>
      <c r="T4423" s="2"/>
      <c r="U4423" s="2"/>
      <c r="V4423" s="2"/>
      <c r="W4423" s="2"/>
    </row>
    <row r="4424" spans="1:23" x14ac:dyDescent="0.25">
      <c r="A4424" s="2"/>
      <c r="B4424" s="2"/>
      <c r="C4424" s="1"/>
      <c r="D4424" s="2"/>
      <c r="E4424" s="2"/>
      <c r="F4424" s="2"/>
      <c r="G4424" s="2"/>
      <c r="H4424" s="2"/>
      <c r="I4424" s="2"/>
      <c r="J4424" s="2"/>
      <c r="K4424" s="2"/>
      <c r="L4424" s="2"/>
      <c r="M4424" s="2"/>
      <c r="N4424" s="2"/>
      <c r="O4424" s="2"/>
      <c r="P4424" s="2"/>
      <c r="Q4424" s="2"/>
      <c r="R4424" s="2"/>
      <c r="S4424" s="2"/>
      <c r="T4424" s="2"/>
      <c r="U4424" s="2"/>
      <c r="V4424" s="2"/>
      <c r="W4424" s="2"/>
    </row>
    <row r="4425" spans="1:23" x14ac:dyDescent="0.25">
      <c r="A4425" s="2"/>
      <c r="B4425" s="2"/>
      <c r="C4425" s="1"/>
      <c r="D4425" s="2"/>
      <c r="E4425" s="2"/>
      <c r="F4425" s="2"/>
      <c r="G4425" s="2"/>
      <c r="H4425" s="2"/>
      <c r="I4425" s="2"/>
      <c r="J4425" s="2"/>
      <c r="K4425" s="2"/>
      <c r="L4425" s="2"/>
      <c r="M4425" s="2"/>
      <c r="N4425" s="2"/>
      <c r="O4425" s="2"/>
      <c r="P4425" s="2"/>
      <c r="Q4425" s="2"/>
      <c r="R4425" s="2"/>
      <c r="S4425" s="2"/>
      <c r="T4425" s="2"/>
      <c r="U4425" s="2"/>
      <c r="V4425" s="2"/>
      <c r="W4425" s="2"/>
    </row>
    <row r="4426" spans="1:23" x14ac:dyDescent="0.25">
      <c r="A4426" s="2"/>
      <c r="B4426" s="2"/>
      <c r="C4426" s="1"/>
      <c r="D4426" s="2"/>
      <c r="E4426" s="2"/>
      <c r="F4426" s="2"/>
      <c r="G4426" s="2"/>
      <c r="H4426" s="2"/>
      <c r="I4426" s="2"/>
      <c r="J4426" s="2"/>
      <c r="K4426" s="2"/>
      <c r="L4426" s="2"/>
      <c r="M4426" s="2"/>
      <c r="N4426" s="2"/>
      <c r="O4426" s="2"/>
      <c r="P4426" s="2"/>
      <c r="Q4426" s="2"/>
      <c r="R4426" s="2"/>
      <c r="S4426" s="2"/>
      <c r="T4426" s="2"/>
      <c r="U4426" s="2"/>
      <c r="V4426" s="2"/>
      <c r="W4426" s="2"/>
    </row>
    <row r="4427" spans="1:23" x14ac:dyDescent="0.25">
      <c r="A4427" s="2"/>
      <c r="B4427" s="2"/>
      <c r="C4427" s="1"/>
      <c r="D4427" s="2"/>
      <c r="E4427" s="2"/>
      <c r="F4427" s="2"/>
      <c r="G4427" s="2"/>
      <c r="H4427" s="2"/>
      <c r="I4427" s="2"/>
      <c r="J4427" s="2"/>
      <c r="K4427" s="2"/>
      <c r="L4427" s="2"/>
      <c r="M4427" s="2"/>
      <c r="N4427" s="2"/>
      <c r="O4427" s="2"/>
      <c r="P4427" s="2"/>
      <c r="Q4427" s="2"/>
      <c r="R4427" s="2"/>
      <c r="S4427" s="2"/>
      <c r="T4427" s="2"/>
      <c r="U4427" s="2"/>
      <c r="V4427" s="2"/>
      <c r="W4427" s="2"/>
    </row>
    <row r="4428" spans="1:23" x14ac:dyDescent="0.25">
      <c r="A4428" s="2"/>
      <c r="B4428" s="2"/>
      <c r="C4428" s="1"/>
      <c r="D4428" s="2"/>
      <c r="E4428" s="2"/>
      <c r="F4428" s="2"/>
      <c r="G4428" s="2"/>
      <c r="H4428" s="2"/>
      <c r="I4428" s="2"/>
      <c r="J4428" s="2"/>
      <c r="K4428" s="2"/>
      <c r="L4428" s="2"/>
      <c r="M4428" s="2"/>
      <c r="N4428" s="2"/>
      <c r="O4428" s="2"/>
      <c r="P4428" s="2"/>
      <c r="Q4428" s="2"/>
      <c r="R4428" s="2"/>
      <c r="S4428" s="2"/>
      <c r="T4428" s="2"/>
      <c r="U4428" s="2"/>
      <c r="V4428" s="2"/>
      <c r="W4428" s="2"/>
    </row>
    <row r="4429" spans="1:23" x14ac:dyDescent="0.25">
      <c r="A4429" s="2"/>
      <c r="B4429" s="2"/>
      <c r="C4429" s="1"/>
      <c r="D4429" s="2"/>
      <c r="E4429" s="2"/>
      <c r="F4429" s="2"/>
      <c r="G4429" s="2"/>
      <c r="H4429" s="2"/>
      <c r="I4429" s="2"/>
      <c r="J4429" s="2"/>
      <c r="K4429" s="2"/>
      <c r="L4429" s="2"/>
      <c r="M4429" s="2"/>
      <c r="N4429" s="2"/>
      <c r="O4429" s="2"/>
      <c r="P4429" s="2"/>
      <c r="Q4429" s="2"/>
      <c r="R4429" s="2"/>
      <c r="S4429" s="2"/>
      <c r="T4429" s="2"/>
      <c r="U4429" s="2"/>
      <c r="V4429" s="2"/>
      <c r="W4429" s="2"/>
    </row>
    <row r="4430" spans="1:23" x14ac:dyDescent="0.25">
      <c r="A4430" s="2"/>
      <c r="B4430" s="2"/>
      <c r="C4430" s="1"/>
      <c r="D4430" s="2"/>
      <c r="E4430" s="2"/>
      <c r="F4430" s="2"/>
      <c r="G4430" s="2"/>
      <c r="H4430" s="2"/>
      <c r="I4430" s="2"/>
      <c r="J4430" s="2"/>
      <c r="K4430" s="2"/>
      <c r="L4430" s="2"/>
      <c r="M4430" s="2"/>
      <c r="N4430" s="2"/>
      <c r="O4430" s="2"/>
      <c r="P4430" s="2"/>
      <c r="Q4430" s="2"/>
      <c r="R4430" s="2"/>
      <c r="S4430" s="2"/>
      <c r="T4430" s="2"/>
      <c r="U4430" s="2"/>
      <c r="V4430" s="2"/>
      <c r="W4430" s="2"/>
    </row>
    <row r="4431" spans="1:23" x14ac:dyDescent="0.25">
      <c r="A4431" s="2"/>
      <c r="B4431" s="2"/>
      <c r="C4431" s="1"/>
      <c r="D4431" s="2"/>
      <c r="E4431" s="2"/>
      <c r="F4431" s="2"/>
      <c r="G4431" s="2"/>
      <c r="H4431" s="2"/>
      <c r="I4431" s="2"/>
      <c r="J4431" s="2"/>
      <c r="K4431" s="2"/>
      <c r="L4431" s="2"/>
      <c r="M4431" s="2"/>
      <c r="N4431" s="2"/>
      <c r="O4431" s="2"/>
      <c r="P4431" s="2"/>
      <c r="Q4431" s="2"/>
      <c r="R4431" s="2"/>
      <c r="S4431" s="2"/>
      <c r="T4431" s="2"/>
      <c r="U4431" s="2"/>
      <c r="V4431" s="2"/>
      <c r="W4431" s="2"/>
    </row>
    <row r="4432" spans="1:23" x14ac:dyDescent="0.25">
      <c r="A4432" s="2"/>
      <c r="B4432" s="2"/>
      <c r="C4432" s="1"/>
      <c r="D4432" s="2"/>
      <c r="E4432" s="2"/>
      <c r="F4432" s="2"/>
      <c r="G4432" s="2"/>
      <c r="H4432" s="2"/>
      <c r="I4432" s="2"/>
      <c r="J4432" s="2"/>
      <c r="K4432" s="2"/>
      <c r="L4432" s="2"/>
      <c r="M4432" s="2"/>
      <c r="N4432" s="2"/>
      <c r="O4432" s="2"/>
      <c r="P4432" s="2"/>
      <c r="Q4432" s="2"/>
      <c r="R4432" s="2"/>
      <c r="S4432" s="2"/>
      <c r="T4432" s="2"/>
      <c r="U4432" s="2"/>
      <c r="V4432" s="2"/>
      <c r="W4432" s="2"/>
    </row>
    <row r="4433" spans="1:23" x14ac:dyDescent="0.25">
      <c r="A4433" s="2"/>
      <c r="B4433" s="2"/>
      <c r="C4433" s="1"/>
      <c r="D4433" s="2"/>
      <c r="E4433" s="2"/>
      <c r="F4433" s="2"/>
      <c r="G4433" s="2"/>
      <c r="H4433" s="2"/>
      <c r="I4433" s="2"/>
      <c r="J4433" s="2"/>
      <c r="K4433" s="2"/>
      <c r="L4433" s="2"/>
      <c r="M4433" s="2"/>
      <c r="N4433" s="2"/>
      <c r="O4433" s="2"/>
      <c r="P4433" s="2"/>
      <c r="Q4433" s="2"/>
      <c r="R4433" s="2"/>
      <c r="S4433" s="2"/>
      <c r="T4433" s="2"/>
      <c r="U4433" s="2"/>
      <c r="V4433" s="2"/>
      <c r="W4433" s="2"/>
    </row>
    <row r="4434" spans="1:23" x14ac:dyDescent="0.25">
      <c r="A4434" s="2"/>
      <c r="B4434" s="2"/>
      <c r="C4434" s="1"/>
      <c r="D4434" s="2"/>
      <c r="E4434" s="2"/>
      <c r="F4434" s="2"/>
      <c r="G4434" s="2"/>
      <c r="H4434" s="2"/>
      <c r="I4434" s="2"/>
      <c r="J4434" s="2"/>
      <c r="K4434" s="2"/>
      <c r="L4434" s="2"/>
      <c r="M4434" s="2"/>
      <c r="N4434" s="2"/>
      <c r="O4434" s="2"/>
      <c r="P4434" s="2"/>
      <c r="Q4434" s="2"/>
      <c r="R4434" s="2"/>
      <c r="S4434" s="2"/>
      <c r="T4434" s="2"/>
      <c r="U4434" s="2"/>
      <c r="V4434" s="2"/>
      <c r="W4434" s="2"/>
    </row>
    <row r="4435" spans="1:23" x14ac:dyDescent="0.25">
      <c r="A4435" s="2"/>
      <c r="B4435" s="2"/>
      <c r="C4435" s="1"/>
      <c r="D4435" s="2"/>
      <c r="E4435" s="2"/>
      <c r="F4435" s="2"/>
      <c r="G4435" s="2"/>
      <c r="H4435" s="2"/>
      <c r="I4435" s="2"/>
      <c r="J4435" s="2"/>
      <c r="K4435" s="2"/>
      <c r="L4435" s="2"/>
      <c r="M4435" s="2"/>
      <c r="N4435" s="2"/>
      <c r="O4435" s="2"/>
      <c r="P4435" s="2"/>
      <c r="Q4435" s="2"/>
      <c r="R4435" s="2"/>
      <c r="S4435" s="2"/>
      <c r="T4435" s="2"/>
      <c r="U4435" s="2"/>
      <c r="V4435" s="2"/>
      <c r="W4435" s="2"/>
    </row>
    <row r="4436" spans="1:23" x14ac:dyDescent="0.25">
      <c r="A4436" s="2"/>
      <c r="B4436" s="2"/>
      <c r="C4436" s="1"/>
      <c r="D4436" s="2"/>
      <c r="E4436" s="2"/>
      <c r="F4436" s="2"/>
      <c r="G4436" s="2"/>
      <c r="H4436" s="2"/>
      <c r="I4436" s="2"/>
      <c r="J4436" s="2"/>
      <c r="K4436" s="2"/>
      <c r="L4436" s="2"/>
      <c r="M4436" s="2"/>
      <c r="N4436" s="2"/>
      <c r="O4436" s="2"/>
      <c r="P4436" s="2"/>
      <c r="Q4436" s="2"/>
      <c r="R4436" s="2"/>
      <c r="S4436" s="2"/>
      <c r="T4436" s="2"/>
      <c r="U4436" s="2"/>
      <c r="V4436" s="2"/>
      <c r="W4436" s="2"/>
    </row>
    <row r="4437" spans="1:23" x14ac:dyDescent="0.25">
      <c r="A4437" s="2"/>
      <c r="B4437" s="2"/>
      <c r="C4437" s="1"/>
      <c r="D4437" s="2"/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/>
      <c r="P4437" s="2"/>
      <c r="Q4437" s="2"/>
      <c r="R4437" s="2"/>
      <c r="S4437" s="2"/>
      <c r="T4437" s="2"/>
      <c r="U4437" s="2"/>
      <c r="V4437" s="2"/>
      <c r="W4437" s="2"/>
    </row>
    <row r="4438" spans="1:23" x14ac:dyDescent="0.25">
      <c r="A4438" s="2"/>
      <c r="B4438" s="2"/>
      <c r="C4438" s="1"/>
      <c r="D4438" s="2"/>
      <c r="E4438" s="2"/>
      <c r="F4438" s="2"/>
      <c r="G4438" s="2"/>
      <c r="H4438" s="2"/>
      <c r="I4438" s="2"/>
      <c r="J4438" s="2"/>
      <c r="K4438" s="2"/>
      <c r="L4438" s="2"/>
      <c r="M4438" s="2"/>
      <c r="N4438" s="2"/>
      <c r="O4438" s="2"/>
      <c r="P4438" s="2"/>
      <c r="Q4438" s="2"/>
      <c r="R4438" s="2"/>
      <c r="S4438" s="2"/>
      <c r="T4438" s="2"/>
      <c r="U4438" s="2"/>
      <c r="V4438" s="2"/>
      <c r="W4438" s="2"/>
    </row>
    <row r="4439" spans="1:23" x14ac:dyDescent="0.25">
      <c r="A4439" s="2"/>
      <c r="B4439" s="2"/>
      <c r="C4439" s="1"/>
      <c r="D4439" s="2"/>
      <c r="E4439" s="2"/>
      <c r="F4439" s="2"/>
      <c r="G4439" s="2"/>
      <c r="H4439" s="2"/>
      <c r="I4439" s="2"/>
      <c r="J4439" s="2"/>
      <c r="K4439" s="2"/>
      <c r="L4439" s="2"/>
      <c r="M4439" s="2"/>
      <c r="N4439" s="2"/>
      <c r="O4439" s="2"/>
      <c r="P4439" s="2"/>
      <c r="Q4439" s="2"/>
      <c r="R4439" s="2"/>
      <c r="S4439" s="2"/>
      <c r="T4439" s="2"/>
      <c r="U4439" s="2"/>
      <c r="V4439" s="2"/>
      <c r="W4439" s="2"/>
    </row>
    <row r="4440" spans="1:23" x14ac:dyDescent="0.25">
      <c r="A4440" s="2"/>
      <c r="B4440" s="2"/>
      <c r="C4440" s="1"/>
      <c r="D4440" s="2"/>
      <c r="E4440" s="2"/>
      <c r="F4440" s="2"/>
      <c r="G4440" s="2"/>
      <c r="H4440" s="2"/>
      <c r="I4440" s="2"/>
      <c r="J4440" s="2"/>
      <c r="K4440" s="2"/>
      <c r="L4440" s="2"/>
      <c r="M4440" s="2"/>
      <c r="N4440" s="2"/>
      <c r="O4440" s="2"/>
      <c r="P4440" s="2"/>
      <c r="Q4440" s="2"/>
      <c r="R4440" s="2"/>
      <c r="S4440" s="2"/>
      <c r="T4440" s="2"/>
      <c r="U4440" s="2"/>
      <c r="V4440" s="2"/>
      <c r="W4440" s="2"/>
    </row>
    <row r="4441" spans="1:23" x14ac:dyDescent="0.25">
      <c r="A4441" s="2"/>
      <c r="B4441" s="2"/>
      <c r="C4441" s="1"/>
      <c r="D4441" s="2"/>
      <c r="E4441" s="2"/>
      <c r="F4441" s="2"/>
      <c r="G4441" s="2"/>
      <c r="H4441" s="2"/>
      <c r="I4441" s="2"/>
      <c r="J4441" s="2"/>
      <c r="K4441" s="2"/>
      <c r="L4441" s="2"/>
      <c r="M4441" s="2"/>
      <c r="N4441" s="2"/>
      <c r="O4441" s="2"/>
      <c r="P4441" s="2"/>
      <c r="Q4441" s="2"/>
      <c r="R4441" s="2"/>
      <c r="S4441" s="2"/>
      <c r="T4441" s="2"/>
      <c r="U4441" s="2"/>
      <c r="V4441" s="2"/>
      <c r="W4441" s="2"/>
    </row>
    <row r="4442" spans="1:23" x14ac:dyDescent="0.25">
      <c r="A4442" s="2"/>
      <c r="B4442" s="2"/>
      <c r="C4442" s="1"/>
      <c r="D4442" s="2"/>
      <c r="E4442" s="2"/>
      <c r="F4442" s="2"/>
      <c r="G4442" s="2"/>
      <c r="H4442" s="2"/>
      <c r="I4442" s="2"/>
      <c r="J4442" s="2"/>
      <c r="K4442" s="2"/>
      <c r="L4442" s="2"/>
      <c r="M4442" s="2"/>
      <c r="N4442" s="2"/>
      <c r="O4442" s="2"/>
      <c r="P4442" s="2"/>
      <c r="Q4442" s="2"/>
      <c r="R4442" s="2"/>
      <c r="S4442" s="2"/>
      <c r="T4442" s="2"/>
      <c r="U4442" s="2"/>
      <c r="V4442" s="2"/>
      <c r="W4442" s="2"/>
    </row>
    <row r="4443" spans="1:23" x14ac:dyDescent="0.25">
      <c r="A4443" s="2"/>
      <c r="B4443" s="2"/>
      <c r="C4443" s="1"/>
      <c r="D4443" s="2"/>
      <c r="E4443" s="2"/>
      <c r="F4443" s="2"/>
      <c r="G4443" s="2"/>
      <c r="H4443" s="2"/>
      <c r="I4443" s="2"/>
      <c r="J4443" s="2"/>
      <c r="K4443" s="2"/>
      <c r="L4443" s="2"/>
      <c r="M4443" s="2"/>
      <c r="N4443" s="2"/>
      <c r="O4443" s="2"/>
      <c r="P4443" s="2"/>
      <c r="Q4443" s="2"/>
      <c r="R4443" s="2"/>
      <c r="S4443" s="2"/>
      <c r="T4443" s="2"/>
      <c r="U4443" s="2"/>
      <c r="V4443" s="2"/>
      <c r="W4443" s="2"/>
    </row>
    <row r="4444" spans="1:23" x14ac:dyDescent="0.25">
      <c r="A4444" s="2"/>
      <c r="B4444" s="2"/>
      <c r="C4444" s="1"/>
      <c r="D4444" s="2"/>
      <c r="E4444" s="2"/>
      <c r="F4444" s="2"/>
      <c r="G4444" s="2"/>
      <c r="H4444" s="2"/>
      <c r="I4444" s="2"/>
      <c r="J4444" s="2"/>
      <c r="K4444" s="2"/>
      <c r="L4444" s="2"/>
      <c r="M4444" s="2"/>
      <c r="N4444" s="2"/>
      <c r="O4444" s="2"/>
      <c r="P4444" s="2"/>
      <c r="Q4444" s="2"/>
      <c r="R4444" s="2"/>
      <c r="S4444" s="2"/>
      <c r="T4444" s="2"/>
      <c r="U4444" s="2"/>
      <c r="V4444" s="2"/>
      <c r="W4444" s="2"/>
    </row>
    <row r="4445" spans="1:23" x14ac:dyDescent="0.25">
      <c r="A4445" s="2"/>
      <c r="B4445" s="2"/>
      <c r="C4445" s="1"/>
      <c r="D4445" s="2"/>
      <c r="E4445" s="2"/>
      <c r="F4445" s="2"/>
      <c r="G4445" s="2"/>
      <c r="H4445" s="2"/>
      <c r="I4445" s="2"/>
      <c r="J4445" s="2"/>
      <c r="K4445" s="2"/>
      <c r="L4445" s="2"/>
      <c r="M4445" s="2"/>
      <c r="N4445" s="2"/>
      <c r="O4445" s="2"/>
      <c r="P4445" s="2"/>
      <c r="Q4445" s="2"/>
      <c r="R4445" s="2"/>
      <c r="S4445" s="2"/>
      <c r="T4445" s="2"/>
      <c r="U4445" s="2"/>
      <c r="V4445" s="2"/>
      <c r="W4445" s="2"/>
    </row>
    <row r="4446" spans="1:23" x14ac:dyDescent="0.25">
      <c r="A4446" s="2"/>
      <c r="B4446" s="2"/>
      <c r="C4446" s="1"/>
      <c r="D4446" s="2"/>
      <c r="E4446" s="2"/>
      <c r="F4446" s="2"/>
      <c r="G4446" s="2"/>
      <c r="H4446" s="2"/>
      <c r="I4446" s="2"/>
      <c r="J4446" s="2"/>
      <c r="K4446" s="2"/>
      <c r="L4446" s="2"/>
      <c r="M4446" s="2"/>
      <c r="N4446" s="2"/>
      <c r="O4446" s="2"/>
      <c r="P4446" s="2"/>
      <c r="Q4446" s="2"/>
      <c r="R4446" s="2"/>
      <c r="S4446" s="2"/>
      <c r="T4446" s="2"/>
      <c r="U4446" s="2"/>
      <c r="V4446" s="2"/>
      <c r="W4446" s="2"/>
    </row>
    <row r="4447" spans="1:23" x14ac:dyDescent="0.25">
      <c r="A4447" s="2"/>
      <c r="B4447" s="2"/>
      <c r="C4447" s="1"/>
      <c r="D4447" s="2"/>
      <c r="E4447" s="2"/>
      <c r="F4447" s="2"/>
      <c r="G4447" s="2"/>
      <c r="H4447" s="2"/>
      <c r="I4447" s="2"/>
      <c r="J4447" s="2"/>
      <c r="K4447" s="2"/>
      <c r="L4447" s="2"/>
      <c r="M4447" s="2"/>
      <c r="N4447" s="2"/>
      <c r="O4447" s="2"/>
      <c r="P4447" s="2"/>
      <c r="Q4447" s="2"/>
      <c r="R4447" s="2"/>
      <c r="S4447" s="2"/>
      <c r="T4447" s="2"/>
      <c r="U4447" s="2"/>
      <c r="V4447" s="2"/>
      <c r="W4447" s="2"/>
    </row>
    <row r="4448" spans="1:23" x14ac:dyDescent="0.25">
      <c r="A4448" s="2"/>
      <c r="B4448" s="2"/>
      <c r="C4448" s="1"/>
      <c r="D4448" s="2"/>
      <c r="E4448" s="2"/>
      <c r="F4448" s="2"/>
      <c r="G4448" s="2"/>
      <c r="H4448" s="2"/>
      <c r="I4448" s="2"/>
      <c r="J4448" s="2"/>
      <c r="K4448" s="2"/>
      <c r="L4448" s="2"/>
      <c r="M4448" s="2"/>
      <c r="N4448" s="2"/>
      <c r="O4448" s="2"/>
      <c r="P4448" s="2"/>
      <c r="Q4448" s="2"/>
      <c r="R4448" s="2"/>
      <c r="S4448" s="2"/>
      <c r="T4448" s="2"/>
      <c r="U4448" s="2"/>
      <c r="V4448" s="2"/>
      <c r="W4448" s="2"/>
    </row>
    <row r="4449" spans="1:23" x14ac:dyDescent="0.25">
      <c r="A4449" s="2"/>
      <c r="B4449" s="2"/>
      <c r="C4449" s="1"/>
      <c r="D4449" s="2"/>
      <c r="E4449" s="2"/>
      <c r="F4449" s="2"/>
      <c r="G4449" s="2"/>
      <c r="H4449" s="2"/>
      <c r="I4449" s="2"/>
      <c r="J4449" s="2"/>
      <c r="K4449" s="2"/>
      <c r="L4449" s="2"/>
      <c r="M4449" s="2"/>
      <c r="N4449" s="2"/>
      <c r="O4449" s="2"/>
      <c r="P4449" s="2"/>
      <c r="Q4449" s="2"/>
      <c r="R4449" s="2"/>
      <c r="S4449" s="2"/>
      <c r="T4449" s="2"/>
      <c r="U4449" s="2"/>
      <c r="V4449" s="2"/>
      <c r="W4449" s="2"/>
    </row>
    <row r="4450" spans="1:23" x14ac:dyDescent="0.25">
      <c r="A4450" s="2"/>
      <c r="B4450" s="2"/>
      <c r="C4450" s="1"/>
      <c r="D4450" s="2"/>
      <c r="E4450" s="2"/>
      <c r="F4450" s="2"/>
      <c r="G4450" s="2"/>
      <c r="H4450" s="2"/>
      <c r="I4450" s="2"/>
      <c r="J4450" s="2"/>
      <c r="K4450" s="2"/>
      <c r="L4450" s="2"/>
      <c r="M4450" s="2"/>
      <c r="N4450" s="2"/>
      <c r="O4450" s="2"/>
      <c r="P4450" s="2"/>
      <c r="Q4450" s="2"/>
      <c r="R4450" s="2"/>
      <c r="S4450" s="2"/>
      <c r="T4450" s="2"/>
      <c r="U4450" s="2"/>
      <c r="V4450" s="2"/>
      <c r="W4450" s="2"/>
    </row>
    <row r="4451" spans="1:23" x14ac:dyDescent="0.25">
      <c r="A4451" s="2"/>
      <c r="B4451" s="2"/>
      <c r="C4451" s="1"/>
      <c r="D4451" s="2"/>
      <c r="E4451" s="2"/>
      <c r="F4451" s="2"/>
      <c r="G4451" s="2"/>
      <c r="H4451" s="2"/>
      <c r="I4451" s="2"/>
      <c r="J4451" s="2"/>
      <c r="K4451" s="2"/>
      <c r="L4451" s="2"/>
      <c r="M4451" s="2"/>
      <c r="N4451" s="2"/>
      <c r="O4451" s="2"/>
      <c r="P4451" s="2"/>
      <c r="Q4451" s="2"/>
      <c r="R4451" s="2"/>
      <c r="S4451" s="2"/>
      <c r="T4451" s="2"/>
      <c r="U4451" s="2"/>
      <c r="V4451" s="2"/>
      <c r="W4451" s="2"/>
    </row>
    <row r="4452" spans="1:23" x14ac:dyDescent="0.25">
      <c r="A4452" s="2"/>
      <c r="B4452" s="2"/>
      <c r="C4452" s="1"/>
      <c r="D4452" s="2"/>
      <c r="E4452" s="2"/>
      <c r="F4452" s="2"/>
      <c r="G4452" s="2"/>
      <c r="H4452" s="2"/>
      <c r="I4452" s="2"/>
      <c r="J4452" s="2"/>
      <c r="K4452" s="2"/>
      <c r="L4452" s="2"/>
      <c r="M4452" s="2"/>
      <c r="N4452" s="2"/>
      <c r="O4452" s="2"/>
      <c r="P4452" s="2"/>
      <c r="Q4452" s="2"/>
      <c r="R4452" s="2"/>
      <c r="S4452" s="2"/>
      <c r="T4452" s="2"/>
      <c r="U4452" s="2"/>
      <c r="V4452" s="2"/>
      <c r="W4452" s="2"/>
    </row>
    <row r="4453" spans="1:23" x14ac:dyDescent="0.25">
      <c r="A4453" s="2"/>
      <c r="B4453" s="2"/>
      <c r="C4453" s="1"/>
      <c r="D4453" s="2"/>
      <c r="E4453" s="2"/>
      <c r="F4453" s="2"/>
      <c r="G4453" s="2"/>
      <c r="H4453" s="2"/>
      <c r="I4453" s="2"/>
      <c r="J4453" s="2"/>
      <c r="K4453" s="2"/>
      <c r="L4453" s="2"/>
      <c r="M4453" s="2"/>
      <c r="N4453" s="2"/>
      <c r="O4453" s="2"/>
      <c r="P4453" s="2"/>
      <c r="Q4453" s="2"/>
      <c r="R4453" s="2"/>
      <c r="S4453" s="2"/>
      <c r="T4453" s="2"/>
      <c r="U4453" s="2"/>
      <c r="V4453" s="2"/>
      <c r="W4453" s="2"/>
    </row>
    <row r="4454" spans="1:23" x14ac:dyDescent="0.25">
      <c r="A4454" s="2"/>
      <c r="B4454" s="2"/>
      <c r="C4454" s="1"/>
      <c r="D4454" s="2"/>
      <c r="E4454" s="2"/>
      <c r="F4454" s="2"/>
      <c r="G4454" s="2"/>
      <c r="H4454" s="2"/>
      <c r="I4454" s="2"/>
      <c r="J4454" s="2"/>
      <c r="K4454" s="2"/>
      <c r="L4454" s="2"/>
      <c r="M4454" s="2"/>
      <c r="N4454" s="2"/>
      <c r="O4454" s="2"/>
      <c r="P4454" s="2"/>
      <c r="Q4454" s="2"/>
      <c r="R4454" s="2"/>
      <c r="S4454" s="2"/>
      <c r="T4454" s="2"/>
      <c r="U4454" s="2"/>
      <c r="V4454" s="2"/>
      <c r="W4454" s="2"/>
    </row>
    <row r="4455" spans="1:23" x14ac:dyDescent="0.25">
      <c r="A4455" s="2"/>
      <c r="B4455" s="2"/>
      <c r="C4455" s="1"/>
      <c r="D4455" s="2"/>
      <c r="E4455" s="2"/>
      <c r="F4455" s="2"/>
      <c r="G4455" s="2"/>
      <c r="H4455" s="2"/>
      <c r="I4455" s="2"/>
      <c r="J4455" s="2"/>
      <c r="K4455" s="2"/>
      <c r="L4455" s="2"/>
      <c r="M4455" s="2"/>
      <c r="N4455" s="2"/>
      <c r="O4455" s="2"/>
      <c r="P4455" s="2"/>
      <c r="Q4455" s="2"/>
      <c r="R4455" s="2"/>
      <c r="S4455" s="2"/>
      <c r="T4455" s="2"/>
      <c r="U4455" s="2"/>
      <c r="V4455" s="2"/>
      <c r="W4455" s="2"/>
    </row>
    <row r="4456" spans="1:23" x14ac:dyDescent="0.25">
      <c r="A4456" s="2"/>
      <c r="B4456" s="2"/>
      <c r="C4456" s="1"/>
      <c r="D4456" s="2"/>
      <c r="E4456" s="2"/>
      <c r="F4456" s="2"/>
      <c r="G4456" s="2"/>
      <c r="H4456" s="2"/>
      <c r="I4456" s="2"/>
      <c r="J4456" s="2"/>
      <c r="K4456" s="2"/>
      <c r="L4456" s="2"/>
      <c r="M4456" s="2"/>
      <c r="N4456" s="2"/>
      <c r="O4456" s="2"/>
      <c r="P4456" s="2"/>
      <c r="Q4456" s="2"/>
      <c r="R4456" s="2"/>
      <c r="S4456" s="2"/>
      <c r="T4456" s="2"/>
      <c r="U4456" s="2"/>
      <c r="V4456" s="2"/>
      <c r="W4456" s="2"/>
    </row>
    <row r="4457" spans="1:23" x14ac:dyDescent="0.25">
      <c r="A4457" s="2"/>
      <c r="B4457" s="2"/>
      <c r="C4457" s="1"/>
      <c r="D4457" s="2"/>
      <c r="E4457" s="2"/>
      <c r="F4457" s="2"/>
      <c r="G4457" s="2"/>
      <c r="H4457" s="2"/>
      <c r="I4457" s="2"/>
      <c r="J4457" s="2"/>
      <c r="K4457" s="2"/>
      <c r="L4457" s="2"/>
      <c r="M4457" s="2"/>
      <c r="N4457" s="2"/>
      <c r="O4457" s="2"/>
      <c r="P4457" s="2"/>
      <c r="Q4457" s="2"/>
      <c r="R4457" s="2"/>
      <c r="S4457" s="2"/>
      <c r="T4457" s="2"/>
      <c r="U4457" s="2"/>
      <c r="V4457" s="2"/>
      <c r="W4457" s="2"/>
    </row>
    <row r="4458" spans="1:23" x14ac:dyDescent="0.25">
      <c r="A4458" s="2"/>
      <c r="B4458" s="2"/>
      <c r="C4458" s="1"/>
      <c r="D4458" s="2"/>
      <c r="E4458" s="2"/>
      <c r="F4458" s="2"/>
      <c r="G4458" s="2"/>
      <c r="H4458" s="2"/>
      <c r="I4458" s="2"/>
      <c r="J4458" s="2"/>
      <c r="K4458" s="2"/>
      <c r="L4458" s="2"/>
      <c r="M4458" s="2"/>
      <c r="N4458" s="2"/>
      <c r="O4458" s="2"/>
      <c r="P4458" s="2"/>
      <c r="Q4458" s="2"/>
      <c r="R4458" s="2"/>
      <c r="S4458" s="2"/>
      <c r="T4458" s="2"/>
      <c r="U4458" s="2"/>
      <c r="V4458" s="2"/>
      <c r="W4458" s="2"/>
    </row>
    <row r="4459" spans="1:23" x14ac:dyDescent="0.25">
      <c r="A4459" s="2"/>
      <c r="B4459" s="2"/>
      <c r="C4459" s="1"/>
      <c r="D4459" s="2"/>
      <c r="E4459" s="2"/>
      <c r="F4459" s="2"/>
      <c r="G4459" s="2"/>
      <c r="H4459" s="2"/>
      <c r="I4459" s="2"/>
      <c r="J4459" s="2"/>
      <c r="K4459" s="2"/>
      <c r="L4459" s="2"/>
      <c r="M4459" s="2"/>
      <c r="N4459" s="2"/>
      <c r="O4459" s="2"/>
      <c r="P4459" s="2"/>
      <c r="Q4459" s="2"/>
      <c r="R4459" s="2"/>
      <c r="S4459" s="2"/>
      <c r="T4459" s="2"/>
      <c r="U4459" s="2"/>
      <c r="V4459" s="2"/>
      <c r="W4459" s="2"/>
    </row>
    <row r="4460" spans="1:23" x14ac:dyDescent="0.25">
      <c r="A4460" s="2"/>
      <c r="B4460" s="2"/>
      <c r="C4460" s="1"/>
      <c r="D4460" s="2"/>
      <c r="E4460" s="2"/>
      <c r="F4460" s="2"/>
      <c r="G4460" s="2"/>
      <c r="H4460" s="2"/>
      <c r="I4460" s="2"/>
      <c r="J4460" s="2"/>
      <c r="K4460" s="2"/>
      <c r="L4460" s="2"/>
      <c r="M4460" s="2"/>
      <c r="N4460" s="2"/>
      <c r="O4460" s="2"/>
      <c r="P4460" s="2"/>
      <c r="Q4460" s="2"/>
      <c r="R4460" s="2"/>
      <c r="S4460" s="2"/>
      <c r="T4460" s="2"/>
      <c r="U4460" s="2"/>
      <c r="V4460" s="2"/>
      <c r="W4460" s="2"/>
    </row>
    <row r="4461" spans="1:23" x14ac:dyDescent="0.25">
      <c r="A4461" s="2"/>
      <c r="B4461" s="2"/>
      <c r="C4461" s="1"/>
      <c r="D4461" s="2"/>
      <c r="E4461" s="2"/>
      <c r="F4461" s="2"/>
      <c r="G4461" s="2"/>
      <c r="H4461" s="2"/>
      <c r="I4461" s="2"/>
      <c r="J4461" s="2"/>
      <c r="K4461" s="2"/>
      <c r="L4461" s="2"/>
      <c r="M4461" s="2"/>
      <c r="N4461" s="2"/>
      <c r="O4461" s="2"/>
      <c r="P4461" s="2"/>
      <c r="Q4461" s="2"/>
      <c r="R4461" s="2"/>
      <c r="S4461" s="2"/>
      <c r="T4461" s="2"/>
      <c r="U4461" s="2"/>
      <c r="V4461" s="2"/>
      <c r="W4461" s="2"/>
    </row>
    <row r="4462" spans="1:23" x14ac:dyDescent="0.25">
      <c r="A4462" s="2"/>
      <c r="B4462" s="2"/>
      <c r="C4462" s="1"/>
      <c r="D4462" s="2"/>
      <c r="E4462" s="2"/>
      <c r="F4462" s="2"/>
      <c r="G4462" s="2"/>
      <c r="H4462" s="2"/>
      <c r="I4462" s="2"/>
      <c r="J4462" s="2"/>
      <c r="K4462" s="2"/>
      <c r="L4462" s="2"/>
      <c r="M4462" s="2"/>
      <c r="N4462" s="2"/>
      <c r="O4462" s="2"/>
      <c r="P4462" s="2"/>
      <c r="Q4462" s="2"/>
      <c r="R4462" s="2"/>
      <c r="S4462" s="2"/>
      <c r="T4462" s="2"/>
      <c r="U4462" s="2"/>
      <c r="V4462" s="2"/>
      <c r="W4462" s="2"/>
    </row>
    <row r="4463" spans="1:23" x14ac:dyDescent="0.25">
      <c r="A4463" s="2"/>
      <c r="B4463" s="2"/>
      <c r="C4463" s="1"/>
      <c r="D4463" s="2"/>
      <c r="E4463" s="2"/>
      <c r="F4463" s="2"/>
      <c r="G4463" s="2"/>
      <c r="H4463" s="2"/>
      <c r="I4463" s="2"/>
      <c r="J4463" s="2"/>
      <c r="K4463" s="2"/>
      <c r="L4463" s="2"/>
      <c r="M4463" s="2"/>
      <c r="N4463" s="2"/>
      <c r="O4463" s="2"/>
      <c r="P4463" s="2"/>
      <c r="Q4463" s="2"/>
      <c r="R4463" s="2"/>
      <c r="S4463" s="2"/>
      <c r="T4463" s="2"/>
      <c r="U4463" s="2"/>
      <c r="V4463" s="2"/>
      <c r="W4463" s="2"/>
    </row>
    <row r="4464" spans="1:23" x14ac:dyDescent="0.25">
      <c r="A4464" s="2"/>
      <c r="B4464" s="2"/>
      <c r="C4464" s="1"/>
      <c r="D4464" s="2"/>
      <c r="E4464" s="2"/>
      <c r="F4464" s="2"/>
      <c r="G4464" s="2"/>
      <c r="H4464" s="2"/>
      <c r="I4464" s="2"/>
      <c r="J4464" s="2"/>
      <c r="K4464" s="2"/>
      <c r="L4464" s="2"/>
      <c r="M4464" s="2"/>
      <c r="N4464" s="2"/>
      <c r="O4464" s="2"/>
      <c r="P4464" s="2"/>
      <c r="Q4464" s="2"/>
      <c r="R4464" s="2"/>
      <c r="S4464" s="2"/>
      <c r="T4464" s="2"/>
      <c r="U4464" s="2"/>
      <c r="V4464" s="2"/>
      <c r="W4464" s="2"/>
    </row>
    <row r="4465" spans="1:23" x14ac:dyDescent="0.25">
      <c r="A4465" s="2"/>
      <c r="B4465" s="2"/>
      <c r="C4465" s="1"/>
      <c r="D4465" s="2"/>
      <c r="E4465" s="2"/>
      <c r="F4465" s="2"/>
      <c r="G4465" s="2"/>
      <c r="H4465" s="2"/>
      <c r="I4465" s="2"/>
      <c r="J4465" s="2"/>
      <c r="K4465" s="2"/>
      <c r="L4465" s="2"/>
      <c r="M4465" s="2"/>
      <c r="N4465" s="2"/>
      <c r="O4465" s="2"/>
      <c r="P4465" s="2"/>
      <c r="Q4465" s="2"/>
      <c r="R4465" s="2"/>
      <c r="S4465" s="2"/>
      <c r="T4465" s="2"/>
      <c r="U4465" s="2"/>
      <c r="V4465" s="2"/>
      <c r="W4465" s="2"/>
    </row>
    <row r="4466" spans="1:23" x14ac:dyDescent="0.25">
      <c r="A4466" s="2"/>
      <c r="B4466" s="2"/>
      <c r="C4466" s="1"/>
      <c r="D4466" s="2"/>
      <c r="E4466" s="2"/>
      <c r="F4466" s="2"/>
      <c r="G4466" s="2"/>
      <c r="H4466" s="2"/>
      <c r="I4466" s="2"/>
      <c r="J4466" s="2"/>
      <c r="K4466" s="2"/>
      <c r="L4466" s="2"/>
      <c r="M4466" s="2"/>
      <c r="N4466" s="2"/>
      <c r="O4466" s="2"/>
      <c r="P4466" s="2"/>
      <c r="Q4466" s="2"/>
      <c r="R4466" s="2"/>
      <c r="S4466" s="2"/>
      <c r="T4466" s="2"/>
      <c r="U4466" s="2"/>
      <c r="V4466" s="2"/>
      <c r="W4466" s="2"/>
    </row>
    <row r="4467" spans="1:23" x14ac:dyDescent="0.25">
      <c r="A4467" s="2"/>
      <c r="B4467" s="2"/>
      <c r="C4467" s="1"/>
      <c r="D4467" s="2"/>
      <c r="E4467" s="2"/>
      <c r="F4467" s="2"/>
      <c r="G4467" s="2"/>
      <c r="H4467" s="2"/>
      <c r="I4467" s="2"/>
      <c r="J4467" s="2"/>
      <c r="K4467" s="2"/>
      <c r="L4467" s="2"/>
      <c r="M4467" s="2"/>
      <c r="N4467" s="2"/>
      <c r="O4467" s="2"/>
      <c r="P4467" s="2"/>
      <c r="Q4467" s="2"/>
      <c r="R4467" s="2"/>
      <c r="S4467" s="2"/>
      <c r="T4467" s="2"/>
      <c r="U4467" s="2"/>
      <c r="V4467" s="2"/>
      <c r="W4467" s="2"/>
    </row>
    <row r="4468" spans="1:23" x14ac:dyDescent="0.25">
      <c r="A4468" s="2"/>
      <c r="B4468" s="2"/>
      <c r="C4468" s="1"/>
      <c r="D4468" s="2"/>
      <c r="E4468" s="2"/>
      <c r="F4468" s="2"/>
      <c r="G4468" s="2"/>
      <c r="H4468" s="2"/>
      <c r="I4468" s="2"/>
      <c r="J4468" s="2"/>
      <c r="K4468" s="2"/>
      <c r="L4468" s="2"/>
      <c r="M4468" s="2"/>
      <c r="N4468" s="2"/>
      <c r="O4468" s="2"/>
      <c r="P4468" s="2"/>
      <c r="Q4468" s="2"/>
      <c r="R4468" s="2"/>
      <c r="S4468" s="2"/>
      <c r="T4468" s="2"/>
      <c r="U4468" s="2"/>
      <c r="V4468" s="2"/>
      <c r="W4468" s="2"/>
    </row>
    <row r="4469" spans="1:23" x14ac:dyDescent="0.25">
      <c r="A4469" s="2"/>
      <c r="B4469" s="2"/>
      <c r="C4469" s="1"/>
      <c r="D4469" s="2"/>
      <c r="E4469" s="2"/>
      <c r="F4469" s="2"/>
      <c r="G4469" s="2"/>
      <c r="H4469" s="2"/>
      <c r="I4469" s="2"/>
      <c r="J4469" s="2"/>
      <c r="K4469" s="2"/>
      <c r="L4469" s="2"/>
      <c r="M4469" s="2"/>
      <c r="N4469" s="2"/>
      <c r="O4469" s="2"/>
      <c r="P4469" s="2"/>
      <c r="Q4469" s="2"/>
      <c r="R4469" s="2"/>
      <c r="S4469" s="2"/>
      <c r="T4469" s="2"/>
      <c r="U4469" s="2"/>
      <c r="V4469" s="2"/>
      <c r="W4469" s="2"/>
    </row>
    <row r="4470" spans="1:23" x14ac:dyDescent="0.25">
      <c r="A4470" s="2"/>
      <c r="B4470" s="2"/>
      <c r="C4470" s="1"/>
      <c r="D4470" s="2"/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2"/>
      <c r="Q4470" s="2"/>
      <c r="R4470" s="2"/>
      <c r="S4470" s="2"/>
      <c r="T4470" s="2"/>
      <c r="U4470" s="2"/>
      <c r="V4470" s="2"/>
      <c r="W4470" s="2"/>
    </row>
    <row r="4471" spans="1:23" x14ac:dyDescent="0.25">
      <c r="A4471" s="2"/>
      <c r="B4471" s="2"/>
      <c r="C4471" s="1"/>
      <c r="D4471" s="2"/>
      <c r="E4471" s="2"/>
      <c r="F4471" s="2"/>
      <c r="G4471" s="2"/>
      <c r="H4471" s="2"/>
      <c r="I4471" s="2"/>
      <c r="J4471" s="2"/>
      <c r="K4471" s="2"/>
      <c r="L4471" s="2"/>
      <c r="M4471" s="2"/>
      <c r="N4471" s="2"/>
      <c r="O4471" s="2"/>
      <c r="P4471" s="2"/>
      <c r="Q4471" s="2"/>
      <c r="R4471" s="2"/>
      <c r="S4471" s="2"/>
      <c r="T4471" s="2"/>
      <c r="U4471" s="2"/>
      <c r="V4471" s="2"/>
      <c r="W4471" s="2"/>
    </row>
    <row r="4472" spans="1:23" x14ac:dyDescent="0.25">
      <c r="A4472" s="2"/>
      <c r="B4472" s="2"/>
      <c r="C4472" s="1"/>
      <c r="D4472" s="2"/>
      <c r="E4472" s="2"/>
      <c r="F4472" s="2"/>
      <c r="G4472" s="2"/>
      <c r="H4472" s="2"/>
      <c r="I4472" s="2"/>
      <c r="J4472" s="2"/>
      <c r="K4472" s="2"/>
      <c r="L4472" s="2"/>
      <c r="M4472" s="2"/>
      <c r="N4472" s="2"/>
      <c r="O4472" s="2"/>
      <c r="P4472" s="2"/>
      <c r="Q4472" s="2"/>
      <c r="R4472" s="2"/>
      <c r="S4472" s="2"/>
      <c r="T4472" s="2"/>
      <c r="U4472" s="2"/>
      <c r="V4472" s="2"/>
      <c r="W4472" s="2"/>
    </row>
    <row r="4473" spans="1:23" x14ac:dyDescent="0.25">
      <c r="A4473" s="2"/>
      <c r="B4473" s="2"/>
      <c r="C4473" s="1"/>
      <c r="D4473" s="2"/>
      <c r="E4473" s="2"/>
      <c r="F4473" s="2"/>
      <c r="G4473" s="2"/>
      <c r="H4473" s="2"/>
      <c r="I4473" s="2"/>
      <c r="J4473" s="2"/>
      <c r="K4473" s="2"/>
      <c r="L4473" s="2"/>
      <c r="M4473" s="2"/>
      <c r="N4473" s="2"/>
      <c r="O4473" s="2"/>
      <c r="P4473" s="2"/>
      <c r="Q4473" s="2"/>
      <c r="R4473" s="2"/>
      <c r="S4473" s="2"/>
      <c r="T4473" s="2"/>
      <c r="U4473" s="2"/>
      <c r="V4473" s="2"/>
      <c r="W4473" s="2"/>
    </row>
    <row r="4474" spans="1:23" x14ac:dyDescent="0.25">
      <c r="A4474" s="2"/>
      <c r="B4474" s="2"/>
      <c r="C4474" s="1"/>
      <c r="D4474" s="2"/>
      <c r="E4474" s="2"/>
      <c r="F4474" s="2"/>
      <c r="G4474" s="2"/>
      <c r="H4474" s="2"/>
      <c r="I4474" s="2"/>
      <c r="J4474" s="2"/>
      <c r="K4474" s="2"/>
      <c r="L4474" s="2"/>
      <c r="M4474" s="2"/>
      <c r="N4474" s="2"/>
      <c r="O4474" s="2"/>
      <c r="P4474" s="2"/>
      <c r="Q4474" s="2"/>
      <c r="R4474" s="2"/>
      <c r="S4474" s="2"/>
      <c r="T4474" s="2"/>
      <c r="U4474" s="2"/>
      <c r="V4474" s="2"/>
      <c r="W4474" s="2"/>
    </row>
    <row r="4475" spans="1:23" x14ac:dyDescent="0.25">
      <c r="A4475" s="2"/>
      <c r="B4475" s="2"/>
      <c r="C4475" s="1"/>
      <c r="D4475" s="2"/>
      <c r="E4475" s="2"/>
      <c r="F4475" s="2"/>
      <c r="G4475" s="2"/>
      <c r="H4475" s="2"/>
      <c r="I4475" s="2"/>
      <c r="J4475" s="2"/>
      <c r="K4475" s="2"/>
      <c r="L4475" s="2"/>
      <c r="M4475" s="2"/>
      <c r="N4475" s="2"/>
      <c r="O4475" s="2"/>
      <c r="P4475" s="2"/>
      <c r="Q4475" s="2"/>
      <c r="R4475" s="2"/>
      <c r="S4475" s="2"/>
      <c r="T4475" s="2"/>
      <c r="U4475" s="2"/>
      <c r="V4475" s="2"/>
      <c r="W4475" s="2"/>
    </row>
    <row r="4476" spans="1:23" x14ac:dyDescent="0.25">
      <c r="A4476" s="2"/>
      <c r="B4476" s="2"/>
      <c r="C4476" s="1"/>
      <c r="D4476" s="2"/>
      <c r="E4476" s="2"/>
      <c r="F4476" s="2"/>
      <c r="G4476" s="2"/>
      <c r="H4476" s="2"/>
      <c r="I4476" s="2"/>
      <c r="J4476" s="2"/>
      <c r="K4476" s="2"/>
      <c r="L4476" s="2"/>
      <c r="M4476" s="2"/>
      <c r="N4476" s="2"/>
      <c r="O4476" s="2"/>
      <c r="P4476" s="2"/>
      <c r="Q4476" s="2"/>
      <c r="R4476" s="2"/>
      <c r="S4476" s="2"/>
      <c r="T4476" s="2"/>
      <c r="U4476" s="2"/>
      <c r="V4476" s="2"/>
      <c r="W4476" s="2"/>
    </row>
    <row r="4477" spans="1:23" x14ac:dyDescent="0.25">
      <c r="A4477" s="2"/>
      <c r="B4477" s="2"/>
      <c r="C4477" s="1"/>
      <c r="D4477" s="2"/>
      <c r="E4477" s="2"/>
      <c r="F4477" s="2"/>
      <c r="G4477" s="2"/>
      <c r="H4477" s="2"/>
      <c r="I4477" s="2"/>
      <c r="J4477" s="2"/>
      <c r="K4477" s="2"/>
      <c r="L4477" s="2"/>
      <c r="M4477" s="2"/>
      <c r="N4477" s="2"/>
      <c r="O4477" s="2"/>
      <c r="P4477" s="2"/>
      <c r="Q4477" s="2"/>
      <c r="R4477" s="2"/>
      <c r="S4477" s="2"/>
      <c r="T4477" s="2"/>
      <c r="U4477" s="2"/>
      <c r="V4477" s="2"/>
      <c r="W4477" s="2"/>
    </row>
    <row r="4478" spans="1:23" x14ac:dyDescent="0.25">
      <c r="A4478" s="2"/>
      <c r="B4478" s="2"/>
      <c r="C4478" s="1"/>
      <c r="D4478" s="2"/>
      <c r="E4478" s="2"/>
      <c r="F4478" s="2"/>
      <c r="G4478" s="2"/>
      <c r="H4478" s="2"/>
      <c r="I4478" s="2"/>
      <c r="J4478" s="2"/>
      <c r="K4478" s="2"/>
      <c r="L4478" s="2"/>
      <c r="M4478" s="2"/>
      <c r="N4478" s="2"/>
      <c r="O4478" s="2"/>
      <c r="P4478" s="2"/>
      <c r="Q4478" s="2"/>
      <c r="R4478" s="2"/>
      <c r="S4478" s="2"/>
      <c r="T4478" s="2"/>
      <c r="U4478" s="2"/>
      <c r="V4478" s="2"/>
      <c r="W4478" s="2"/>
    </row>
    <row r="4479" spans="1:23" x14ac:dyDescent="0.25">
      <c r="A4479" s="2"/>
      <c r="B4479" s="2"/>
      <c r="C4479" s="1"/>
      <c r="D4479" s="2"/>
      <c r="E4479" s="2"/>
      <c r="F4479" s="2"/>
      <c r="G4479" s="2"/>
      <c r="H4479" s="2"/>
      <c r="I4479" s="2"/>
      <c r="J4479" s="2"/>
      <c r="K4479" s="2"/>
      <c r="L4479" s="2"/>
      <c r="M4479" s="2"/>
      <c r="N4479" s="2"/>
      <c r="O4479" s="2"/>
      <c r="P4479" s="2"/>
      <c r="Q4479" s="2"/>
      <c r="R4479" s="2"/>
      <c r="S4479" s="2"/>
      <c r="T4479" s="2"/>
      <c r="U4479" s="2"/>
      <c r="V4479" s="2"/>
      <c r="W4479" s="2"/>
    </row>
    <row r="4480" spans="1:23" x14ac:dyDescent="0.25">
      <c r="A4480" s="2"/>
      <c r="B4480" s="2"/>
      <c r="C4480" s="1"/>
      <c r="D4480" s="2"/>
      <c r="E4480" s="2"/>
      <c r="F4480" s="2"/>
      <c r="G4480" s="2"/>
      <c r="H4480" s="2"/>
      <c r="I4480" s="2"/>
      <c r="J4480" s="2"/>
      <c r="K4480" s="2"/>
      <c r="L4480" s="2"/>
      <c r="M4480" s="2"/>
      <c r="N4480" s="2"/>
      <c r="O4480" s="2"/>
      <c r="P4480" s="2"/>
      <c r="Q4480" s="2"/>
      <c r="R4480" s="2"/>
      <c r="S4480" s="2"/>
      <c r="T4480" s="2"/>
      <c r="U4480" s="2"/>
      <c r="V4480" s="2"/>
      <c r="W4480" s="2"/>
    </row>
    <row r="4481" spans="1:23" x14ac:dyDescent="0.25">
      <c r="A4481" s="2"/>
      <c r="B4481" s="2"/>
      <c r="C4481" s="1"/>
      <c r="D4481" s="2"/>
      <c r="E4481" s="2"/>
      <c r="F4481" s="2"/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  <c r="S4481" s="2"/>
      <c r="T4481" s="2"/>
      <c r="U4481" s="2"/>
      <c r="V4481" s="2"/>
      <c r="W4481" s="2"/>
    </row>
    <row r="4482" spans="1:23" x14ac:dyDescent="0.25">
      <c r="A4482" s="2"/>
      <c r="B4482" s="2"/>
      <c r="C4482" s="1"/>
      <c r="D4482" s="2"/>
      <c r="E4482" s="2"/>
      <c r="F4482" s="2"/>
      <c r="G4482" s="2"/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  <c r="S4482" s="2"/>
      <c r="T4482" s="2"/>
      <c r="U4482" s="2"/>
      <c r="V4482" s="2"/>
      <c r="W4482" s="2"/>
    </row>
    <row r="4483" spans="1:23" x14ac:dyDescent="0.25">
      <c r="A4483" s="2"/>
      <c r="B4483" s="2"/>
      <c r="C4483" s="1"/>
      <c r="D4483" s="2"/>
      <c r="E4483" s="2"/>
      <c r="F4483" s="2"/>
      <c r="G4483" s="2"/>
      <c r="H4483" s="2"/>
      <c r="I4483" s="2"/>
      <c r="J4483" s="2"/>
      <c r="K4483" s="2"/>
      <c r="L4483" s="2"/>
      <c r="M4483" s="2"/>
      <c r="N4483" s="2"/>
      <c r="O4483" s="2"/>
      <c r="P4483" s="2"/>
      <c r="Q4483" s="2"/>
      <c r="R4483" s="2"/>
      <c r="S4483" s="2"/>
      <c r="T4483" s="2"/>
      <c r="U4483" s="2"/>
      <c r="V4483" s="2"/>
      <c r="W4483" s="2"/>
    </row>
    <row r="4484" spans="1:23" x14ac:dyDescent="0.25">
      <c r="A4484" s="2"/>
      <c r="B4484" s="2"/>
      <c r="C4484" s="1"/>
      <c r="D4484" s="2"/>
      <c r="E4484" s="2"/>
      <c r="F4484" s="2"/>
      <c r="G4484" s="2"/>
      <c r="H4484" s="2"/>
      <c r="I4484" s="2"/>
      <c r="J4484" s="2"/>
      <c r="K4484" s="2"/>
      <c r="L4484" s="2"/>
      <c r="M4484" s="2"/>
      <c r="N4484" s="2"/>
      <c r="O4484" s="2"/>
      <c r="P4484" s="2"/>
      <c r="Q4484" s="2"/>
      <c r="R4484" s="2"/>
      <c r="S4484" s="2"/>
      <c r="T4484" s="2"/>
      <c r="U4484" s="2"/>
      <c r="V4484" s="2"/>
      <c r="W4484" s="2"/>
    </row>
    <row r="4485" spans="1:23" x14ac:dyDescent="0.25">
      <c r="A4485" s="2"/>
      <c r="B4485" s="2"/>
      <c r="C4485" s="1"/>
      <c r="D4485" s="2"/>
      <c r="E4485" s="2"/>
      <c r="F4485" s="2"/>
      <c r="G4485" s="2"/>
      <c r="H4485" s="2"/>
      <c r="I4485" s="2"/>
      <c r="J4485" s="2"/>
      <c r="K4485" s="2"/>
      <c r="L4485" s="2"/>
      <c r="M4485" s="2"/>
      <c r="N4485" s="2"/>
      <c r="O4485" s="2"/>
      <c r="P4485" s="2"/>
      <c r="Q4485" s="2"/>
      <c r="R4485" s="2"/>
      <c r="S4485" s="2"/>
      <c r="T4485" s="2"/>
      <c r="U4485" s="2"/>
      <c r="V4485" s="2"/>
      <c r="W4485" s="2"/>
    </row>
    <row r="4486" spans="1:23" x14ac:dyDescent="0.25">
      <c r="A4486" s="2"/>
      <c r="B4486" s="2"/>
      <c r="C4486" s="1"/>
      <c r="D4486" s="2"/>
      <c r="E4486" s="2"/>
      <c r="F4486" s="2"/>
      <c r="G4486" s="2"/>
      <c r="H4486" s="2"/>
      <c r="I4486" s="2"/>
      <c r="J4486" s="2"/>
      <c r="K4486" s="2"/>
      <c r="L4486" s="2"/>
      <c r="M4486" s="2"/>
      <c r="N4486" s="2"/>
      <c r="O4486" s="2"/>
      <c r="P4486" s="2"/>
      <c r="Q4486" s="2"/>
      <c r="R4486" s="2"/>
      <c r="S4486" s="2"/>
      <c r="T4486" s="2"/>
      <c r="U4486" s="2"/>
      <c r="V4486" s="2"/>
      <c r="W4486" s="2"/>
    </row>
    <row r="4487" spans="1:23" x14ac:dyDescent="0.25">
      <c r="A4487" s="2"/>
      <c r="B4487" s="2"/>
      <c r="C4487" s="1"/>
      <c r="D4487" s="2"/>
      <c r="E4487" s="2"/>
      <c r="F4487" s="2"/>
      <c r="G4487" s="2"/>
      <c r="H4487" s="2"/>
      <c r="I4487" s="2"/>
      <c r="J4487" s="2"/>
      <c r="K4487" s="2"/>
      <c r="L4487" s="2"/>
      <c r="M4487" s="2"/>
      <c r="N4487" s="2"/>
      <c r="O4487" s="2"/>
      <c r="P4487" s="2"/>
      <c r="Q4487" s="2"/>
      <c r="R4487" s="2"/>
      <c r="S4487" s="2"/>
      <c r="T4487" s="2"/>
      <c r="U4487" s="2"/>
      <c r="V4487" s="2"/>
      <c r="W4487" s="2"/>
    </row>
    <row r="4488" spans="1:23" x14ac:dyDescent="0.25">
      <c r="A4488" s="2"/>
      <c r="B4488" s="2"/>
      <c r="C4488" s="1"/>
      <c r="D4488" s="2"/>
      <c r="E4488" s="2"/>
      <c r="F4488" s="2"/>
      <c r="G4488" s="2"/>
      <c r="H4488" s="2"/>
      <c r="I4488" s="2"/>
      <c r="J4488" s="2"/>
      <c r="K4488" s="2"/>
      <c r="L4488" s="2"/>
      <c r="M4488" s="2"/>
      <c r="N4488" s="2"/>
      <c r="O4488" s="2"/>
      <c r="P4488" s="2"/>
      <c r="Q4488" s="2"/>
      <c r="R4488" s="2"/>
      <c r="S4488" s="2"/>
      <c r="T4488" s="2"/>
      <c r="U4488" s="2"/>
      <c r="V4488" s="2"/>
      <c r="W4488" s="2"/>
    </row>
    <row r="4489" spans="1:23" x14ac:dyDescent="0.25">
      <c r="A4489" s="2"/>
      <c r="B4489" s="2"/>
      <c r="C4489" s="1"/>
      <c r="D4489" s="2"/>
      <c r="E4489" s="2"/>
      <c r="F4489" s="2"/>
      <c r="G4489" s="2"/>
      <c r="H4489" s="2"/>
      <c r="I4489" s="2"/>
      <c r="J4489" s="2"/>
      <c r="K4489" s="2"/>
      <c r="L4489" s="2"/>
      <c r="M4489" s="2"/>
      <c r="N4489" s="2"/>
      <c r="O4489" s="2"/>
      <c r="P4489" s="2"/>
      <c r="Q4489" s="2"/>
      <c r="R4489" s="2"/>
      <c r="S4489" s="2"/>
      <c r="T4489" s="2"/>
      <c r="U4489" s="2"/>
      <c r="V4489" s="2"/>
      <c r="W4489" s="2"/>
    </row>
    <row r="4490" spans="1:23" x14ac:dyDescent="0.25">
      <c r="A4490" s="2"/>
      <c r="B4490" s="2"/>
      <c r="C4490" s="1"/>
      <c r="D4490" s="2"/>
      <c r="E4490" s="2"/>
      <c r="F4490" s="2"/>
      <c r="G4490" s="2"/>
      <c r="H4490" s="2"/>
      <c r="I4490" s="2"/>
      <c r="J4490" s="2"/>
      <c r="K4490" s="2"/>
      <c r="L4490" s="2"/>
      <c r="M4490" s="2"/>
      <c r="N4490" s="2"/>
      <c r="O4490" s="2"/>
      <c r="P4490" s="2"/>
      <c r="Q4490" s="2"/>
      <c r="R4490" s="2"/>
      <c r="S4490" s="2"/>
      <c r="T4490" s="2"/>
      <c r="U4490" s="2"/>
      <c r="V4490" s="2"/>
      <c r="W4490" s="2"/>
    </row>
    <row r="4491" spans="1:23" x14ac:dyDescent="0.25">
      <c r="A4491" s="2"/>
      <c r="B4491" s="2"/>
      <c r="C4491" s="1"/>
      <c r="D4491" s="2"/>
      <c r="E4491" s="2"/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2"/>
      <c r="Q4491" s="2"/>
      <c r="R4491" s="2"/>
      <c r="S4491" s="2"/>
      <c r="T4491" s="2"/>
      <c r="U4491" s="2"/>
      <c r="V4491" s="2"/>
      <c r="W4491" s="2"/>
    </row>
    <row r="4492" spans="1:23" x14ac:dyDescent="0.25">
      <c r="A4492" s="2"/>
      <c r="B4492" s="2"/>
      <c r="C4492" s="1"/>
      <c r="D4492" s="2"/>
      <c r="E4492" s="2"/>
      <c r="F4492" s="2"/>
      <c r="G4492" s="2"/>
      <c r="H4492" s="2"/>
      <c r="I4492" s="2"/>
      <c r="J4492" s="2"/>
      <c r="K4492" s="2"/>
      <c r="L4492" s="2"/>
      <c r="M4492" s="2"/>
      <c r="N4492" s="2"/>
      <c r="O4492" s="2"/>
      <c r="P4492" s="2"/>
      <c r="Q4492" s="2"/>
      <c r="R4492" s="2"/>
      <c r="S4492" s="2"/>
      <c r="T4492" s="2"/>
      <c r="U4492" s="2"/>
      <c r="V4492" s="2"/>
      <c r="W4492" s="2"/>
    </row>
    <row r="4493" spans="1:23" x14ac:dyDescent="0.25">
      <c r="A4493" s="2"/>
      <c r="B4493" s="2"/>
      <c r="C4493" s="1"/>
      <c r="D4493" s="2"/>
      <c r="E4493" s="2"/>
      <c r="F4493" s="2"/>
      <c r="G4493" s="2"/>
      <c r="H4493" s="2"/>
      <c r="I4493" s="2"/>
      <c r="J4493" s="2"/>
      <c r="K4493" s="2"/>
      <c r="L4493" s="2"/>
      <c r="M4493" s="2"/>
      <c r="N4493" s="2"/>
      <c r="O4493" s="2"/>
      <c r="P4493" s="2"/>
      <c r="Q4493" s="2"/>
      <c r="R4493" s="2"/>
      <c r="S4493" s="2"/>
      <c r="T4493" s="2"/>
      <c r="U4493" s="2"/>
      <c r="V4493" s="2"/>
      <c r="W4493" s="2"/>
    </row>
    <row r="4494" spans="1:23" x14ac:dyDescent="0.25">
      <c r="A4494" s="2"/>
      <c r="B4494" s="2"/>
      <c r="C4494" s="1"/>
      <c r="D4494" s="2"/>
      <c r="E4494" s="2"/>
      <c r="F4494" s="2"/>
      <c r="G4494" s="2"/>
      <c r="H4494" s="2"/>
      <c r="I4494" s="2"/>
      <c r="J4494" s="2"/>
      <c r="K4494" s="2"/>
      <c r="L4494" s="2"/>
      <c r="M4494" s="2"/>
      <c r="N4494" s="2"/>
      <c r="O4494" s="2"/>
      <c r="P4494" s="2"/>
      <c r="Q4494" s="2"/>
      <c r="R4494" s="2"/>
      <c r="S4494" s="2"/>
      <c r="T4494" s="2"/>
      <c r="U4494" s="2"/>
      <c r="V4494" s="2"/>
      <c r="W4494" s="2"/>
    </row>
    <row r="4495" spans="1:23" x14ac:dyDescent="0.25">
      <c r="A4495" s="2"/>
      <c r="B4495" s="2"/>
      <c r="C4495" s="1"/>
      <c r="D4495" s="2"/>
      <c r="E4495" s="2"/>
      <c r="F4495" s="2"/>
      <c r="G4495" s="2"/>
      <c r="H4495" s="2"/>
      <c r="I4495" s="2"/>
      <c r="J4495" s="2"/>
      <c r="K4495" s="2"/>
      <c r="L4495" s="2"/>
      <c r="M4495" s="2"/>
      <c r="N4495" s="2"/>
      <c r="O4495" s="2"/>
      <c r="P4495" s="2"/>
      <c r="Q4495" s="2"/>
      <c r="R4495" s="2"/>
      <c r="S4495" s="2"/>
      <c r="T4495" s="2"/>
      <c r="U4495" s="2"/>
      <c r="V4495" s="2"/>
      <c r="W4495" s="2"/>
    </row>
    <row r="4496" spans="1:23" x14ac:dyDescent="0.25">
      <c r="A4496" s="2"/>
      <c r="B4496" s="2"/>
      <c r="C4496" s="1"/>
      <c r="D4496" s="2"/>
      <c r="E4496" s="2"/>
      <c r="F4496" s="2"/>
      <c r="G4496" s="2"/>
      <c r="H4496" s="2"/>
      <c r="I4496" s="2"/>
      <c r="J4496" s="2"/>
      <c r="K4496" s="2"/>
      <c r="L4496" s="2"/>
      <c r="M4496" s="2"/>
      <c r="N4496" s="2"/>
      <c r="O4496" s="2"/>
      <c r="P4496" s="2"/>
      <c r="Q4496" s="2"/>
      <c r="R4496" s="2"/>
      <c r="S4496" s="2"/>
      <c r="T4496" s="2"/>
      <c r="U4496" s="2"/>
      <c r="V4496" s="2"/>
      <c r="W4496" s="2"/>
    </row>
    <row r="4497" spans="1:23" x14ac:dyDescent="0.25">
      <c r="A4497" s="2"/>
      <c r="B4497" s="2"/>
      <c r="C4497" s="1"/>
      <c r="D4497" s="2"/>
      <c r="E4497" s="2"/>
      <c r="F4497" s="2"/>
      <c r="G4497" s="2"/>
      <c r="H4497" s="2"/>
      <c r="I4497" s="2"/>
      <c r="J4497" s="2"/>
      <c r="K4497" s="2"/>
      <c r="L4497" s="2"/>
      <c r="M4497" s="2"/>
      <c r="N4497" s="2"/>
      <c r="O4497" s="2"/>
      <c r="P4497" s="2"/>
      <c r="Q4497" s="2"/>
      <c r="R4497" s="2"/>
      <c r="S4497" s="2"/>
      <c r="T4497" s="2"/>
      <c r="U4497" s="2"/>
      <c r="V4497" s="2"/>
      <c r="W4497" s="2"/>
    </row>
    <row r="4498" spans="1:23" x14ac:dyDescent="0.25">
      <c r="A4498" s="2"/>
      <c r="B4498" s="2"/>
      <c r="C4498" s="1"/>
      <c r="D4498" s="2"/>
      <c r="E4498" s="2"/>
      <c r="F4498" s="2"/>
      <c r="G4498" s="2"/>
      <c r="H4498" s="2"/>
      <c r="I4498" s="2"/>
      <c r="J4498" s="2"/>
      <c r="K4498" s="2"/>
      <c r="L4498" s="2"/>
      <c r="M4498" s="2"/>
      <c r="N4498" s="2"/>
      <c r="O4498" s="2"/>
      <c r="P4498" s="2"/>
      <c r="Q4498" s="2"/>
      <c r="R4498" s="2"/>
      <c r="S4498" s="2"/>
      <c r="T4498" s="2"/>
      <c r="U4498" s="2"/>
      <c r="V4498" s="2"/>
      <c r="W4498" s="2"/>
    </row>
    <row r="4499" spans="1:23" x14ac:dyDescent="0.25">
      <c r="A4499" s="2"/>
      <c r="B4499" s="2"/>
      <c r="C4499" s="1"/>
      <c r="D4499" s="2"/>
      <c r="E4499" s="2"/>
      <c r="F4499" s="2"/>
      <c r="G4499" s="2"/>
      <c r="H4499" s="2"/>
      <c r="I4499" s="2"/>
      <c r="J4499" s="2"/>
      <c r="K4499" s="2"/>
      <c r="L4499" s="2"/>
      <c r="M4499" s="2"/>
      <c r="N4499" s="2"/>
      <c r="O4499" s="2"/>
      <c r="P4499" s="2"/>
      <c r="Q4499" s="2"/>
      <c r="R4499" s="2"/>
      <c r="S4499" s="2"/>
      <c r="T4499" s="2"/>
      <c r="U4499" s="2"/>
      <c r="V4499" s="2"/>
      <c r="W4499" s="2"/>
    </row>
    <row r="4500" spans="1:23" x14ac:dyDescent="0.25">
      <c r="A4500" s="2"/>
      <c r="B4500" s="2"/>
      <c r="C4500" s="1"/>
      <c r="D4500" s="2"/>
      <c r="E4500" s="2"/>
      <c r="F4500" s="2"/>
      <c r="G4500" s="2"/>
      <c r="H4500" s="2"/>
      <c r="I4500" s="2"/>
      <c r="J4500" s="2"/>
      <c r="K4500" s="2"/>
      <c r="L4500" s="2"/>
      <c r="M4500" s="2"/>
      <c r="N4500" s="2"/>
      <c r="O4500" s="2"/>
      <c r="P4500" s="2"/>
      <c r="Q4500" s="2"/>
      <c r="R4500" s="2"/>
      <c r="S4500" s="2"/>
      <c r="T4500" s="2"/>
      <c r="U4500" s="2"/>
      <c r="V4500" s="2"/>
      <c r="W4500" s="2"/>
    </row>
    <row r="4501" spans="1:23" x14ac:dyDescent="0.25">
      <c r="A4501" s="2"/>
      <c r="B4501" s="2"/>
      <c r="C4501" s="1"/>
      <c r="D4501" s="2"/>
      <c r="E4501" s="2"/>
      <c r="F4501" s="2"/>
      <c r="G4501" s="2"/>
      <c r="H4501" s="2"/>
      <c r="I4501" s="2"/>
      <c r="J4501" s="2"/>
      <c r="K4501" s="2"/>
      <c r="L4501" s="2"/>
      <c r="M4501" s="2"/>
      <c r="N4501" s="2"/>
      <c r="O4501" s="2"/>
      <c r="P4501" s="2"/>
      <c r="Q4501" s="2"/>
      <c r="R4501" s="2"/>
      <c r="S4501" s="2"/>
      <c r="T4501" s="2"/>
      <c r="U4501" s="2"/>
      <c r="V4501" s="2"/>
      <c r="W4501" s="2"/>
    </row>
    <row r="4502" spans="1:23" x14ac:dyDescent="0.25">
      <c r="A4502" s="2"/>
      <c r="B4502" s="2"/>
      <c r="C4502" s="1"/>
      <c r="D4502" s="2"/>
      <c r="E4502" s="2"/>
      <c r="F4502" s="2"/>
      <c r="G4502" s="2"/>
      <c r="H4502" s="2"/>
      <c r="I4502" s="2"/>
      <c r="J4502" s="2"/>
      <c r="K4502" s="2"/>
      <c r="L4502" s="2"/>
      <c r="M4502" s="2"/>
      <c r="N4502" s="2"/>
      <c r="O4502" s="2"/>
      <c r="P4502" s="2"/>
      <c r="Q4502" s="2"/>
      <c r="R4502" s="2"/>
      <c r="S4502" s="2"/>
      <c r="T4502" s="2"/>
      <c r="U4502" s="2"/>
      <c r="V4502" s="2"/>
      <c r="W4502" s="2"/>
    </row>
    <row r="4503" spans="1:23" x14ac:dyDescent="0.25">
      <c r="A4503" s="2"/>
      <c r="B4503" s="2"/>
      <c r="C4503" s="1"/>
      <c r="D4503" s="2"/>
      <c r="E4503" s="2"/>
      <c r="F4503" s="2"/>
      <c r="G4503" s="2"/>
      <c r="H4503" s="2"/>
      <c r="I4503" s="2"/>
      <c r="J4503" s="2"/>
      <c r="K4503" s="2"/>
      <c r="L4503" s="2"/>
      <c r="M4503" s="2"/>
      <c r="N4503" s="2"/>
      <c r="O4503" s="2"/>
      <c r="P4503" s="2"/>
      <c r="Q4503" s="2"/>
      <c r="R4503" s="2"/>
      <c r="S4503" s="2"/>
      <c r="T4503" s="2"/>
      <c r="U4503" s="2"/>
      <c r="V4503" s="2"/>
      <c r="W4503" s="2"/>
    </row>
    <row r="4504" spans="1:23" x14ac:dyDescent="0.25">
      <c r="A4504" s="2"/>
      <c r="B4504" s="2"/>
      <c r="C4504" s="1"/>
      <c r="D4504" s="2"/>
      <c r="E4504" s="2"/>
      <c r="F4504" s="2"/>
      <c r="G4504" s="2"/>
      <c r="H4504" s="2"/>
      <c r="I4504" s="2"/>
      <c r="J4504" s="2"/>
      <c r="K4504" s="2"/>
      <c r="L4504" s="2"/>
      <c r="M4504" s="2"/>
      <c r="N4504" s="2"/>
      <c r="O4504" s="2"/>
      <c r="P4504" s="2"/>
      <c r="Q4504" s="2"/>
      <c r="R4504" s="2"/>
      <c r="S4504" s="2"/>
      <c r="T4504" s="2"/>
      <c r="U4504" s="2"/>
      <c r="V4504" s="2"/>
      <c r="W4504" s="2"/>
    </row>
    <row r="4505" spans="1:23" x14ac:dyDescent="0.25">
      <c r="A4505" s="2"/>
      <c r="B4505" s="2"/>
      <c r="C4505" s="1"/>
      <c r="D4505" s="2"/>
      <c r="E4505" s="2"/>
      <c r="F4505" s="2"/>
      <c r="G4505" s="2"/>
      <c r="H4505" s="2"/>
      <c r="I4505" s="2"/>
      <c r="J4505" s="2"/>
      <c r="K4505" s="2"/>
      <c r="L4505" s="2"/>
      <c r="M4505" s="2"/>
      <c r="N4505" s="2"/>
      <c r="O4505" s="2"/>
      <c r="P4505" s="2"/>
      <c r="Q4505" s="2"/>
      <c r="R4505" s="2"/>
      <c r="S4505" s="2"/>
      <c r="T4505" s="2"/>
      <c r="U4505" s="2"/>
      <c r="V4505" s="2"/>
      <c r="W4505" s="2"/>
    </row>
    <row r="4506" spans="1:23" x14ac:dyDescent="0.25">
      <c r="A4506" s="2"/>
      <c r="B4506" s="2"/>
      <c r="C4506" s="1"/>
      <c r="D4506" s="2"/>
      <c r="E4506" s="2"/>
      <c r="F4506" s="2"/>
      <c r="G4506" s="2"/>
      <c r="H4506" s="2"/>
      <c r="I4506" s="2"/>
      <c r="J4506" s="2"/>
      <c r="K4506" s="2"/>
      <c r="L4506" s="2"/>
      <c r="M4506" s="2"/>
      <c r="N4506" s="2"/>
      <c r="O4506" s="2"/>
      <c r="P4506" s="2"/>
      <c r="Q4506" s="2"/>
      <c r="R4506" s="2"/>
      <c r="S4506" s="2"/>
      <c r="T4506" s="2"/>
      <c r="U4506" s="2"/>
      <c r="V4506" s="2"/>
      <c r="W4506" s="2"/>
    </row>
    <row r="4507" spans="1:23" x14ac:dyDescent="0.25">
      <c r="A4507" s="2"/>
      <c r="B4507" s="2"/>
      <c r="C4507" s="1"/>
      <c r="D4507" s="2"/>
      <c r="E4507" s="2"/>
      <c r="F4507" s="2"/>
      <c r="G4507" s="2"/>
      <c r="H4507" s="2"/>
      <c r="I4507" s="2"/>
      <c r="J4507" s="2"/>
      <c r="K4507" s="2"/>
      <c r="L4507" s="2"/>
      <c r="M4507" s="2"/>
      <c r="N4507" s="2"/>
      <c r="O4507" s="2"/>
      <c r="P4507" s="2"/>
      <c r="Q4507" s="2"/>
      <c r="R4507" s="2"/>
      <c r="S4507" s="2"/>
      <c r="T4507" s="2"/>
      <c r="U4507" s="2"/>
      <c r="V4507" s="2"/>
      <c r="W4507" s="2"/>
    </row>
    <row r="4508" spans="1:23" x14ac:dyDescent="0.25">
      <c r="A4508" s="2"/>
      <c r="B4508" s="2"/>
      <c r="C4508" s="1"/>
      <c r="D4508" s="2"/>
      <c r="E4508" s="2"/>
      <c r="F4508" s="2"/>
      <c r="G4508" s="2"/>
      <c r="H4508" s="2"/>
      <c r="I4508" s="2"/>
      <c r="J4508" s="2"/>
      <c r="K4508" s="2"/>
      <c r="L4508" s="2"/>
      <c r="M4508" s="2"/>
      <c r="N4508" s="2"/>
      <c r="O4508" s="2"/>
      <c r="P4508" s="2"/>
      <c r="Q4508" s="2"/>
      <c r="R4508" s="2"/>
      <c r="S4508" s="2"/>
      <c r="T4508" s="2"/>
      <c r="U4508" s="2"/>
      <c r="V4508" s="2"/>
      <c r="W4508" s="2"/>
    </row>
    <row r="4509" spans="1:23" x14ac:dyDescent="0.25">
      <c r="A4509" s="2"/>
      <c r="B4509" s="2"/>
      <c r="C4509" s="1"/>
      <c r="D4509" s="2"/>
      <c r="E4509" s="2"/>
      <c r="F4509" s="2"/>
      <c r="G4509" s="2"/>
      <c r="H4509" s="2"/>
      <c r="I4509" s="2"/>
      <c r="J4509" s="2"/>
      <c r="K4509" s="2"/>
      <c r="L4509" s="2"/>
      <c r="M4509" s="2"/>
      <c r="N4509" s="2"/>
      <c r="O4509" s="2"/>
      <c r="P4509" s="2"/>
      <c r="Q4509" s="2"/>
      <c r="R4509" s="2"/>
      <c r="S4509" s="2"/>
      <c r="T4509" s="2"/>
      <c r="U4509" s="2"/>
      <c r="V4509" s="2"/>
      <c r="W4509" s="2"/>
    </row>
    <row r="4510" spans="1:23" x14ac:dyDescent="0.25">
      <c r="A4510" s="2"/>
      <c r="B4510" s="2"/>
      <c r="C4510" s="1"/>
      <c r="D4510" s="2"/>
      <c r="E4510" s="2"/>
      <c r="F4510" s="2"/>
      <c r="G4510" s="2"/>
      <c r="H4510" s="2"/>
      <c r="I4510" s="2"/>
      <c r="J4510" s="2"/>
      <c r="K4510" s="2"/>
      <c r="L4510" s="2"/>
      <c r="M4510" s="2"/>
      <c r="N4510" s="2"/>
      <c r="O4510" s="2"/>
      <c r="P4510" s="2"/>
      <c r="Q4510" s="2"/>
      <c r="R4510" s="2"/>
      <c r="S4510" s="2"/>
      <c r="T4510" s="2"/>
      <c r="U4510" s="2"/>
      <c r="V4510" s="2"/>
      <c r="W4510" s="2"/>
    </row>
    <row r="4511" spans="1:23" x14ac:dyDescent="0.25">
      <c r="A4511" s="2"/>
      <c r="B4511" s="2"/>
      <c r="C4511" s="1"/>
      <c r="D4511" s="2"/>
      <c r="E4511" s="2"/>
      <c r="F4511" s="2"/>
      <c r="G4511" s="2"/>
      <c r="H4511" s="2"/>
      <c r="I4511" s="2"/>
      <c r="J4511" s="2"/>
      <c r="K4511" s="2"/>
      <c r="L4511" s="2"/>
      <c r="M4511" s="2"/>
      <c r="N4511" s="2"/>
      <c r="O4511" s="2"/>
      <c r="P4511" s="2"/>
      <c r="Q4511" s="2"/>
      <c r="R4511" s="2"/>
      <c r="S4511" s="2"/>
      <c r="T4511" s="2"/>
      <c r="U4511" s="2"/>
      <c r="V4511" s="2"/>
      <c r="W4511" s="2"/>
    </row>
    <row r="4512" spans="1:23" x14ac:dyDescent="0.25">
      <c r="A4512" s="2"/>
      <c r="B4512" s="2"/>
      <c r="C4512" s="1"/>
      <c r="D4512" s="2"/>
      <c r="E4512" s="2"/>
      <c r="F4512" s="2"/>
      <c r="G4512" s="2"/>
      <c r="H4512" s="2"/>
      <c r="I4512" s="2"/>
      <c r="J4512" s="2"/>
      <c r="K4512" s="2"/>
      <c r="L4512" s="2"/>
      <c r="M4512" s="2"/>
      <c r="N4512" s="2"/>
      <c r="O4512" s="2"/>
      <c r="P4512" s="2"/>
      <c r="Q4512" s="2"/>
      <c r="R4512" s="2"/>
      <c r="S4512" s="2"/>
      <c r="T4512" s="2"/>
      <c r="U4512" s="2"/>
      <c r="V4512" s="2"/>
      <c r="W4512" s="2"/>
    </row>
    <row r="4513" spans="1:23" x14ac:dyDescent="0.25">
      <c r="A4513" s="2"/>
      <c r="B4513" s="2"/>
      <c r="C4513" s="1"/>
      <c r="D4513" s="2"/>
      <c r="E4513" s="2"/>
      <c r="F4513" s="2"/>
      <c r="G4513" s="2"/>
      <c r="H4513" s="2"/>
      <c r="I4513" s="2"/>
      <c r="J4513" s="2"/>
      <c r="K4513" s="2"/>
      <c r="L4513" s="2"/>
      <c r="M4513" s="2"/>
      <c r="N4513" s="2"/>
      <c r="O4513" s="2"/>
      <c r="P4513" s="2"/>
      <c r="Q4513" s="2"/>
      <c r="R4513" s="2"/>
      <c r="S4513" s="2"/>
      <c r="T4513" s="2"/>
      <c r="U4513" s="2"/>
      <c r="V4513" s="2"/>
      <c r="W4513" s="2"/>
    </row>
    <row r="4514" spans="1:23" x14ac:dyDescent="0.25">
      <c r="A4514" s="2"/>
      <c r="B4514" s="2"/>
      <c r="C4514" s="1"/>
      <c r="D4514" s="2"/>
      <c r="E4514" s="2"/>
      <c r="F4514" s="2"/>
      <c r="G4514" s="2"/>
      <c r="H4514" s="2"/>
      <c r="I4514" s="2"/>
      <c r="J4514" s="2"/>
      <c r="K4514" s="2"/>
      <c r="L4514" s="2"/>
      <c r="M4514" s="2"/>
      <c r="N4514" s="2"/>
      <c r="O4514" s="2"/>
      <c r="P4514" s="2"/>
      <c r="Q4514" s="2"/>
      <c r="R4514" s="2"/>
      <c r="S4514" s="2"/>
      <c r="T4514" s="2"/>
      <c r="U4514" s="2"/>
      <c r="V4514" s="2"/>
      <c r="W4514" s="2"/>
    </row>
    <row r="4515" spans="1:23" x14ac:dyDescent="0.25">
      <c r="A4515" s="2"/>
      <c r="B4515" s="2"/>
      <c r="C4515" s="1"/>
      <c r="D4515" s="2"/>
      <c r="E4515" s="2"/>
      <c r="F4515" s="2"/>
      <c r="G4515" s="2"/>
      <c r="H4515" s="2"/>
      <c r="I4515" s="2"/>
      <c r="J4515" s="2"/>
      <c r="K4515" s="2"/>
      <c r="L4515" s="2"/>
      <c r="M4515" s="2"/>
      <c r="N4515" s="2"/>
      <c r="O4515" s="2"/>
      <c r="P4515" s="2"/>
      <c r="Q4515" s="2"/>
      <c r="R4515" s="2"/>
      <c r="S4515" s="2"/>
      <c r="T4515" s="2"/>
      <c r="U4515" s="2"/>
      <c r="V4515" s="2"/>
      <c r="W4515" s="2"/>
    </row>
    <row r="4516" spans="1:23" x14ac:dyDescent="0.25">
      <c r="A4516" s="2"/>
      <c r="B4516" s="2"/>
      <c r="C4516" s="1"/>
      <c r="D4516" s="2"/>
      <c r="E4516" s="2"/>
      <c r="F4516" s="2"/>
      <c r="G4516" s="2"/>
      <c r="H4516" s="2"/>
      <c r="I4516" s="2"/>
      <c r="J4516" s="2"/>
      <c r="K4516" s="2"/>
      <c r="L4516" s="2"/>
      <c r="M4516" s="2"/>
      <c r="N4516" s="2"/>
      <c r="O4516" s="2"/>
      <c r="P4516" s="2"/>
      <c r="Q4516" s="2"/>
      <c r="R4516" s="2"/>
      <c r="S4516" s="2"/>
      <c r="T4516" s="2"/>
      <c r="U4516" s="2"/>
      <c r="V4516" s="2"/>
      <c r="W4516" s="2"/>
    </row>
    <row r="4517" spans="1:23" x14ac:dyDescent="0.25">
      <c r="A4517" s="2"/>
      <c r="B4517" s="2"/>
      <c r="C4517" s="1"/>
      <c r="D4517" s="2"/>
      <c r="E4517" s="2"/>
      <c r="F4517" s="2"/>
      <c r="G4517" s="2"/>
      <c r="H4517" s="2"/>
      <c r="I4517" s="2"/>
      <c r="J4517" s="2"/>
      <c r="K4517" s="2"/>
      <c r="L4517" s="2"/>
      <c r="M4517" s="2"/>
      <c r="N4517" s="2"/>
      <c r="O4517" s="2"/>
      <c r="P4517" s="2"/>
      <c r="Q4517" s="2"/>
      <c r="R4517" s="2"/>
      <c r="S4517" s="2"/>
      <c r="T4517" s="2"/>
      <c r="U4517" s="2"/>
      <c r="V4517" s="2"/>
      <c r="W4517" s="2"/>
    </row>
    <row r="4518" spans="1:23" x14ac:dyDescent="0.25">
      <c r="A4518" s="2"/>
      <c r="B4518" s="2"/>
      <c r="C4518" s="1"/>
      <c r="D4518" s="2"/>
      <c r="E4518" s="2"/>
      <c r="F4518" s="2"/>
      <c r="G4518" s="2"/>
      <c r="H4518" s="2"/>
      <c r="I4518" s="2"/>
      <c r="J4518" s="2"/>
      <c r="K4518" s="2"/>
      <c r="L4518" s="2"/>
      <c r="M4518" s="2"/>
      <c r="N4518" s="2"/>
      <c r="O4518" s="2"/>
      <c r="P4518" s="2"/>
      <c r="Q4518" s="2"/>
      <c r="R4518" s="2"/>
      <c r="S4518" s="2"/>
      <c r="T4518" s="2"/>
      <c r="U4518" s="2"/>
      <c r="V4518" s="2"/>
      <c r="W4518" s="2"/>
    </row>
    <row r="4519" spans="1:23" x14ac:dyDescent="0.25">
      <c r="A4519" s="2"/>
      <c r="B4519" s="2"/>
      <c r="C4519" s="1"/>
      <c r="D4519" s="2"/>
      <c r="E4519" s="2"/>
      <c r="F4519" s="2"/>
      <c r="G4519" s="2"/>
      <c r="H4519" s="2"/>
      <c r="I4519" s="2"/>
      <c r="J4519" s="2"/>
      <c r="K4519" s="2"/>
      <c r="L4519" s="2"/>
      <c r="M4519" s="2"/>
      <c r="N4519" s="2"/>
      <c r="O4519" s="2"/>
      <c r="P4519" s="2"/>
      <c r="Q4519" s="2"/>
      <c r="R4519" s="2"/>
      <c r="S4519" s="2"/>
      <c r="T4519" s="2"/>
      <c r="U4519" s="2"/>
      <c r="V4519" s="2"/>
      <c r="W4519" s="2"/>
    </row>
    <row r="4520" spans="1:23" x14ac:dyDescent="0.25">
      <c r="A4520" s="2"/>
      <c r="B4520" s="2"/>
      <c r="C4520" s="1"/>
      <c r="D4520" s="2"/>
      <c r="E4520" s="2"/>
      <c r="F4520" s="2"/>
      <c r="G4520" s="2"/>
      <c r="H4520" s="2"/>
      <c r="I4520" s="2"/>
      <c r="J4520" s="2"/>
      <c r="K4520" s="2"/>
      <c r="L4520" s="2"/>
      <c r="M4520" s="2"/>
      <c r="N4520" s="2"/>
      <c r="O4520" s="2"/>
      <c r="P4520" s="2"/>
      <c r="Q4520" s="2"/>
      <c r="R4520" s="2"/>
      <c r="S4520" s="2"/>
      <c r="T4520" s="2"/>
      <c r="U4520" s="2"/>
      <c r="V4520" s="2"/>
      <c r="W4520" s="2"/>
    </row>
    <row r="4521" spans="1:23" x14ac:dyDescent="0.25">
      <c r="A4521" s="2"/>
      <c r="B4521" s="2"/>
      <c r="C4521" s="1"/>
      <c r="D4521" s="2"/>
      <c r="E4521" s="2"/>
      <c r="F4521" s="2"/>
      <c r="G4521" s="2"/>
      <c r="H4521" s="2"/>
      <c r="I4521" s="2"/>
      <c r="J4521" s="2"/>
      <c r="K4521" s="2"/>
      <c r="L4521" s="2"/>
      <c r="M4521" s="2"/>
      <c r="N4521" s="2"/>
      <c r="O4521" s="2"/>
      <c r="P4521" s="2"/>
      <c r="Q4521" s="2"/>
      <c r="R4521" s="2"/>
      <c r="S4521" s="2"/>
      <c r="T4521" s="2"/>
      <c r="U4521" s="2"/>
      <c r="V4521" s="2"/>
      <c r="W4521" s="2"/>
    </row>
    <row r="4522" spans="1:23" x14ac:dyDescent="0.25">
      <c r="A4522" s="2"/>
      <c r="B4522" s="2"/>
      <c r="C4522" s="1"/>
      <c r="D4522" s="2"/>
      <c r="E4522" s="2"/>
      <c r="F4522" s="2"/>
      <c r="G4522" s="2"/>
      <c r="H4522" s="2"/>
      <c r="I4522" s="2"/>
      <c r="J4522" s="2"/>
      <c r="K4522" s="2"/>
      <c r="L4522" s="2"/>
      <c r="M4522" s="2"/>
      <c r="N4522" s="2"/>
      <c r="O4522" s="2"/>
      <c r="P4522" s="2"/>
      <c r="Q4522" s="2"/>
      <c r="R4522" s="2"/>
      <c r="S4522" s="2"/>
      <c r="T4522" s="2"/>
      <c r="U4522" s="2"/>
      <c r="V4522" s="2"/>
      <c r="W4522" s="2"/>
    </row>
    <row r="4523" spans="1:23" x14ac:dyDescent="0.25">
      <c r="A4523" s="2"/>
      <c r="B4523" s="2"/>
      <c r="C4523" s="1"/>
      <c r="D4523" s="2"/>
      <c r="E4523" s="2"/>
      <c r="F4523" s="2"/>
      <c r="G4523" s="2"/>
      <c r="H4523" s="2"/>
      <c r="I4523" s="2"/>
      <c r="J4523" s="2"/>
      <c r="K4523" s="2"/>
      <c r="L4523" s="2"/>
      <c r="M4523" s="2"/>
      <c r="N4523" s="2"/>
      <c r="O4523" s="2"/>
      <c r="P4523" s="2"/>
      <c r="Q4523" s="2"/>
      <c r="R4523" s="2"/>
      <c r="S4523" s="2"/>
      <c r="T4523" s="2"/>
      <c r="U4523" s="2"/>
      <c r="V4523" s="2"/>
      <c r="W4523" s="2"/>
    </row>
    <row r="4524" spans="1:23" x14ac:dyDescent="0.25">
      <c r="A4524" s="2"/>
      <c r="B4524" s="2"/>
      <c r="C4524" s="1"/>
      <c r="D4524" s="2"/>
      <c r="E4524" s="2"/>
      <c r="F4524" s="2"/>
      <c r="G4524" s="2"/>
      <c r="H4524" s="2"/>
      <c r="I4524" s="2"/>
      <c r="J4524" s="2"/>
      <c r="K4524" s="2"/>
      <c r="L4524" s="2"/>
      <c r="M4524" s="2"/>
      <c r="N4524" s="2"/>
      <c r="O4524" s="2"/>
      <c r="P4524" s="2"/>
      <c r="Q4524" s="2"/>
      <c r="R4524" s="2"/>
      <c r="S4524" s="2"/>
      <c r="T4524" s="2"/>
      <c r="U4524" s="2"/>
      <c r="V4524" s="2"/>
      <c r="W4524" s="2"/>
    </row>
    <row r="4525" spans="1:23" x14ac:dyDescent="0.25">
      <c r="A4525" s="2"/>
      <c r="B4525" s="2"/>
      <c r="C4525" s="1"/>
      <c r="D4525" s="2"/>
      <c r="E4525" s="2"/>
      <c r="F4525" s="2"/>
      <c r="G4525" s="2"/>
      <c r="H4525" s="2"/>
      <c r="I4525" s="2"/>
      <c r="J4525" s="2"/>
      <c r="K4525" s="2"/>
      <c r="L4525" s="2"/>
      <c r="M4525" s="2"/>
      <c r="N4525" s="2"/>
      <c r="O4525" s="2"/>
      <c r="P4525" s="2"/>
      <c r="Q4525" s="2"/>
      <c r="R4525" s="2"/>
      <c r="S4525" s="2"/>
      <c r="T4525" s="2"/>
      <c r="U4525" s="2"/>
      <c r="V4525" s="2"/>
      <c r="W4525" s="2"/>
    </row>
    <row r="4526" spans="1:23" x14ac:dyDescent="0.25">
      <c r="A4526" s="2"/>
      <c r="B4526" s="2"/>
      <c r="C4526" s="1"/>
      <c r="D4526" s="2"/>
      <c r="E4526" s="2"/>
      <c r="F4526" s="2"/>
      <c r="G4526" s="2"/>
      <c r="H4526" s="2"/>
      <c r="I4526" s="2"/>
      <c r="J4526" s="2"/>
      <c r="K4526" s="2"/>
      <c r="L4526" s="2"/>
      <c r="M4526" s="2"/>
      <c r="N4526" s="2"/>
      <c r="O4526" s="2"/>
      <c r="P4526" s="2"/>
      <c r="Q4526" s="2"/>
      <c r="R4526" s="2"/>
      <c r="S4526" s="2"/>
      <c r="T4526" s="2"/>
      <c r="U4526" s="2"/>
      <c r="V4526" s="2"/>
      <c r="W4526" s="2"/>
    </row>
    <row r="4527" spans="1:23" x14ac:dyDescent="0.25">
      <c r="A4527" s="2"/>
      <c r="B4527" s="2"/>
      <c r="C4527" s="1"/>
      <c r="D4527" s="2"/>
      <c r="E4527" s="2"/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2"/>
      <c r="Q4527" s="2"/>
      <c r="R4527" s="2"/>
      <c r="S4527" s="2"/>
      <c r="T4527" s="2"/>
      <c r="U4527" s="2"/>
      <c r="V4527" s="2"/>
      <c r="W4527" s="2"/>
    </row>
    <row r="4528" spans="1:23" x14ac:dyDescent="0.25">
      <c r="A4528" s="2"/>
      <c r="B4528" s="2"/>
      <c r="C4528" s="1"/>
      <c r="D4528" s="2"/>
      <c r="E4528" s="2"/>
      <c r="F4528" s="2"/>
      <c r="G4528" s="2"/>
      <c r="H4528" s="2"/>
      <c r="I4528" s="2"/>
      <c r="J4528" s="2"/>
      <c r="K4528" s="2"/>
      <c r="L4528" s="2"/>
      <c r="M4528" s="2"/>
      <c r="N4528" s="2"/>
      <c r="O4528" s="2"/>
      <c r="P4528" s="2"/>
      <c r="Q4528" s="2"/>
      <c r="R4528" s="2"/>
      <c r="S4528" s="2"/>
      <c r="T4528" s="2"/>
      <c r="U4528" s="2"/>
      <c r="V4528" s="2"/>
      <c r="W4528" s="2"/>
    </row>
    <row r="4529" spans="1:23" x14ac:dyDescent="0.25">
      <c r="A4529" s="2"/>
      <c r="B4529" s="2"/>
      <c r="C4529" s="1"/>
      <c r="D4529" s="2"/>
      <c r="E4529" s="2"/>
      <c r="F4529" s="2"/>
      <c r="G4529" s="2"/>
      <c r="H4529" s="2"/>
      <c r="I4529" s="2"/>
      <c r="J4529" s="2"/>
      <c r="K4529" s="2"/>
      <c r="L4529" s="2"/>
      <c r="M4529" s="2"/>
      <c r="N4529" s="2"/>
      <c r="O4529" s="2"/>
      <c r="P4529" s="2"/>
      <c r="Q4529" s="2"/>
      <c r="R4529" s="2"/>
      <c r="S4529" s="2"/>
      <c r="T4529" s="2"/>
      <c r="U4529" s="2"/>
      <c r="V4529" s="2"/>
      <c r="W4529" s="2"/>
    </row>
    <row r="4530" spans="1:23" x14ac:dyDescent="0.25">
      <c r="A4530" s="2"/>
      <c r="B4530" s="2"/>
      <c r="C4530" s="1"/>
      <c r="D4530" s="2"/>
      <c r="E4530" s="2"/>
      <c r="F4530" s="2"/>
      <c r="G4530" s="2"/>
      <c r="H4530" s="2"/>
      <c r="I4530" s="2"/>
      <c r="J4530" s="2"/>
      <c r="K4530" s="2"/>
      <c r="L4530" s="2"/>
      <c r="M4530" s="2"/>
      <c r="N4530" s="2"/>
      <c r="O4530" s="2"/>
      <c r="P4530" s="2"/>
      <c r="Q4530" s="2"/>
      <c r="R4530" s="2"/>
      <c r="S4530" s="2"/>
      <c r="T4530" s="2"/>
      <c r="U4530" s="2"/>
      <c r="V4530" s="2"/>
      <c r="W4530" s="2"/>
    </row>
    <row r="4531" spans="1:23" x14ac:dyDescent="0.25">
      <c r="A4531" s="2"/>
      <c r="B4531" s="2"/>
      <c r="C4531" s="1"/>
      <c r="D4531" s="2"/>
      <c r="E4531" s="2"/>
      <c r="F4531" s="2"/>
      <c r="G4531" s="2"/>
      <c r="H4531" s="2"/>
      <c r="I4531" s="2"/>
      <c r="J4531" s="2"/>
      <c r="K4531" s="2"/>
      <c r="L4531" s="2"/>
      <c r="M4531" s="2"/>
      <c r="N4531" s="2"/>
      <c r="O4531" s="2"/>
      <c r="P4531" s="2"/>
      <c r="Q4531" s="2"/>
      <c r="R4531" s="2"/>
      <c r="S4531" s="2"/>
      <c r="T4531" s="2"/>
      <c r="U4531" s="2"/>
      <c r="V4531" s="2"/>
      <c r="W4531" s="2"/>
    </row>
    <row r="4532" spans="1:23" x14ac:dyDescent="0.25">
      <c r="A4532" s="2"/>
      <c r="B4532" s="2"/>
      <c r="C4532" s="1"/>
      <c r="D4532" s="2"/>
      <c r="E4532" s="2"/>
      <c r="F4532" s="2"/>
      <c r="G4532" s="2"/>
      <c r="H4532" s="2"/>
      <c r="I4532" s="2"/>
      <c r="J4532" s="2"/>
      <c r="K4532" s="2"/>
      <c r="L4532" s="2"/>
      <c r="M4532" s="2"/>
      <c r="N4532" s="2"/>
      <c r="O4532" s="2"/>
      <c r="P4532" s="2"/>
      <c r="Q4532" s="2"/>
      <c r="R4532" s="2"/>
      <c r="S4532" s="2"/>
      <c r="T4532" s="2"/>
      <c r="U4532" s="2"/>
      <c r="V4532" s="2"/>
      <c r="W4532" s="2"/>
    </row>
    <row r="4533" spans="1:23" x14ac:dyDescent="0.25">
      <c r="A4533" s="2"/>
      <c r="B4533" s="2"/>
      <c r="C4533" s="1"/>
      <c r="D4533" s="2"/>
      <c r="E4533" s="2"/>
      <c r="F4533" s="2"/>
      <c r="G4533" s="2"/>
      <c r="H4533" s="2"/>
      <c r="I4533" s="2"/>
      <c r="J4533" s="2"/>
      <c r="K4533" s="2"/>
      <c r="L4533" s="2"/>
      <c r="M4533" s="2"/>
      <c r="N4533" s="2"/>
      <c r="O4533" s="2"/>
      <c r="P4533" s="2"/>
      <c r="Q4533" s="2"/>
      <c r="R4533" s="2"/>
      <c r="S4533" s="2"/>
      <c r="T4533" s="2"/>
      <c r="U4533" s="2"/>
      <c r="V4533" s="2"/>
      <c r="W4533" s="2"/>
    </row>
    <row r="4534" spans="1:23" x14ac:dyDescent="0.25">
      <c r="A4534" s="2"/>
      <c r="B4534" s="2"/>
      <c r="C4534" s="1"/>
      <c r="D4534" s="2"/>
      <c r="E4534" s="2"/>
      <c r="F4534" s="2"/>
      <c r="G4534" s="2"/>
      <c r="H4534" s="2"/>
      <c r="I4534" s="2"/>
      <c r="J4534" s="2"/>
      <c r="K4534" s="2"/>
      <c r="L4534" s="2"/>
      <c r="M4534" s="2"/>
      <c r="N4534" s="2"/>
      <c r="O4534" s="2"/>
      <c r="P4534" s="2"/>
      <c r="Q4534" s="2"/>
      <c r="R4534" s="2"/>
      <c r="S4534" s="2"/>
      <c r="T4534" s="2"/>
      <c r="U4534" s="2"/>
      <c r="V4534" s="2"/>
      <c r="W4534" s="2"/>
    </row>
    <row r="4535" spans="1:23" x14ac:dyDescent="0.25">
      <c r="A4535" s="2"/>
      <c r="B4535" s="2"/>
      <c r="C4535" s="1"/>
      <c r="D4535" s="2"/>
      <c r="E4535" s="2"/>
      <c r="F4535" s="2"/>
      <c r="G4535" s="2"/>
      <c r="H4535" s="2"/>
      <c r="I4535" s="2"/>
      <c r="J4535" s="2"/>
      <c r="K4535" s="2"/>
      <c r="L4535" s="2"/>
      <c r="M4535" s="2"/>
      <c r="N4535" s="2"/>
      <c r="O4535" s="2"/>
      <c r="P4535" s="2"/>
      <c r="Q4535" s="2"/>
      <c r="R4535" s="2"/>
      <c r="S4535" s="2"/>
      <c r="T4535" s="2"/>
      <c r="U4535" s="2"/>
      <c r="V4535" s="2"/>
      <c r="W4535" s="2"/>
    </row>
    <row r="4536" spans="1:23" x14ac:dyDescent="0.25">
      <c r="A4536" s="2"/>
      <c r="B4536" s="2"/>
      <c r="C4536" s="1"/>
      <c r="D4536" s="2"/>
      <c r="E4536" s="2"/>
      <c r="F4536" s="2"/>
      <c r="G4536" s="2"/>
      <c r="H4536" s="2"/>
      <c r="I4536" s="2"/>
      <c r="J4536" s="2"/>
      <c r="K4536" s="2"/>
      <c r="L4536" s="2"/>
      <c r="M4536" s="2"/>
      <c r="N4536" s="2"/>
      <c r="O4536" s="2"/>
      <c r="P4536" s="2"/>
      <c r="Q4536" s="2"/>
      <c r="R4536" s="2"/>
      <c r="S4536" s="2"/>
      <c r="T4536" s="2"/>
      <c r="U4536" s="2"/>
      <c r="V4536" s="2"/>
      <c r="W4536" s="2"/>
    </row>
    <row r="4537" spans="1:23" x14ac:dyDescent="0.25">
      <c r="A4537" s="2"/>
      <c r="B4537" s="2"/>
      <c r="C4537" s="1"/>
      <c r="D4537" s="2"/>
      <c r="E4537" s="2"/>
      <c r="F4537" s="2"/>
      <c r="G4537" s="2"/>
      <c r="H4537" s="2"/>
      <c r="I4537" s="2"/>
      <c r="J4537" s="2"/>
      <c r="K4537" s="2"/>
      <c r="L4537" s="2"/>
      <c r="M4537" s="2"/>
      <c r="N4537" s="2"/>
      <c r="O4537" s="2"/>
      <c r="P4537" s="2"/>
      <c r="Q4537" s="2"/>
      <c r="R4537" s="2"/>
      <c r="S4537" s="2"/>
      <c r="T4537" s="2"/>
      <c r="U4537" s="2"/>
      <c r="V4537" s="2"/>
      <c r="W4537" s="2"/>
    </row>
    <row r="4538" spans="1:23" x14ac:dyDescent="0.25">
      <c r="A4538" s="2"/>
      <c r="B4538" s="2"/>
      <c r="C4538" s="1"/>
      <c r="D4538" s="2"/>
      <c r="E4538" s="2"/>
      <c r="F4538" s="2"/>
      <c r="G4538" s="2"/>
      <c r="H4538" s="2"/>
      <c r="I4538" s="2"/>
      <c r="J4538" s="2"/>
      <c r="K4538" s="2"/>
      <c r="L4538" s="2"/>
      <c r="M4538" s="2"/>
      <c r="N4538" s="2"/>
      <c r="O4538" s="2"/>
      <c r="P4538" s="2"/>
      <c r="Q4538" s="2"/>
      <c r="R4538" s="2"/>
      <c r="S4538" s="2"/>
      <c r="T4538" s="2"/>
      <c r="U4538" s="2"/>
      <c r="V4538" s="2"/>
      <c r="W4538" s="2"/>
    </row>
    <row r="4539" spans="1:23" x14ac:dyDescent="0.25">
      <c r="A4539" s="2"/>
      <c r="B4539" s="2"/>
      <c r="C4539" s="1"/>
      <c r="D4539" s="2"/>
      <c r="E4539" s="2"/>
      <c r="F4539" s="2"/>
      <c r="G4539" s="2"/>
      <c r="H4539" s="2"/>
      <c r="I4539" s="2"/>
      <c r="J4539" s="2"/>
      <c r="K4539" s="2"/>
      <c r="L4539" s="2"/>
      <c r="M4539" s="2"/>
      <c r="N4539" s="2"/>
      <c r="O4539" s="2"/>
      <c r="P4539" s="2"/>
      <c r="Q4539" s="2"/>
      <c r="R4539" s="2"/>
      <c r="S4539" s="2"/>
      <c r="T4539" s="2"/>
      <c r="U4539" s="2"/>
      <c r="V4539" s="2"/>
      <c r="W4539" s="2"/>
    </row>
    <row r="4540" spans="1:23" x14ac:dyDescent="0.25">
      <c r="A4540" s="2"/>
      <c r="B4540" s="2"/>
      <c r="C4540" s="1"/>
      <c r="D4540" s="2"/>
      <c r="E4540" s="2"/>
      <c r="F4540" s="2"/>
      <c r="G4540" s="2"/>
      <c r="H4540" s="2"/>
      <c r="I4540" s="2"/>
      <c r="J4540" s="2"/>
      <c r="K4540" s="2"/>
      <c r="L4540" s="2"/>
      <c r="M4540" s="2"/>
      <c r="N4540" s="2"/>
      <c r="O4540" s="2"/>
      <c r="P4540" s="2"/>
      <c r="Q4540" s="2"/>
      <c r="R4540" s="2"/>
      <c r="S4540" s="2"/>
      <c r="T4540" s="2"/>
      <c r="U4540" s="2"/>
      <c r="V4540" s="2"/>
      <c r="W4540" s="2"/>
    </row>
    <row r="4541" spans="1:23" x14ac:dyDescent="0.25">
      <c r="A4541" s="2"/>
      <c r="B4541" s="2"/>
      <c r="C4541" s="1"/>
      <c r="D4541" s="2"/>
      <c r="E4541" s="2"/>
      <c r="F4541" s="2"/>
      <c r="G4541" s="2"/>
      <c r="H4541" s="2"/>
      <c r="I4541" s="2"/>
      <c r="J4541" s="2"/>
      <c r="K4541" s="2"/>
      <c r="L4541" s="2"/>
      <c r="M4541" s="2"/>
      <c r="N4541" s="2"/>
      <c r="O4541" s="2"/>
      <c r="P4541" s="2"/>
      <c r="Q4541" s="2"/>
      <c r="R4541" s="2"/>
      <c r="S4541" s="2"/>
      <c r="T4541" s="2"/>
      <c r="U4541" s="2"/>
      <c r="V4541" s="2"/>
      <c r="W4541" s="2"/>
    </row>
    <row r="4542" spans="1:23" x14ac:dyDescent="0.25">
      <c r="A4542" s="2"/>
      <c r="B4542" s="2"/>
      <c r="C4542" s="1"/>
      <c r="D4542" s="2"/>
      <c r="E4542" s="2"/>
      <c r="F4542" s="2"/>
      <c r="G4542" s="2"/>
      <c r="H4542" s="2"/>
      <c r="I4542" s="2"/>
      <c r="J4542" s="2"/>
      <c r="K4542" s="2"/>
      <c r="L4542" s="2"/>
      <c r="M4542" s="2"/>
      <c r="N4542" s="2"/>
      <c r="O4542" s="2"/>
      <c r="P4542" s="2"/>
      <c r="Q4542" s="2"/>
      <c r="R4542" s="2"/>
      <c r="S4542" s="2"/>
      <c r="T4542" s="2"/>
      <c r="U4542" s="2"/>
      <c r="V4542" s="2"/>
      <c r="W4542" s="2"/>
    </row>
    <row r="4543" spans="1:23" x14ac:dyDescent="0.25">
      <c r="A4543" s="2"/>
      <c r="B4543" s="2"/>
      <c r="C4543" s="1"/>
      <c r="D4543" s="2"/>
      <c r="E4543" s="2"/>
      <c r="F4543" s="2"/>
      <c r="G4543" s="2"/>
      <c r="H4543" s="2"/>
      <c r="I4543" s="2"/>
      <c r="J4543" s="2"/>
      <c r="K4543" s="2"/>
      <c r="L4543" s="2"/>
      <c r="M4543" s="2"/>
      <c r="N4543" s="2"/>
      <c r="O4543" s="2"/>
      <c r="P4543" s="2"/>
      <c r="Q4543" s="2"/>
      <c r="R4543" s="2"/>
      <c r="S4543" s="2"/>
      <c r="T4543" s="2"/>
      <c r="U4543" s="2"/>
      <c r="V4543" s="2"/>
      <c r="W4543" s="2"/>
    </row>
    <row r="4544" spans="1:23" x14ac:dyDescent="0.25">
      <c r="A4544" s="2"/>
      <c r="B4544" s="2"/>
      <c r="C4544" s="1"/>
      <c r="D4544" s="2"/>
      <c r="E4544" s="2"/>
      <c r="F4544" s="2"/>
      <c r="G4544" s="2"/>
      <c r="H4544" s="2"/>
      <c r="I4544" s="2"/>
      <c r="J4544" s="2"/>
      <c r="K4544" s="2"/>
      <c r="L4544" s="2"/>
      <c r="M4544" s="2"/>
      <c r="N4544" s="2"/>
      <c r="O4544" s="2"/>
      <c r="P4544" s="2"/>
      <c r="Q4544" s="2"/>
      <c r="R4544" s="2"/>
      <c r="S4544" s="2"/>
      <c r="T4544" s="2"/>
      <c r="U4544" s="2"/>
      <c r="V4544" s="2"/>
      <c r="W4544" s="2"/>
    </row>
    <row r="4545" spans="1:23" x14ac:dyDescent="0.25">
      <c r="A4545" s="2"/>
      <c r="B4545" s="2"/>
      <c r="C4545" s="1"/>
      <c r="D4545" s="2"/>
      <c r="E4545" s="2"/>
      <c r="F4545" s="2"/>
      <c r="G4545" s="2"/>
      <c r="H4545" s="2"/>
      <c r="I4545" s="2"/>
      <c r="J4545" s="2"/>
      <c r="K4545" s="2"/>
      <c r="L4545" s="2"/>
      <c r="M4545" s="2"/>
      <c r="N4545" s="2"/>
      <c r="O4545" s="2"/>
      <c r="P4545" s="2"/>
      <c r="Q4545" s="2"/>
      <c r="R4545" s="2"/>
      <c r="S4545" s="2"/>
      <c r="T4545" s="2"/>
      <c r="U4545" s="2"/>
      <c r="V4545" s="2"/>
      <c r="W4545" s="2"/>
    </row>
    <row r="4546" spans="1:23" x14ac:dyDescent="0.25">
      <c r="A4546" s="2"/>
      <c r="B4546" s="2"/>
      <c r="C4546" s="1"/>
      <c r="D4546" s="2"/>
      <c r="E4546" s="2"/>
      <c r="F4546" s="2"/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  <c r="S4546" s="2"/>
      <c r="T4546" s="2"/>
      <c r="U4546" s="2"/>
      <c r="V4546" s="2"/>
      <c r="W4546" s="2"/>
    </row>
    <row r="4547" spans="1:23" x14ac:dyDescent="0.25">
      <c r="A4547" s="2"/>
      <c r="B4547" s="2"/>
      <c r="C4547" s="1"/>
      <c r="D4547" s="2"/>
      <c r="E4547" s="2"/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  <c r="S4547" s="2"/>
      <c r="T4547" s="2"/>
      <c r="U4547" s="2"/>
      <c r="V4547" s="2"/>
      <c r="W4547" s="2"/>
    </row>
    <row r="4548" spans="1:23" x14ac:dyDescent="0.25">
      <c r="A4548" s="2"/>
      <c r="B4548" s="2"/>
      <c r="C4548" s="1"/>
      <c r="D4548" s="2"/>
      <c r="E4548" s="2"/>
      <c r="F4548" s="2"/>
      <c r="G4548" s="2"/>
      <c r="H4548" s="2"/>
      <c r="I4548" s="2"/>
      <c r="J4548" s="2"/>
      <c r="K4548" s="2"/>
      <c r="L4548" s="2"/>
      <c r="M4548" s="2"/>
      <c r="N4548" s="2"/>
      <c r="O4548" s="2"/>
      <c r="P4548" s="2"/>
      <c r="Q4548" s="2"/>
      <c r="R4548" s="2"/>
      <c r="S4548" s="2"/>
      <c r="T4548" s="2"/>
      <c r="U4548" s="2"/>
      <c r="V4548" s="2"/>
      <c r="W4548" s="2"/>
    </row>
    <row r="4549" spans="1:23" x14ac:dyDescent="0.25">
      <c r="A4549" s="2"/>
      <c r="B4549" s="2"/>
      <c r="C4549" s="1"/>
      <c r="D4549" s="2"/>
      <c r="E4549" s="2"/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2"/>
      <c r="Q4549" s="2"/>
      <c r="R4549" s="2"/>
      <c r="S4549" s="2"/>
      <c r="T4549" s="2"/>
      <c r="U4549" s="2"/>
      <c r="V4549" s="2"/>
      <c r="W4549" s="2"/>
    </row>
    <row r="4550" spans="1:23" x14ac:dyDescent="0.25">
      <c r="A4550" s="2"/>
      <c r="B4550" s="2"/>
      <c r="C4550" s="1"/>
      <c r="D4550" s="2"/>
      <c r="E4550" s="2"/>
      <c r="F4550" s="2"/>
      <c r="G4550" s="2"/>
      <c r="H4550" s="2"/>
      <c r="I4550" s="2"/>
      <c r="J4550" s="2"/>
      <c r="K4550" s="2"/>
      <c r="L4550" s="2"/>
      <c r="M4550" s="2"/>
      <c r="N4550" s="2"/>
      <c r="O4550" s="2"/>
      <c r="P4550" s="2"/>
      <c r="Q4550" s="2"/>
      <c r="R4550" s="2"/>
      <c r="S4550" s="2"/>
      <c r="T4550" s="2"/>
      <c r="U4550" s="2"/>
      <c r="V4550" s="2"/>
      <c r="W4550" s="2"/>
    </row>
    <row r="4551" spans="1:23" x14ac:dyDescent="0.25">
      <c r="A4551" s="2"/>
      <c r="B4551" s="2"/>
      <c r="C4551" s="1"/>
      <c r="D4551" s="2"/>
      <c r="E4551" s="2"/>
      <c r="F4551" s="2"/>
      <c r="G4551" s="2"/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  <c r="S4551" s="2"/>
      <c r="T4551" s="2"/>
      <c r="U4551" s="2"/>
      <c r="V4551" s="2"/>
      <c r="W4551" s="2"/>
    </row>
    <row r="4552" spans="1:23" x14ac:dyDescent="0.25">
      <c r="A4552" s="2"/>
      <c r="B4552" s="2"/>
      <c r="C4552" s="1"/>
      <c r="D4552" s="2"/>
      <c r="E4552" s="2"/>
      <c r="F4552" s="2"/>
      <c r="G4552" s="2"/>
      <c r="H4552" s="2"/>
      <c r="I4552" s="2"/>
      <c r="J4552" s="2"/>
      <c r="K4552" s="2"/>
      <c r="L4552" s="2"/>
      <c r="M4552" s="2"/>
      <c r="N4552" s="2"/>
      <c r="O4552" s="2"/>
      <c r="P4552" s="2"/>
      <c r="Q4552" s="2"/>
      <c r="R4552" s="2"/>
      <c r="S4552" s="2"/>
      <c r="T4552" s="2"/>
      <c r="U4552" s="2"/>
      <c r="V4552" s="2"/>
      <c r="W4552" s="2"/>
    </row>
    <row r="4553" spans="1:23" x14ac:dyDescent="0.25">
      <c r="A4553" s="2"/>
      <c r="B4553" s="2"/>
      <c r="C4553" s="1"/>
      <c r="D4553" s="2"/>
      <c r="E4553" s="2"/>
      <c r="F4553" s="2"/>
      <c r="G4553" s="2"/>
      <c r="H4553" s="2"/>
      <c r="I4553" s="2"/>
      <c r="J4553" s="2"/>
      <c r="K4553" s="2"/>
      <c r="L4553" s="2"/>
      <c r="M4553" s="2"/>
      <c r="N4553" s="2"/>
      <c r="O4553" s="2"/>
      <c r="P4553" s="2"/>
      <c r="Q4553" s="2"/>
      <c r="R4553" s="2"/>
      <c r="S4553" s="2"/>
      <c r="T4553" s="2"/>
      <c r="U4553" s="2"/>
      <c r="V4553" s="2"/>
      <c r="W4553" s="2"/>
    </row>
    <row r="4554" spans="1:23" x14ac:dyDescent="0.25">
      <c r="A4554" s="2"/>
      <c r="B4554" s="2"/>
      <c r="C4554" s="1"/>
      <c r="D4554" s="2"/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/>
      <c r="P4554" s="2"/>
      <c r="Q4554" s="2"/>
      <c r="R4554" s="2"/>
      <c r="S4554" s="2"/>
      <c r="T4554" s="2"/>
      <c r="U4554" s="2"/>
      <c r="V4554" s="2"/>
      <c r="W4554" s="2"/>
    </row>
    <row r="4555" spans="1:23" x14ac:dyDescent="0.25">
      <c r="A4555" s="2"/>
      <c r="B4555" s="2"/>
      <c r="C4555" s="1"/>
      <c r="D4555" s="2"/>
      <c r="E4555" s="2"/>
      <c r="F4555" s="2"/>
      <c r="G4555" s="2"/>
      <c r="H4555" s="2"/>
      <c r="I4555" s="2"/>
      <c r="J4555" s="2"/>
      <c r="K4555" s="2"/>
      <c r="L4555" s="2"/>
      <c r="M4555" s="2"/>
      <c r="N4555" s="2"/>
      <c r="O4555" s="2"/>
      <c r="P4555" s="2"/>
      <c r="Q4555" s="2"/>
      <c r="R4555" s="2"/>
      <c r="S4555" s="2"/>
      <c r="T4555" s="2"/>
      <c r="U4555" s="2"/>
      <c r="V4555" s="2"/>
      <c r="W4555" s="2"/>
    </row>
    <row r="4556" spans="1:23" x14ac:dyDescent="0.25">
      <c r="A4556" s="2"/>
      <c r="B4556" s="2"/>
      <c r="C4556" s="1"/>
      <c r="D4556" s="2"/>
      <c r="E4556" s="2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  <c r="S4556" s="2"/>
      <c r="T4556" s="2"/>
      <c r="U4556" s="2"/>
      <c r="V4556" s="2"/>
      <c r="W4556" s="2"/>
    </row>
    <row r="4557" spans="1:23" x14ac:dyDescent="0.25">
      <c r="A4557" s="2"/>
      <c r="B4557" s="2"/>
      <c r="C4557" s="1"/>
      <c r="D4557" s="2"/>
      <c r="E4557" s="2"/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  <c r="S4557" s="2"/>
      <c r="T4557" s="2"/>
      <c r="U4557" s="2"/>
      <c r="V4557" s="2"/>
      <c r="W4557" s="2"/>
    </row>
    <row r="4558" spans="1:23" x14ac:dyDescent="0.25">
      <c r="A4558" s="2"/>
      <c r="B4558" s="2"/>
      <c r="C4558" s="1"/>
      <c r="D4558" s="2"/>
      <c r="E4558" s="2"/>
      <c r="F4558" s="2"/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  <c r="S4558" s="2"/>
      <c r="T4558" s="2"/>
      <c r="U4558" s="2"/>
      <c r="V4558" s="2"/>
      <c r="W4558" s="2"/>
    </row>
    <row r="4559" spans="1:23" x14ac:dyDescent="0.25">
      <c r="A4559" s="2"/>
      <c r="B4559" s="2"/>
      <c r="C4559" s="1"/>
      <c r="D4559" s="2"/>
      <c r="E4559" s="2"/>
      <c r="F4559" s="2"/>
      <c r="G4559" s="2"/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  <c r="S4559" s="2"/>
      <c r="T4559" s="2"/>
      <c r="U4559" s="2"/>
      <c r="V4559" s="2"/>
      <c r="W4559" s="2"/>
    </row>
    <row r="4560" spans="1:23" x14ac:dyDescent="0.25">
      <c r="A4560" s="2"/>
      <c r="B4560" s="2"/>
      <c r="C4560" s="1"/>
      <c r="D4560" s="2"/>
      <c r="E4560" s="2"/>
      <c r="F4560" s="2"/>
      <c r="G4560" s="2"/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  <c r="S4560" s="2"/>
      <c r="T4560" s="2"/>
      <c r="U4560" s="2"/>
      <c r="V4560" s="2"/>
      <c r="W4560" s="2"/>
    </row>
    <row r="4561" spans="1:23" x14ac:dyDescent="0.25">
      <c r="A4561" s="2"/>
      <c r="B4561" s="2"/>
      <c r="C4561" s="1"/>
      <c r="D4561" s="2"/>
      <c r="E4561" s="2"/>
      <c r="F4561" s="2"/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  <c r="S4561" s="2"/>
      <c r="T4561" s="2"/>
      <c r="U4561" s="2"/>
      <c r="V4561" s="2"/>
      <c r="W4561" s="2"/>
    </row>
    <row r="4562" spans="1:23" x14ac:dyDescent="0.25">
      <c r="A4562" s="2"/>
      <c r="B4562" s="2"/>
      <c r="C4562" s="1"/>
      <c r="D4562" s="2"/>
      <c r="E4562" s="2"/>
      <c r="F4562" s="2"/>
      <c r="G4562" s="2"/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  <c r="S4562" s="2"/>
      <c r="T4562" s="2"/>
      <c r="U4562" s="2"/>
      <c r="V4562" s="2"/>
      <c r="W4562" s="2"/>
    </row>
    <row r="4563" spans="1:23" x14ac:dyDescent="0.25">
      <c r="A4563" s="2"/>
      <c r="B4563" s="2"/>
      <c r="C4563" s="1"/>
      <c r="D4563" s="2"/>
      <c r="E4563" s="2"/>
      <c r="F4563" s="2"/>
      <c r="G4563" s="2"/>
      <c r="H4563" s="2"/>
      <c r="I4563" s="2"/>
      <c r="J4563" s="2"/>
      <c r="K4563" s="2"/>
      <c r="L4563" s="2"/>
      <c r="M4563" s="2"/>
      <c r="N4563" s="2"/>
      <c r="O4563" s="2"/>
      <c r="P4563" s="2"/>
      <c r="Q4563" s="2"/>
      <c r="R4563" s="2"/>
      <c r="S4563" s="2"/>
      <c r="T4563" s="2"/>
      <c r="U4563" s="2"/>
      <c r="V4563" s="2"/>
      <c r="W4563" s="2"/>
    </row>
    <row r="4564" spans="1:23" x14ac:dyDescent="0.25">
      <c r="A4564" s="2"/>
      <c r="B4564" s="2"/>
      <c r="C4564" s="1"/>
      <c r="D4564" s="2"/>
      <c r="E4564" s="2"/>
      <c r="F4564" s="2"/>
      <c r="G4564" s="2"/>
      <c r="H4564" s="2"/>
      <c r="I4564" s="2"/>
      <c r="J4564" s="2"/>
      <c r="K4564" s="2"/>
      <c r="L4564" s="2"/>
      <c r="M4564" s="2"/>
      <c r="N4564" s="2"/>
      <c r="O4564" s="2"/>
      <c r="P4564" s="2"/>
      <c r="Q4564" s="2"/>
      <c r="R4564" s="2"/>
      <c r="S4564" s="2"/>
      <c r="T4564" s="2"/>
      <c r="U4564" s="2"/>
      <c r="V4564" s="2"/>
      <c r="W4564" s="2"/>
    </row>
    <row r="4565" spans="1:23" x14ac:dyDescent="0.25">
      <c r="A4565" s="2"/>
      <c r="B4565" s="2"/>
      <c r="C4565" s="1"/>
      <c r="D4565" s="2"/>
      <c r="E4565" s="2"/>
      <c r="F4565" s="2"/>
      <c r="G4565" s="2"/>
      <c r="H4565" s="2"/>
      <c r="I4565" s="2"/>
      <c r="J4565" s="2"/>
      <c r="K4565" s="2"/>
      <c r="L4565" s="2"/>
      <c r="M4565" s="2"/>
      <c r="N4565" s="2"/>
      <c r="O4565" s="2"/>
      <c r="P4565" s="2"/>
      <c r="Q4565" s="2"/>
      <c r="R4565" s="2"/>
      <c r="S4565" s="2"/>
      <c r="T4565" s="2"/>
      <c r="U4565" s="2"/>
      <c r="V4565" s="2"/>
      <c r="W4565" s="2"/>
    </row>
    <row r="4566" spans="1:23" x14ac:dyDescent="0.25">
      <c r="A4566" s="2"/>
      <c r="B4566" s="2"/>
      <c r="C4566" s="1"/>
      <c r="D4566" s="2"/>
      <c r="E4566" s="2"/>
      <c r="F4566" s="2"/>
      <c r="G4566" s="2"/>
      <c r="H4566" s="2"/>
      <c r="I4566" s="2"/>
      <c r="J4566" s="2"/>
      <c r="K4566" s="2"/>
      <c r="L4566" s="2"/>
      <c r="M4566" s="2"/>
      <c r="N4566" s="2"/>
      <c r="O4566" s="2"/>
      <c r="P4566" s="2"/>
      <c r="Q4566" s="2"/>
      <c r="R4566" s="2"/>
      <c r="S4566" s="2"/>
      <c r="T4566" s="2"/>
      <c r="U4566" s="2"/>
      <c r="V4566" s="2"/>
      <c r="W4566" s="2"/>
    </row>
    <row r="4567" spans="1:23" x14ac:dyDescent="0.25">
      <c r="A4567" s="2"/>
      <c r="B4567" s="2"/>
      <c r="C4567" s="1"/>
      <c r="D4567" s="2"/>
      <c r="E4567" s="2"/>
      <c r="F4567" s="2"/>
      <c r="G4567" s="2"/>
      <c r="H4567" s="2"/>
      <c r="I4567" s="2"/>
      <c r="J4567" s="2"/>
      <c r="K4567" s="2"/>
      <c r="L4567" s="2"/>
      <c r="M4567" s="2"/>
      <c r="N4567" s="2"/>
      <c r="O4567" s="2"/>
      <c r="P4567" s="2"/>
      <c r="Q4567" s="2"/>
      <c r="R4567" s="2"/>
      <c r="S4567" s="2"/>
      <c r="T4567" s="2"/>
      <c r="U4567" s="2"/>
      <c r="V4567" s="2"/>
      <c r="W4567" s="2"/>
    </row>
    <row r="4568" spans="1:23" x14ac:dyDescent="0.25">
      <c r="A4568" s="2"/>
      <c r="B4568" s="2"/>
      <c r="C4568" s="1"/>
      <c r="D4568" s="2"/>
      <c r="E4568" s="2"/>
      <c r="F4568" s="2"/>
      <c r="G4568" s="2"/>
      <c r="H4568" s="2"/>
      <c r="I4568" s="2"/>
      <c r="J4568" s="2"/>
      <c r="K4568" s="2"/>
      <c r="L4568" s="2"/>
      <c r="M4568" s="2"/>
      <c r="N4568" s="2"/>
      <c r="O4568" s="2"/>
      <c r="P4568" s="2"/>
      <c r="Q4568" s="2"/>
      <c r="R4568" s="2"/>
      <c r="S4568" s="2"/>
      <c r="T4568" s="2"/>
      <c r="U4568" s="2"/>
      <c r="V4568" s="2"/>
      <c r="W4568" s="2"/>
    </row>
    <row r="4569" spans="1:23" x14ac:dyDescent="0.25">
      <c r="A4569" s="2"/>
      <c r="B4569" s="2"/>
      <c r="C4569" s="1"/>
      <c r="D4569" s="2"/>
      <c r="E4569" s="2"/>
      <c r="F4569" s="2"/>
      <c r="G4569" s="2"/>
      <c r="H4569" s="2"/>
      <c r="I4569" s="2"/>
      <c r="J4569" s="2"/>
      <c r="K4569" s="2"/>
      <c r="L4569" s="2"/>
      <c r="M4569" s="2"/>
      <c r="N4569" s="2"/>
      <c r="O4569" s="2"/>
      <c r="P4569" s="2"/>
      <c r="Q4569" s="2"/>
      <c r="R4569" s="2"/>
      <c r="S4569" s="2"/>
      <c r="T4569" s="2"/>
      <c r="U4569" s="2"/>
      <c r="V4569" s="2"/>
      <c r="W4569" s="2"/>
    </row>
    <row r="4570" spans="1:23" x14ac:dyDescent="0.25">
      <c r="A4570" s="2"/>
      <c r="B4570" s="2"/>
      <c r="C4570" s="1"/>
      <c r="D4570" s="2"/>
      <c r="E4570" s="2"/>
      <c r="F4570" s="2"/>
      <c r="G4570" s="2"/>
      <c r="H4570" s="2"/>
      <c r="I4570" s="2"/>
      <c r="J4570" s="2"/>
      <c r="K4570" s="2"/>
      <c r="L4570" s="2"/>
      <c r="M4570" s="2"/>
      <c r="N4570" s="2"/>
      <c r="O4570" s="2"/>
      <c r="P4570" s="2"/>
      <c r="Q4570" s="2"/>
      <c r="R4570" s="2"/>
      <c r="S4570" s="2"/>
      <c r="T4570" s="2"/>
      <c r="U4570" s="2"/>
      <c r="V4570" s="2"/>
      <c r="W4570" s="2"/>
    </row>
    <row r="4571" spans="1:23" x14ac:dyDescent="0.25">
      <c r="A4571" s="2"/>
      <c r="B4571" s="2"/>
      <c r="C4571" s="1"/>
      <c r="D4571" s="2"/>
      <c r="E4571" s="2"/>
      <c r="F4571" s="2"/>
      <c r="G4571" s="2"/>
      <c r="H4571" s="2"/>
      <c r="I4571" s="2"/>
      <c r="J4571" s="2"/>
      <c r="K4571" s="2"/>
      <c r="L4571" s="2"/>
      <c r="M4571" s="2"/>
      <c r="N4571" s="2"/>
      <c r="O4571" s="2"/>
      <c r="P4571" s="2"/>
      <c r="Q4571" s="2"/>
      <c r="R4571" s="2"/>
      <c r="S4571" s="2"/>
      <c r="T4571" s="2"/>
      <c r="U4571" s="2"/>
      <c r="V4571" s="2"/>
      <c r="W4571" s="2"/>
    </row>
    <row r="4572" spans="1:23" x14ac:dyDescent="0.25">
      <c r="A4572" s="2"/>
      <c r="B4572" s="2"/>
      <c r="C4572" s="1"/>
      <c r="D4572" s="2"/>
      <c r="E4572" s="2"/>
      <c r="F4572" s="2"/>
      <c r="G4572" s="2"/>
      <c r="H4572" s="2"/>
      <c r="I4572" s="2"/>
      <c r="J4572" s="2"/>
      <c r="K4572" s="2"/>
      <c r="L4572" s="2"/>
      <c r="M4572" s="2"/>
      <c r="N4572" s="2"/>
      <c r="O4572" s="2"/>
      <c r="P4572" s="2"/>
      <c r="Q4572" s="2"/>
      <c r="R4572" s="2"/>
      <c r="S4572" s="2"/>
      <c r="T4572" s="2"/>
      <c r="U4572" s="2"/>
      <c r="V4572" s="2"/>
      <c r="W4572" s="2"/>
    </row>
    <row r="4573" spans="1:23" x14ac:dyDescent="0.25">
      <c r="A4573" s="2"/>
      <c r="B4573" s="2"/>
      <c r="C4573" s="1"/>
      <c r="D4573" s="2"/>
      <c r="E4573" s="2"/>
      <c r="F4573" s="2"/>
      <c r="G4573" s="2"/>
      <c r="H4573" s="2"/>
      <c r="I4573" s="2"/>
      <c r="J4573" s="2"/>
      <c r="K4573" s="2"/>
      <c r="L4573" s="2"/>
      <c r="M4573" s="2"/>
      <c r="N4573" s="2"/>
      <c r="O4573" s="2"/>
      <c r="P4573" s="2"/>
      <c r="Q4573" s="2"/>
      <c r="R4573" s="2"/>
      <c r="S4573" s="2"/>
      <c r="T4573" s="2"/>
      <c r="U4573" s="2"/>
      <c r="V4573" s="2"/>
      <c r="W4573" s="2"/>
    </row>
    <row r="4574" spans="1:23" x14ac:dyDescent="0.25">
      <c r="A4574" s="2"/>
      <c r="B4574" s="2"/>
      <c r="C4574" s="1"/>
      <c r="D4574" s="2"/>
      <c r="E4574" s="2"/>
      <c r="F4574" s="2"/>
      <c r="G4574" s="2"/>
      <c r="H4574" s="2"/>
      <c r="I4574" s="2"/>
      <c r="J4574" s="2"/>
      <c r="K4574" s="2"/>
      <c r="L4574" s="2"/>
      <c r="M4574" s="2"/>
      <c r="N4574" s="2"/>
      <c r="O4574" s="2"/>
      <c r="P4574" s="2"/>
      <c r="Q4574" s="2"/>
      <c r="R4574" s="2"/>
      <c r="S4574" s="2"/>
      <c r="T4574" s="2"/>
      <c r="U4574" s="2"/>
      <c r="V4574" s="2"/>
      <c r="W4574" s="2"/>
    </row>
    <row r="4575" spans="1:23" x14ac:dyDescent="0.25">
      <c r="A4575" s="2"/>
      <c r="B4575" s="2"/>
      <c r="C4575" s="1"/>
      <c r="D4575" s="2"/>
      <c r="E4575" s="2"/>
      <c r="F4575" s="2"/>
      <c r="G4575" s="2"/>
      <c r="H4575" s="2"/>
      <c r="I4575" s="2"/>
      <c r="J4575" s="2"/>
      <c r="K4575" s="2"/>
      <c r="L4575" s="2"/>
      <c r="M4575" s="2"/>
      <c r="N4575" s="2"/>
      <c r="O4575" s="2"/>
      <c r="P4575" s="2"/>
      <c r="Q4575" s="2"/>
      <c r="R4575" s="2"/>
      <c r="S4575" s="2"/>
      <c r="T4575" s="2"/>
      <c r="U4575" s="2"/>
      <c r="V4575" s="2"/>
      <c r="W4575" s="2"/>
    </row>
    <row r="4576" spans="1:23" x14ac:dyDescent="0.25">
      <c r="A4576" s="2"/>
      <c r="B4576" s="2"/>
      <c r="C4576" s="1"/>
      <c r="D4576" s="2"/>
      <c r="E4576" s="2"/>
      <c r="F4576" s="2"/>
      <c r="G4576" s="2"/>
      <c r="H4576" s="2"/>
      <c r="I4576" s="2"/>
      <c r="J4576" s="2"/>
      <c r="K4576" s="2"/>
      <c r="L4576" s="2"/>
      <c r="M4576" s="2"/>
      <c r="N4576" s="2"/>
      <c r="O4576" s="2"/>
      <c r="P4576" s="2"/>
      <c r="Q4576" s="2"/>
      <c r="R4576" s="2"/>
      <c r="S4576" s="2"/>
      <c r="T4576" s="2"/>
      <c r="U4576" s="2"/>
      <c r="V4576" s="2"/>
      <c r="W4576" s="2"/>
    </row>
    <row r="4577" spans="1:23" x14ac:dyDescent="0.25">
      <c r="A4577" s="2"/>
      <c r="B4577" s="2"/>
      <c r="C4577" s="1"/>
      <c r="D4577" s="2"/>
      <c r="E4577" s="2"/>
      <c r="F4577" s="2"/>
      <c r="G4577" s="2"/>
      <c r="H4577" s="2"/>
      <c r="I4577" s="2"/>
      <c r="J4577" s="2"/>
      <c r="K4577" s="2"/>
      <c r="L4577" s="2"/>
      <c r="M4577" s="2"/>
      <c r="N4577" s="2"/>
      <c r="O4577" s="2"/>
      <c r="P4577" s="2"/>
      <c r="Q4577" s="2"/>
      <c r="R4577" s="2"/>
      <c r="S4577" s="2"/>
      <c r="T4577" s="2"/>
      <c r="U4577" s="2"/>
      <c r="V4577" s="2"/>
      <c r="W4577" s="2"/>
    </row>
    <row r="4578" spans="1:23" x14ac:dyDescent="0.25">
      <c r="A4578" s="2"/>
      <c r="B4578" s="2"/>
      <c r="C4578" s="1"/>
      <c r="D4578" s="2"/>
      <c r="E4578" s="2"/>
      <c r="F4578" s="2"/>
      <c r="G4578" s="2"/>
      <c r="H4578" s="2"/>
      <c r="I4578" s="2"/>
      <c r="J4578" s="2"/>
      <c r="K4578" s="2"/>
      <c r="L4578" s="2"/>
      <c r="M4578" s="2"/>
      <c r="N4578" s="2"/>
      <c r="O4578" s="2"/>
      <c r="P4578" s="2"/>
      <c r="Q4578" s="2"/>
      <c r="R4578" s="2"/>
      <c r="S4578" s="2"/>
      <c r="T4578" s="2"/>
      <c r="U4578" s="2"/>
      <c r="V4578" s="2"/>
      <c r="W4578" s="2"/>
    </row>
    <row r="4579" spans="1:23" x14ac:dyDescent="0.25">
      <c r="A4579" s="2"/>
      <c r="B4579" s="2"/>
      <c r="C4579" s="1"/>
      <c r="D4579" s="2"/>
      <c r="E4579" s="2"/>
      <c r="F4579" s="2"/>
      <c r="G4579" s="2"/>
      <c r="H4579" s="2"/>
      <c r="I4579" s="2"/>
      <c r="J4579" s="2"/>
      <c r="K4579" s="2"/>
      <c r="L4579" s="2"/>
      <c r="M4579" s="2"/>
      <c r="N4579" s="2"/>
      <c r="O4579" s="2"/>
      <c r="P4579" s="2"/>
      <c r="Q4579" s="2"/>
      <c r="R4579" s="2"/>
      <c r="S4579" s="2"/>
      <c r="T4579" s="2"/>
      <c r="U4579" s="2"/>
      <c r="V4579" s="2"/>
      <c r="W4579" s="2"/>
    </row>
    <row r="4580" spans="1:23" x14ac:dyDescent="0.25">
      <c r="A4580" s="2"/>
      <c r="B4580" s="2"/>
      <c r="C4580" s="1"/>
      <c r="D4580" s="2"/>
      <c r="E4580" s="2"/>
      <c r="F4580" s="2"/>
      <c r="G4580" s="2"/>
      <c r="H4580" s="2"/>
      <c r="I4580" s="2"/>
      <c r="J4580" s="2"/>
      <c r="K4580" s="2"/>
      <c r="L4580" s="2"/>
      <c r="M4580" s="2"/>
      <c r="N4580" s="2"/>
      <c r="O4580" s="2"/>
      <c r="P4580" s="2"/>
      <c r="Q4580" s="2"/>
      <c r="R4580" s="2"/>
      <c r="S4580" s="2"/>
      <c r="T4580" s="2"/>
      <c r="U4580" s="2"/>
      <c r="V4580" s="2"/>
      <c r="W4580" s="2"/>
    </row>
    <row r="4581" spans="1:23" x14ac:dyDescent="0.25">
      <c r="A4581" s="2"/>
      <c r="B4581" s="2"/>
      <c r="C4581" s="1"/>
      <c r="D4581" s="2"/>
      <c r="E4581" s="2"/>
      <c r="F4581" s="2"/>
      <c r="G4581" s="2"/>
      <c r="H4581" s="2"/>
      <c r="I4581" s="2"/>
      <c r="J4581" s="2"/>
      <c r="K4581" s="2"/>
      <c r="L4581" s="2"/>
      <c r="M4581" s="2"/>
      <c r="N4581" s="2"/>
      <c r="O4581" s="2"/>
      <c r="P4581" s="2"/>
      <c r="Q4581" s="2"/>
      <c r="R4581" s="2"/>
      <c r="S4581" s="2"/>
      <c r="T4581" s="2"/>
      <c r="U4581" s="2"/>
      <c r="V4581" s="2"/>
      <c r="W4581" s="2"/>
    </row>
    <row r="4582" spans="1:23" x14ac:dyDescent="0.25">
      <c r="A4582" s="2"/>
      <c r="B4582" s="2"/>
      <c r="C4582" s="1"/>
      <c r="D4582" s="2"/>
      <c r="E4582" s="2"/>
      <c r="F4582" s="2"/>
      <c r="G4582" s="2"/>
      <c r="H4582" s="2"/>
      <c r="I4582" s="2"/>
      <c r="J4582" s="2"/>
      <c r="K4582" s="2"/>
      <c r="L4582" s="2"/>
      <c r="M4582" s="2"/>
      <c r="N4582" s="2"/>
      <c r="O4582" s="2"/>
      <c r="P4582" s="2"/>
      <c r="Q4582" s="2"/>
      <c r="R4582" s="2"/>
      <c r="S4582" s="2"/>
      <c r="T4582" s="2"/>
      <c r="U4582" s="2"/>
      <c r="V4582" s="2"/>
      <c r="W4582" s="2"/>
    </row>
    <row r="4583" spans="1:23" x14ac:dyDescent="0.25">
      <c r="A4583" s="2"/>
      <c r="B4583" s="2"/>
      <c r="C4583" s="1"/>
      <c r="D4583" s="2"/>
      <c r="E4583" s="2"/>
      <c r="F4583" s="2"/>
      <c r="G4583" s="2"/>
      <c r="H4583" s="2"/>
      <c r="I4583" s="2"/>
      <c r="J4583" s="2"/>
      <c r="K4583" s="2"/>
      <c r="L4583" s="2"/>
      <c r="M4583" s="2"/>
      <c r="N4583" s="2"/>
      <c r="O4583" s="2"/>
      <c r="P4583" s="2"/>
      <c r="Q4583" s="2"/>
      <c r="R4583" s="2"/>
      <c r="S4583" s="2"/>
      <c r="T4583" s="2"/>
      <c r="U4583" s="2"/>
      <c r="V4583" s="2"/>
      <c r="W4583" s="2"/>
    </row>
    <row r="4584" spans="1:23" x14ac:dyDescent="0.25">
      <c r="A4584" s="2"/>
      <c r="B4584" s="2"/>
      <c r="C4584" s="1"/>
      <c r="D4584" s="2"/>
      <c r="E4584" s="2"/>
      <c r="F4584" s="2"/>
      <c r="G4584" s="2"/>
      <c r="H4584" s="2"/>
      <c r="I4584" s="2"/>
      <c r="J4584" s="2"/>
      <c r="K4584" s="2"/>
      <c r="L4584" s="2"/>
      <c r="M4584" s="2"/>
      <c r="N4584" s="2"/>
      <c r="O4584" s="2"/>
      <c r="P4584" s="2"/>
      <c r="Q4584" s="2"/>
      <c r="R4584" s="2"/>
      <c r="S4584" s="2"/>
      <c r="T4584" s="2"/>
      <c r="U4584" s="2"/>
      <c r="V4584" s="2"/>
      <c r="W4584" s="2"/>
    </row>
    <row r="4585" spans="1:23" x14ac:dyDescent="0.25">
      <c r="A4585" s="2"/>
      <c r="B4585" s="2"/>
      <c r="C4585" s="1"/>
      <c r="D4585" s="2"/>
      <c r="E4585" s="2"/>
      <c r="F4585" s="2"/>
      <c r="G4585" s="2"/>
      <c r="H4585" s="2"/>
      <c r="I4585" s="2"/>
      <c r="J4585" s="2"/>
      <c r="K4585" s="2"/>
      <c r="L4585" s="2"/>
      <c r="M4585" s="2"/>
      <c r="N4585" s="2"/>
      <c r="O4585" s="2"/>
      <c r="P4585" s="2"/>
      <c r="Q4585" s="2"/>
      <c r="R4585" s="2"/>
      <c r="S4585" s="2"/>
      <c r="T4585" s="2"/>
      <c r="U4585" s="2"/>
      <c r="V4585" s="2"/>
      <c r="W4585" s="2"/>
    </row>
    <row r="4586" spans="1:23" x14ac:dyDescent="0.25">
      <c r="A4586" s="2"/>
      <c r="B4586" s="2"/>
      <c r="C4586" s="1"/>
      <c r="D4586" s="2"/>
      <c r="E4586" s="2"/>
      <c r="F4586" s="2"/>
      <c r="G4586" s="2"/>
      <c r="H4586" s="2"/>
      <c r="I4586" s="2"/>
      <c r="J4586" s="2"/>
      <c r="K4586" s="2"/>
      <c r="L4586" s="2"/>
      <c r="M4586" s="2"/>
      <c r="N4586" s="2"/>
      <c r="O4586" s="2"/>
      <c r="P4586" s="2"/>
      <c r="Q4586" s="2"/>
      <c r="R4586" s="2"/>
      <c r="S4586" s="2"/>
      <c r="T4586" s="2"/>
      <c r="U4586" s="2"/>
      <c r="V4586" s="2"/>
      <c r="W4586" s="2"/>
    </row>
    <row r="4587" spans="1:23" x14ac:dyDescent="0.25">
      <c r="A4587" s="2"/>
      <c r="B4587" s="2"/>
      <c r="C4587" s="1"/>
      <c r="D4587" s="2"/>
      <c r="E4587" s="2"/>
      <c r="F4587" s="2"/>
      <c r="G4587" s="2"/>
      <c r="H4587" s="2"/>
      <c r="I4587" s="2"/>
      <c r="J4587" s="2"/>
      <c r="K4587" s="2"/>
      <c r="L4587" s="2"/>
      <c r="M4587" s="2"/>
      <c r="N4587" s="2"/>
      <c r="O4587" s="2"/>
      <c r="P4587" s="2"/>
      <c r="Q4587" s="2"/>
      <c r="R4587" s="2"/>
      <c r="S4587" s="2"/>
      <c r="T4587" s="2"/>
      <c r="U4587" s="2"/>
      <c r="V4587" s="2"/>
      <c r="W4587" s="2"/>
    </row>
    <row r="4588" spans="1:23" x14ac:dyDescent="0.25">
      <c r="A4588" s="2"/>
      <c r="B4588" s="2"/>
      <c r="C4588" s="1"/>
      <c r="D4588" s="2"/>
      <c r="E4588" s="2"/>
      <c r="F4588" s="2"/>
      <c r="G4588" s="2"/>
      <c r="H4588" s="2"/>
      <c r="I4588" s="2"/>
      <c r="J4588" s="2"/>
      <c r="K4588" s="2"/>
      <c r="L4588" s="2"/>
      <c r="M4588" s="2"/>
      <c r="N4588" s="2"/>
      <c r="O4588" s="2"/>
      <c r="P4588" s="2"/>
      <c r="Q4588" s="2"/>
      <c r="R4588" s="2"/>
      <c r="S4588" s="2"/>
      <c r="T4588" s="2"/>
      <c r="U4588" s="2"/>
      <c r="V4588" s="2"/>
      <c r="W4588" s="2"/>
    </row>
    <row r="4589" spans="1:23" x14ac:dyDescent="0.25">
      <c r="A4589" s="2"/>
      <c r="B4589" s="2"/>
      <c r="C4589" s="1"/>
      <c r="D4589" s="2"/>
      <c r="E4589" s="2"/>
      <c r="F4589" s="2"/>
      <c r="G4589" s="2"/>
      <c r="H4589" s="2"/>
      <c r="I4589" s="2"/>
      <c r="J4589" s="2"/>
      <c r="K4589" s="2"/>
      <c r="L4589" s="2"/>
      <c r="M4589" s="2"/>
      <c r="N4589" s="2"/>
      <c r="O4589" s="2"/>
      <c r="P4589" s="2"/>
      <c r="Q4589" s="2"/>
      <c r="R4589" s="2"/>
      <c r="S4589" s="2"/>
      <c r="T4589" s="2"/>
      <c r="U4589" s="2"/>
      <c r="V4589" s="2"/>
      <c r="W4589" s="2"/>
    </row>
    <row r="4590" spans="1:23" x14ac:dyDescent="0.25">
      <c r="A4590" s="2"/>
      <c r="B4590" s="2"/>
      <c r="C4590" s="1"/>
      <c r="D4590" s="2"/>
      <c r="E4590" s="2"/>
      <c r="F4590" s="2"/>
      <c r="G4590" s="2"/>
      <c r="H4590" s="2"/>
      <c r="I4590" s="2"/>
      <c r="J4590" s="2"/>
      <c r="K4590" s="2"/>
      <c r="L4590" s="2"/>
      <c r="M4590" s="2"/>
      <c r="N4590" s="2"/>
      <c r="O4590" s="2"/>
      <c r="P4590" s="2"/>
      <c r="Q4590" s="2"/>
      <c r="R4590" s="2"/>
      <c r="S4590" s="2"/>
      <c r="T4590" s="2"/>
      <c r="U4590" s="2"/>
      <c r="V4590" s="2"/>
      <c r="W4590" s="2"/>
    </row>
    <row r="4591" spans="1:23" x14ac:dyDescent="0.25">
      <c r="A4591" s="2"/>
      <c r="B4591" s="2"/>
      <c r="C4591" s="1"/>
      <c r="D4591" s="2"/>
      <c r="E4591" s="2"/>
      <c r="F4591" s="2"/>
      <c r="G4591" s="2"/>
      <c r="H4591" s="2"/>
      <c r="I4591" s="2"/>
      <c r="J4591" s="2"/>
      <c r="K4591" s="2"/>
      <c r="L4591" s="2"/>
      <c r="M4591" s="2"/>
      <c r="N4591" s="2"/>
      <c r="O4591" s="2"/>
      <c r="P4591" s="2"/>
      <c r="Q4591" s="2"/>
      <c r="R4591" s="2"/>
      <c r="S4591" s="2"/>
      <c r="T4591" s="2"/>
      <c r="U4591" s="2"/>
      <c r="V4591" s="2"/>
      <c r="W4591" s="2"/>
    </row>
    <row r="4592" spans="1:23" x14ac:dyDescent="0.25">
      <c r="A4592" s="2"/>
      <c r="B4592" s="2"/>
      <c r="C4592" s="1"/>
      <c r="D4592" s="2"/>
      <c r="E4592" s="2"/>
      <c r="F4592" s="2"/>
      <c r="G4592" s="2"/>
      <c r="H4592" s="2"/>
      <c r="I4592" s="2"/>
      <c r="J4592" s="2"/>
      <c r="K4592" s="2"/>
      <c r="L4592" s="2"/>
      <c r="M4592" s="2"/>
      <c r="N4592" s="2"/>
      <c r="O4592" s="2"/>
      <c r="P4592" s="2"/>
      <c r="Q4592" s="2"/>
      <c r="R4592" s="2"/>
      <c r="S4592" s="2"/>
      <c r="T4592" s="2"/>
      <c r="U4592" s="2"/>
      <c r="V4592" s="2"/>
      <c r="W4592" s="2"/>
    </row>
    <row r="4593" spans="1:23" x14ac:dyDescent="0.25">
      <c r="A4593" s="2"/>
      <c r="B4593" s="2"/>
      <c r="C4593" s="1"/>
      <c r="D4593" s="2"/>
      <c r="E4593" s="2"/>
      <c r="F4593" s="2"/>
      <c r="G4593" s="2"/>
      <c r="H4593" s="2"/>
      <c r="I4593" s="2"/>
      <c r="J4593" s="2"/>
      <c r="K4593" s="2"/>
      <c r="L4593" s="2"/>
      <c r="M4593" s="2"/>
      <c r="N4593" s="2"/>
      <c r="O4593" s="2"/>
      <c r="P4593" s="2"/>
      <c r="Q4593" s="2"/>
      <c r="R4593" s="2"/>
      <c r="S4593" s="2"/>
      <c r="T4593" s="2"/>
      <c r="U4593" s="2"/>
      <c r="V4593" s="2"/>
      <c r="W4593" s="2"/>
    </row>
    <row r="4594" spans="1:23" x14ac:dyDescent="0.25">
      <c r="A4594" s="2"/>
      <c r="B4594" s="2"/>
      <c r="C4594" s="1"/>
      <c r="D4594" s="2"/>
      <c r="E4594" s="2"/>
      <c r="F4594" s="2"/>
      <c r="G4594" s="2"/>
      <c r="H4594" s="2"/>
      <c r="I4594" s="2"/>
      <c r="J4594" s="2"/>
      <c r="K4594" s="2"/>
      <c r="L4594" s="2"/>
      <c r="M4594" s="2"/>
      <c r="N4594" s="2"/>
      <c r="O4594" s="2"/>
      <c r="P4594" s="2"/>
      <c r="Q4594" s="2"/>
      <c r="R4594" s="2"/>
      <c r="S4594" s="2"/>
      <c r="T4594" s="2"/>
      <c r="U4594" s="2"/>
      <c r="V4594" s="2"/>
      <c r="W4594" s="2"/>
    </row>
    <row r="4595" spans="1:23" x14ac:dyDescent="0.25">
      <c r="A4595" s="2"/>
      <c r="B4595" s="2"/>
      <c r="C4595" s="1"/>
      <c r="D4595" s="2"/>
      <c r="E4595" s="2"/>
      <c r="F4595" s="2"/>
      <c r="G4595" s="2"/>
      <c r="H4595" s="2"/>
      <c r="I4595" s="2"/>
      <c r="J4595" s="2"/>
      <c r="K4595" s="2"/>
      <c r="L4595" s="2"/>
      <c r="M4595" s="2"/>
      <c r="N4595" s="2"/>
      <c r="O4595" s="2"/>
      <c r="P4595" s="2"/>
      <c r="Q4595" s="2"/>
      <c r="R4595" s="2"/>
      <c r="S4595" s="2"/>
      <c r="T4595" s="2"/>
      <c r="U4595" s="2"/>
      <c r="V4595" s="2"/>
      <c r="W4595" s="2"/>
    </row>
    <row r="4596" spans="1:23" x14ac:dyDescent="0.25">
      <c r="A4596" s="2"/>
      <c r="B4596" s="2"/>
      <c r="C4596" s="1"/>
      <c r="D4596" s="2"/>
      <c r="E4596" s="2"/>
      <c r="F4596" s="2"/>
      <c r="G4596" s="2"/>
      <c r="H4596" s="2"/>
      <c r="I4596" s="2"/>
      <c r="J4596" s="2"/>
      <c r="K4596" s="2"/>
      <c r="L4596" s="2"/>
      <c r="M4596" s="2"/>
      <c r="N4596" s="2"/>
      <c r="O4596" s="2"/>
      <c r="P4596" s="2"/>
      <c r="Q4596" s="2"/>
      <c r="R4596" s="2"/>
      <c r="S4596" s="2"/>
      <c r="T4596" s="2"/>
      <c r="U4596" s="2"/>
      <c r="V4596" s="2"/>
      <c r="W4596" s="2"/>
    </row>
    <row r="4597" spans="1:23" x14ac:dyDescent="0.25">
      <c r="A4597" s="2"/>
      <c r="B4597" s="2"/>
      <c r="C4597" s="1"/>
      <c r="D4597" s="2"/>
      <c r="E4597" s="2"/>
      <c r="F4597" s="2"/>
      <c r="G4597" s="2"/>
      <c r="H4597" s="2"/>
      <c r="I4597" s="2"/>
      <c r="J4597" s="2"/>
      <c r="K4597" s="2"/>
      <c r="L4597" s="2"/>
      <c r="M4597" s="2"/>
      <c r="N4597" s="2"/>
      <c r="O4597" s="2"/>
      <c r="P4597" s="2"/>
      <c r="Q4597" s="2"/>
      <c r="R4597" s="2"/>
      <c r="S4597" s="2"/>
      <c r="T4597" s="2"/>
      <c r="U4597" s="2"/>
      <c r="V4597" s="2"/>
      <c r="W4597" s="2"/>
    </row>
    <row r="4598" spans="1:23" x14ac:dyDescent="0.25">
      <c r="A4598" s="2"/>
      <c r="B4598" s="2"/>
      <c r="C4598" s="1"/>
      <c r="D4598" s="2"/>
      <c r="E4598" s="2"/>
      <c r="F4598" s="2"/>
      <c r="G4598" s="2"/>
      <c r="H4598" s="2"/>
      <c r="I4598" s="2"/>
      <c r="J4598" s="2"/>
      <c r="K4598" s="2"/>
      <c r="L4598" s="2"/>
      <c r="M4598" s="2"/>
      <c r="N4598" s="2"/>
      <c r="O4598" s="2"/>
      <c r="P4598" s="2"/>
      <c r="Q4598" s="2"/>
      <c r="R4598" s="2"/>
      <c r="S4598" s="2"/>
      <c r="T4598" s="2"/>
      <c r="U4598" s="2"/>
      <c r="V4598" s="2"/>
      <c r="W4598" s="2"/>
    </row>
    <row r="4599" spans="1:23" x14ac:dyDescent="0.25">
      <c r="A4599" s="2"/>
      <c r="B4599" s="2"/>
      <c r="C4599" s="1"/>
      <c r="D4599" s="2"/>
      <c r="E4599" s="2"/>
      <c r="F4599" s="2"/>
      <c r="G4599" s="2"/>
      <c r="H4599" s="2"/>
      <c r="I4599" s="2"/>
      <c r="J4599" s="2"/>
      <c r="K4599" s="2"/>
      <c r="L4599" s="2"/>
      <c r="M4599" s="2"/>
      <c r="N4599" s="2"/>
      <c r="O4599" s="2"/>
      <c r="P4599" s="2"/>
      <c r="Q4599" s="2"/>
      <c r="R4599" s="2"/>
      <c r="S4599" s="2"/>
      <c r="T4599" s="2"/>
      <c r="U4599" s="2"/>
      <c r="V4599" s="2"/>
      <c r="W4599" s="2"/>
    </row>
    <row r="4600" spans="1:23" x14ac:dyDescent="0.25">
      <c r="A4600" s="2"/>
      <c r="B4600" s="2"/>
      <c r="C4600" s="1"/>
      <c r="D4600" s="2"/>
      <c r="E4600" s="2"/>
      <c r="F4600" s="2"/>
      <c r="G4600" s="2"/>
      <c r="H4600" s="2"/>
      <c r="I4600" s="2"/>
      <c r="J4600" s="2"/>
      <c r="K4600" s="2"/>
      <c r="L4600" s="2"/>
      <c r="M4600" s="2"/>
      <c r="N4600" s="2"/>
      <c r="O4600" s="2"/>
      <c r="P4600" s="2"/>
      <c r="Q4600" s="2"/>
      <c r="R4600" s="2"/>
      <c r="S4600" s="2"/>
      <c r="T4600" s="2"/>
      <c r="U4600" s="2"/>
      <c r="V4600" s="2"/>
      <c r="W4600" s="2"/>
    </row>
    <row r="4601" spans="1:23" x14ac:dyDescent="0.25">
      <c r="A4601" s="2"/>
      <c r="B4601" s="2"/>
      <c r="C4601" s="1"/>
      <c r="D4601" s="2"/>
      <c r="E4601" s="2"/>
      <c r="F4601" s="2"/>
      <c r="G4601" s="2"/>
      <c r="H4601" s="2"/>
      <c r="I4601" s="2"/>
      <c r="J4601" s="2"/>
      <c r="K4601" s="2"/>
      <c r="L4601" s="2"/>
      <c r="M4601" s="2"/>
      <c r="N4601" s="2"/>
      <c r="O4601" s="2"/>
      <c r="P4601" s="2"/>
      <c r="Q4601" s="2"/>
      <c r="R4601" s="2"/>
      <c r="S4601" s="2"/>
      <c r="T4601" s="2"/>
      <c r="U4601" s="2"/>
      <c r="V4601" s="2"/>
      <c r="W4601" s="2"/>
    </row>
    <row r="4602" spans="1:23" x14ac:dyDescent="0.25">
      <c r="A4602" s="2"/>
      <c r="B4602" s="2"/>
      <c r="C4602" s="1"/>
      <c r="D4602" s="2"/>
      <c r="E4602" s="2"/>
      <c r="F4602" s="2"/>
      <c r="G4602" s="2"/>
      <c r="H4602" s="2"/>
      <c r="I4602" s="2"/>
      <c r="J4602" s="2"/>
      <c r="K4602" s="2"/>
      <c r="L4602" s="2"/>
      <c r="M4602" s="2"/>
      <c r="N4602" s="2"/>
      <c r="O4602" s="2"/>
      <c r="P4602" s="2"/>
      <c r="Q4602" s="2"/>
      <c r="R4602" s="2"/>
      <c r="S4602" s="2"/>
      <c r="T4602" s="2"/>
      <c r="U4602" s="2"/>
      <c r="V4602" s="2"/>
      <c r="W4602" s="2"/>
    </row>
    <row r="4603" spans="1:23" x14ac:dyDescent="0.25">
      <c r="A4603" s="2"/>
      <c r="B4603" s="2"/>
      <c r="C4603" s="1"/>
      <c r="D4603" s="2"/>
      <c r="E4603" s="2"/>
      <c r="F4603" s="2"/>
      <c r="G4603" s="2"/>
      <c r="H4603" s="2"/>
      <c r="I4603" s="2"/>
      <c r="J4603" s="2"/>
      <c r="K4603" s="2"/>
      <c r="L4603" s="2"/>
      <c r="M4603" s="2"/>
      <c r="N4603" s="2"/>
      <c r="O4603" s="2"/>
      <c r="P4603" s="2"/>
      <c r="Q4603" s="2"/>
      <c r="R4603" s="2"/>
      <c r="S4603" s="2"/>
      <c r="T4603" s="2"/>
      <c r="U4603" s="2"/>
      <c r="V4603" s="2"/>
      <c r="W4603" s="2"/>
    </row>
    <row r="4604" spans="1:23" x14ac:dyDescent="0.25">
      <c r="A4604" s="2"/>
      <c r="B4604" s="2"/>
      <c r="C4604" s="1"/>
      <c r="D4604" s="2"/>
      <c r="E4604" s="2"/>
      <c r="F4604" s="2"/>
      <c r="G4604" s="2"/>
      <c r="H4604" s="2"/>
      <c r="I4604" s="2"/>
      <c r="J4604" s="2"/>
      <c r="K4604" s="2"/>
      <c r="L4604" s="2"/>
      <c r="M4604" s="2"/>
      <c r="N4604" s="2"/>
      <c r="O4604" s="2"/>
      <c r="P4604" s="2"/>
      <c r="Q4604" s="2"/>
      <c r="R4604" s="2"/>
      <c r="S4604" s="2"/>
      <c r="T4604" s="2"/>
      <c r="U4604" s="2"/>
      <c r="V4604" s="2"/>
      <c r="W4604" s="2"/>
    </row>
    <row r="4605" spans="1:23" x14ac:dyDescent="0.25">
      <c r="A4605" s="2"/>
      <c r="B4605" s="2"/>
      <c r="C4605" s="1"/>
      <c r="D4605" s="2"/>
      <c r="E4605" s="2"/>
      <c r="F4605" s="2"/>
      <c r="G4605" s="2"/>
      <c r="H4605" s="2"/>
      <c r="I4605" s="2"/>
      <c r="J4605" s="2"/>
      <c r="K4605" s="2"/>
      <c r="L4605" s="2"/>
      <c r="M4605" s="2"/>
      <c r="N4605" s="2"/>
      <c r="O4605" s="2"/>
      <c r="P4605" s="2"/>
      <c r="Q4605" s="2"/>
      <c r="R4605" s="2"/>
      <c r="S4605" s="2"/>
      <c r="T4605" s="2"/>
      <c r="U4605" s="2"/>
      <c r="V4605" s="2"/>
      <c r="W4605" s="2"/>
    </row>
    <row r="4606" spans="1:23" x14ac:dyDescent="0.25">
      <c r="A4606" s="2"/>
      <c r="B4606" s="2"/>
      <c r="C4606" s="1"/>
      <c r="D4606" s="2"/>
      <c r="E4606" s="2"/>
      <c r="F4606" s="2"/>
      <c r="G4606" s="2"/>
      <c r="H4606" s="2"/>
      <c r="I4606" s="2"/>
      <c r="J4606" s="2"/>
      <c r="K4606" s="2"/>
      <c r="L4606" s="2"/>
      <c r="M4606" s="2"/>
      <c r="N4606" s="2"/>
      <c r="O4606" s="2"/>
      <c r="P4606" s="2"/>
      <c r="Q4606" s="2"/>
      <c r="R4606" s="2"/>
      <c r="S4606" s="2"/>
      <c r="T4606" s="2"/>
      <c r="U4606" s="2"/>
      <c r="V4606" s="2"/>
      <c r="W4606" s="2"/>
    </row>
    <row r="4607" spans="1:23" x14ac:dyDescent="0.25">
      <c r="A4607" s="2"/>
      <c r="B4607" s="2"/>
      <c r="C4607" s="1"/>
      <c r="D4607" s="2"/>
      <c r="E4607" s="2"/>
      <c r="F4607" s="2"/>
      <c r="G4607" s="2"/>
      <c r="H4607" s="2"/>
      <c r="I4607" s="2"/>
      <c r="J4607" s="2"/>
      <c r="K4607" s="2"/>
      <c r="L4607" s="2"/>
      <c r="M4607" s="2"/>
      <c r="N4607" s="2"/>
      <c r="O4607" s="2"/>
      <c r="P4607" s="2"/>
      <c r="Q4607" s="2"/>
      <c r="R4607" s="2"/>
      <c r="S4607" s="2"/>
      <c r="T4607" s="2"/>
      <c r="U4607" s="2"/>
      <c r="V4607" s="2"/>
      <c r="W4607" s="2"/>
    </row>
    <row r="4608" spans="1:23" x14ac:dyDescent="0.25">
      <c r="A4608" s="2"/>
      <c r="B4608" s="2"/>
      <c r="C4608" s="1"/>
      <c r="D4608" s="2"/>
      <c r="E4608" s="2"/>
      <c r="F4608" s="2"/>
      <c r="G4608" s="2"/>
      <c r="H4608" s="2"/>
      <c r="I4608" s="2"/>
      <c r="J4608" s="2"/>
      <c r="K4608" s="2"/>
      <c r="L4608" s="2"/>
      <c r="M4608" s="2"/>
      <c r="N4608" s="2"/>
      <c r="O4608" s="2"/>
      <c r="P4608" s="2"/>
      <c r="Q4608" s="2"/>
      <c r="R4608" s="2"/>
      <c r="S4608" s="2"/>
      <c r="T4608" s="2"/>
      <c r="U4608" s="2"/>
      <c r="V4608" s="2"/>
      <c r="W4608" s="2"/>
    </row>
    <row r="4609" spans="1:23" x14ac:dyDescent="0.25">
      <c r="A4609" s="2"/>
      <c r="B4609" s="2"/>
      <c r="C4609" s="1"/>
      <c r="D4609" s="2"/>
      <c r="E4609" s="2"/>
      <c r="F4609" s="2"/>
      <c r="G4609" s="2"/>
      <c r="H4609" s="2"/>
      <c r="I4609" s="2"/>
      <c r="J4609" s="2"/>
      <c r="K4609" s="2"/>
      <c r="L4609" s="2"/>
      <c r="M4609" s="2"/>
      <c r="N4609" s="2"/>
      <c r="O4609" s="2"/>
      <c r="P4609" s="2"/>
      <c r="Q4609" s="2"/>
      <c r="R4609" s="2"/>
      <c r="S4609" s="2"/>
      <c r="T4609" s="2"/>
      <c r="U4609" s="2"/>
      <c r="V4609" s="2"/>
      <c r="W4609" s="2"/>
    </row>
    <row r="4610" spans="1:23" x14ac:dyDescent="0.25">
      <c r="A4610" s="2"/>
      <c r="B4610" s="2"/>
      <c r="C4610" s="1"/>
      <c r="D4610" s="2"/>
      <c r="E4610" s="2"/>
      <c r="F4610" s="2"/>
      <c r="G4610" s="2"/>
      <c r="H4610" s="2"/>
      <c r="I4610" s="2"/>
      <c r="J4610" s="2"/>
      <c r="K4610" s="2"/>
      <c r="L4610" s="2"/>
      <c r="M4610" s="2"/>
      <c r="N4610" s="2"/>
      <c r="O4610" s="2"/>
      <c r="P4610" s="2"/>
      <c r="Q4610" s="2"/>
      <c r="R4610" s="2"/>
      <c r="S4610" s="2"/>
      <c r="T4610" s="2"/>
      <c r="U4610" s="2"/>
      <c r="V4610" s="2"/>
      <c r="W4610" s="2"/>
    </row>
    <row r="4611" spans="1:23" x14ac:dyDescent="0.25">
      <c r="A4611" s="2"/>
      <c r="B4611" s="2"/>
      <c r="C4611" s="1"/>
      <c r="D4611" s="2"/>
      <c r="E4611" s="2"/>
      <c r="F4611" s="2"/>
      <c r="G4611" s="2"/>
      <c r="H4611" s="2"/>
      <c r="I4611" s="2"/>
      <c r="J4611" s="2"/>
      <c r="K4611" s="2"/>
      <c r="L4611" s="2"/>
      <c r="M4611" s="2"/>
      <c r="N4611" s="2"/>
      <c r="O4611" s="2"/>
      <c r="P4611" s="2"/>
      <c r="Q4611" s="2"/>
      <c r="R4611" s="2"/>
      <c r="S4611" s="2"/>
      <c r="T4611" s="2"/>
      <c r="U4611" s="2"/>
      <c r="V4611" s="2"/>
      <c r="W4611" s="2"/>
    </row>
    <row r="4612" spans="1:23" x14ac:dyDescent="0.25">
      <c r="A4612" s="2"/>
      <c r="B4612" s="2"/>
      <c r="C4612" s="1"/>
      <c r="D4612" s="2"/>
      <c r="E4612" s="2"/>
      <c r="F4612" s="2"/>
      <c r="G4612" s="2"/>
      <c r="H4612" s="2"/>
      <c r="I4612" s="2"/>
      <c r="J4612" s="2"/>
      <c r="K4612" s="2"/>
      <c r="L4612" s="2"/>
      <c r="M4612" s="2"/>
      <c r="N4612" s="2"/>
      <c r="O4612" s="2"/>
      <c r="P4612" s="2"/>
      <c r="Q4612" s="2"/>
      <c r="R4612" s="2"/>
      <c r="S4612" s="2"/>
      <c r="T4612" s="2"/>
      <c r="U4612" s="2"/>
      <c r="V4612" s="2"/>
      <c r="W4612" s="2"/>
    </row>
    <row r="4613" spans="1:23" x14ac:dyDescent="0.25">
      <c r="A4613" s="2"/>
      <c r="B4613" s="2"/>
      <c r="C4613" s="1"/>
      <c r="D4613" s="2"/>
      <c r="E4613" s="2"/>
      <c r="F4613" s="2"/>
      <c r="G4613" s="2"/>
      <c r="H4613" s="2"/>
      <c r="I4613" s="2"/>
      <c r="J4613" s="2"/>
      <c r="K4613" s="2"/>
      <c r="L4613" s="2"/>
      <c r="M4613" s="2"/>
      <c r="N4613" s="2"/>
      <c r="O4613" s="2"/>
      <c r="P4613" s="2"/>
      <c r="Q4613" s="2"/>
      <c r="R4613" s="2"/>
      <c r="S4613" s="2"/>
      <c r="T4613" s="2"/>
      <c r="U4613" s="2"/>
      <c r="V4613" s="2"/>
      <c r="W4613" s="2"/>
    </row>
    <row r="4614" spans="1:23" x14ac:dyDescent="0.25">
      <c r="A4614" s="2"/>
      <c r="B4614" s="2"/>
      <c r="C4614" s="1"/>
      <c r="D4614" s="2"/>
      <c r="E4614" s="2"/>
      <c r="F4614" s="2"/>
      <c r="G4614" s="2"/>
      <c r="H4614" s="2"/>
      <c r="I4614" s="2"/>
      <c r="J4614" s="2"/>
      <c r="K4614" s="2"/>
      <c r="L4614" s="2"/>
      <c r="M4614" s="2"/>
      <c r="N4614" s="2"/>
      <c r="O4614" s="2"/>
      <c r="P4614" s="2"/>
      <c r="Q4614" s="2"/>
      <c r="R4614" s="2"/>
      <c r="S4614" s="2"/>
      <c r="T4614" s="2"/>
      <c r="U4614" s="2"/>
      <c r="V4614" s="2"/>
      <c r="W4614" s="2"/>
    </row>
    <row r="4615" spans="1:23" x14ac:dyDescent="0.25">
      <c r="A4615" s="2"/>
      <c r="B4615" s="2"/>
      <c r="C4615" s="1"/>
      <c r="D4615" s="2"/>
      <c r="E4615" s="2"/>
      <c r="F4615" s="2"/>
      <c r="G4615" s="2"/>
      <c r="H4615" s="2"/>
      <c r="I4615" s="2"/>
      <c r="J4615" s="2"/>
      <c r="K4615" s="2"/>
      <c r="L4615" s="2"/>
      <c r="M4615" s="2"/>
      <c r="N4615" s="2"/>
      <c r="O4615" s="2"/>
      <c r="P4615" s="2"/>
      <c r="Q4615" s="2"/>
      <c r="R4615" s="2"/>
      <c r="S4615" s="2"/>
      <c r="T4615" s="2"/>
      <c r="U4615" s="2"/>
      <c r="V4615" s="2"/>
      <c r="W4615" s="2"/>
    </row>
    <row r="4616" spans="1:23" x14ac:dyDescent="0.25">
      <c r="A4616" s="2"/>
      <c r="B4616" s="2"/>
      <c r="C4616" s="1"/>
      <c r="D4616" s="2"/>
      <c r="E4616" s="2"/>
      <c r="F4616" s="2"/>
      <c r="G4616" s="2"/>
      <c r="H4616" s="2"/>
      <c r="I4616" s="2"/>
      <c r="J4616" s="2"/>
      <c r="K4616" s="2"/>
      <c r="L4616" s="2"/>
      <c r="M4616" s="2"/>
      <c r="N4616" s="2"/>
      <c r="O4616" s="2"/>
      <c r="P4616" s="2"/>
      <c r="Q4616" s="2"/>
      <c r="R4616" s="2"/>
      <c r="S4616" s="2"/>
      <c r="T4616" s="2"/>
      <c r="U4616" s="2"/>
      <c r="V4616" s="2"/>
      <c r="W4616" s="2"/>
    </row>
    <row r="4617" spans="1:23" x14ac:dyDescent="0.25">
      <c r="A4617" s="2"/>
      <c r="B4617" s="2"/>
      <c r="C4617" s="1"/>
      <c r="D4617" s="2"/>
      <c r="E4617" s="2"/>
      <c r="F4617" s="2"/>
      <c r="G4617" s="2"/>
      <c r="H4617" s="2"/>
      <c r="I4617" s="2"/>
      <c r="J4617" s="2"/>
      <c r="K4617" s="2"/>
      <c r="L4617" s="2"/>
      <c r="M4617" s="2"/>
      <c r="N4617" s="2"/>
      <c r="O4617" s="2"/>
      <c r="P4617" s="2"/>
      <c r="Q4617" s="2"/>
      <c r="R4617" s="2"/>
      <c r="S4617" s="2"/>
      <c r="T4617" s="2"/>
      <c r="U4617" s="2"/>
      <c r="V4617" s="2"/>
      <c r="W4617" s="2"/>
    </row>
    <row r="4618" spans="1:23" x14ac:dyDescent="0.25">
      <c r="A4618" s="2"/>
      <c r="B4618" s="2"/>
      <c r="C4618" s="1"/>
      <c r="D4618" s="2"/>
      <c r="E4618" s="2"/>
      <c r="F4618" s="2"/>
      <c r="G4618" s="2"/>
      <c r="H4618" s="2"/>
      <c r="I4618" s="2"/>
      <c r="J4618" s="2"/>
      <c r="K4618" s="2"/>
      <c r="L4618" s="2"/>
      <c r="M4618" s="2"/>
      <c r="N4618" s="2"/>
      <c r="O4618" s="2"/>
      <c r="P4618" s="2"/>
      <c r="Q4618" s="2"/>
      <c r="R4618" s="2"/>
      <c r="S4618" s="2"/>
      <c r="T4618" s="2"/>
      <c r="U4618" s="2"/>
      <c r="V4618" s="2"/>
      <c r="W4618" s="2"/>
    </row>
    <row r="4619" spans="1:23" x14ac:dyDescent="0.25">
      <c r="A4619" s="2"/>
      <c r="B4619" s="2"/>
      <c r="C4619" s="1"/>
      <c r="D4619" s="2"/>
      <c r="E4619" s="2"/>
      <c r="F4619" s="2"/>
      <c r="G4619" s="2"/>
      <c r="H4619" s="2"/>
      <c r="I4619" s="2"/>
      <c r="J4619" s="2"/>
      <c r="K4619" s="2"/>
      <c r="L4619" s="2"/>
      <c r="M4619" s="2"/>
      <c r="N4619" s="2"/>
      <c r="O4619" s="2"/>
      <c r="P4619" s="2"/>
      <c r="Q4619" s="2"/>
      <c r="R4619" s="2"/>
      <c r="S4619" s="2"/>
      <c r="T4619" s="2"/>
      <c r="U4619" s="2"/>
      <c r="V4619" s="2"/>
      <c r="W4619" s="2"/>
    </row>
    <row r="4620" spans="1:23" x14ac:dyDescent="0.25">
      <c r="A4620" s="2"/>
      <c r="B4620" s="2"/>
      <c r="C4620" s="1"/>
      <c r="D4620" s="2"/>
      <c r="E4620" s="2"/>
      <c r="F4620" s="2"/>
      <c r="G4620" s="2"/>
      <c r="H4620" s="2"/>
      <c r="I4620" s="2"/>
      <c r="J4620" s="2"/>
      <c r="K4620" s="2"/>
      <c r="L4620" s="2"/>
      <c r="M4620" s="2"/>
      <c r="N4620" s="2"/>
      <c r="O4620" s="2"/>
      <c r="P4620" s="2"/>
      <c r="Q4620" s="2"/>
      <c r="R4620" s="2"/>
      <c r="S4620" s="2"/>
      <c r="T4620" s="2"/>
      <c r="U4620" s="2"/>
      <c r="V4620" s="2"/>
      <c r="W4620" s="2"/>
    </row>
    <row r="4621" spans="1:23" x14ac:dyDescent="0.25">
      <c r="A4621" s="2"/>
      <c r="B4621" s="2"/>
      <c r="C4621" s="1"/>
      <c r="D4621" s="2"/>
      <c r="E4621" s="2"/>
      <c r="F4621" s="2"/>
      <c r="G4621" s="2"/>
      <c r="H4621" s="2"/>
      <c r="I4621" s="2"/>
      <c r="J4621" s="2"/>
      <c r="K4621" s="2"/>
      <c r="L4621" s="2"/>
      <c r="M4621" s="2"/>
      <c r="N4621" s="2"/>
      <c r="O4621" s="2"/>
      <c r="P4621" s="2"/>
      <c r="Q4621" s="2"/>
      <c r="R4621" s="2"/>
      <c r="S4621" s="2"/>
      <c r="T4621" s="2"/>
      <c r="U4621" s="2"/>
      <c r="V4621" s="2"/>
      <c r="W4621" s="2"/>
    </row>
    <row r="4622" spans="1:23" x14ac:dyDescent="0.25">
      <c r="A4622" s="2"/>
      <c r="B4622" s="2"/>
      <c r="C4622" s="1"/>
      <c r="D4622" s="2"/>
      <c r="E4622" s="2"/>
      <c r="F4622" s="2"/>
      <c r="G4622" s="2"/>
      <c r="H4622" s="2"/>
      <c r="I4622" s="2"/>
      <c r="J4622" s="2"/>
      <c r="K4622" s="2"/>
      <c r="L4622" s="2"/>
      <c r="M4622" s="2"/>
      <c r="N4622" s="2"/>
      <c r="O4622" s="2"/>
      <c r="P4622" s="2"/>
      <c r="Q4622" s="2"/>
      <c r="R4622" s="2"/>
      <c r="S4622" s="2"/>
      <c r="T4622" s="2"/>
      <c r="U4622" s="2"/>
      <c r="V4622" s="2"/>
      <c r="W4622" s="2"/>
    </row>
    <row r="4623" spans="1:23" x14ac:dyDescent="0.25">
      <c r="A4623" s="2"/>
      <c r="B4623" s="2"/>
      <c r="C4623" s="1"/>
      <c r="D4623" s="2"/>
      <c r="E4623" s="2"/>
      <c r="F4623" s="2"/>
      <c r="G4623" s="2"/>
      <c r="H4623" s="2"/>
      <c r="I4623" s="2"/>
      <c r="J4623" s="2"/>
      <c r="K4623" s="2"/>
      <c r="L4623" s="2"/>
      <c r="M4623" s="2"/>
      <c r="N4623" s="2"/>
      <c r="O4623" s="2"/>
      <c r="P4623" s="2"/>
      <c r="Q4623" s="2"/>
      <c r="R4623" s="2"/>
      <c r="S4623" s="2"/>
      <c r="T4623" s="2"/>
      <c r="U4623" s="2"/>
      <c r="V4623" s="2"/>
      <c r="W4623" s="2"/>
    </row>
    <row r="4624" spans="1:23" x14ac:dyDescent="0.25">
      <c r="A4624" s="2"/>
      <c r="B4624" s="2"/>
      <c r="C4624" s="1"/>
      <c r="D4624" s="2"/>
      <c r="E4624" s="2"/>
      <c r="F4624" s="2"/>
      <c r="G4624" s="2"/>
      <c r="H4624" s="2"/>
      <c r="I4624" s="2"/>
      <c r="J4624" s="2"/>
      <c r="K4624" s="2"/>
      <c r="L4624" s="2"/>
      <c r="M4624" s="2"/>
      <c r="N4624" s="2"/>
      <c r="O4624" s="2"/>
      <c r="P4624" s="2"/>
      <c r="Q4624" s="2"/>
      <c r="R4624" s="2"/>
      <c r="S4624" s="2"/>
      <c r="T4624" s="2"/>
      <c r="U4624" s="2"/>
      <c r="V4624" s="2"/>
      <c r="W4624" s="2"/>
    </row>
    <row r="4625" spans="1:23" x14ac:dyDescent="0.25">
      <c r="A4625" s="2"/>
      <c r="B4625" s="2"/>
      <c r="C4625" s="1"/>
      <c r="D4625" s="2"/>
      <c r="E4625" s="2"/>
      <c r="F4625" s="2"/>
      <c r="G4625" s="2"/>
      <c r="H4625" s="2"/>
      <c r="I4625" s="2"/>
      <c r="J4625" s="2"/>
      <c r="K4625" s="2"/>
      <c r="L4625" s="2"/>
      <c r="M4625" s="2"/>
      <c r="N4625" s="2"/>
      <c r="O4625" s="2"/>
      <c r="P4625" s="2"/>
      <c r="Q4625" s="2"/>
      <c r="R4625" s="2"/>
      <c r="S4625" s="2"/>
      <c r="T4625" s="2"/>
      <c r="U4625" s="2"/>
      <c r="V4625" s="2"/>
      <c r="W4625" s="2"/>
    </row>
    <row r="4626" spans="1:23" x14ac:dyDescent="0.25">
      <c r="A4626" s="2"/>
      <c r="B4626" s="2"/>
      <c r="C4626" s="1"/>
      <c r="D4626" s="2"/>
      <c r="E4626" s="2"/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2"/>
      <c r="Q4626" s="2"/>
      <c r="R4626" s="2"/>
      <c r="S4626" s="2"/>
      <c r="T4626" s="2"/>
      <c r="U4626" s="2"/>
      <c r="V4626" s="2"/>
      <c r="W4626" s="2"/>
    </row>
    <row r="4627" spans="1:23" x14ac:dyDescent="0.25">
      <c r="A4627" s="2"/>
      <c r="B4627" s="2"/>
      <c r="C4627" s="1"/>
      <c r="D4627" s="2"/>
      <c r="E4627" s="2"/>
      <c r="F4627" s="2"/>
      <c r="G4627" s="2"/>
      <c r="H4627" s="2"/>
      <c r="I4627" s="2"/>
      <c r="J4627" s="2"/>
      <c r="K4627" s="2"/>
      <c r="L4627" s="2"/>
      <c r="M4627" s="2"/>
      <c r="N4627" s="2"/>
      <c r="O4627" s="2"/>
      <c r="P4627" s="2"/>
      <c r="Q4627" s="2"/>
      <c r="R4627" s="2"/>
      <c r="S4627" s="2"/>
      <c r="T4627" s="2"/>
      <c r="U4627" s="2"/>
      <c r="V4627" s="2"/>
      <c r="W4627" s="2"/>
    </row>
    <row r="4628" spans="1:23" x14ac:dyDescent="0.25">
      <c r="A4628" s="2"/>
      <c r="B4628" s="2"/>
      <c r="C4628" s="1"/>
      <c r="D4628" s="2"/>
      <c r="E4628" s="2"/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2"/>
      <c r="Q4628" s="2"/>
      <c r="R4628" s="2"/>
      <c r="S4628" s="2"/>
      <c r="T4628" s="2"/>
      <c r="U4628" s="2"/>
      <c r="V4628" s="2"/>
      <c r="W4628" s="2"/>
    </row>
    <row r="4629" spans="1:23" x14ac:dyDescent="0.25">
      <c r="A4629" s="2"/>
      <c r="B4629" s="2"/>
      <c r="C4629" s="1"/>
      <c r="D4629" s="2"/>
      <c r="E4629" s="2"/>
      <c r="F4629" s="2"/>
      <c r="G4629" s="2"/>
      <c r="H4629" s="2"/>
      <c r="I4629" s="2"/>
      <c r="J4629" s="2"/>
      <c r="K4629" s="2"/>
      <c r="L4629" s="2"/>
      <c r="M4629" s="2"/>
      <c r="N4629" s="2"/>
      <c r="O4629" s="2"/>
      <c r="P4629" s="2"/>
      <c r="Q4629" s="2"/>
      <c r="R4629" s="2"/>
      <c r="S4629" s="2"/>
      <c r="T4629" s="2"/>
      <c r="U4629" s="2"/>
      <c r="V4629" s="2"/>
      <c r="W4629" s="2"/>
    </row>
    <row r="4630" spans="1:23" x14ac:dyDescent="0.25">
      <c r="A4630" s="2"/>
      <c r="B4630" s="2"/>
      <c r="C4630" s="1"/>
      <c r="D4630" s="2"/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/>
      <c r="P4630" s="2"/>
      <c r="Q4630" s="2"/>
      <c r="R4630" s="2"/>
      <c r="S4630" s="2"/>
      <c r="T4630" s="2"/>
      <c r="U4630" s="2"/>
      <c r="V4630" s="2"/>
      <c r="W4630" s="2"/>
    </row>
    <row r="4631" spans="1:23" x14ac:dyDescent="0.25">
      <c r="A4631" s="2"/>
      <c r="B4631" s="2"/>
      <c r="C4631" s="1"/>
      <c r="D4631" s="2"/>
      <c r="E4631" s="2"/>
      <c r="F4631" s="2"/>
      <c r="G4631" s="2"/>
      <c r="H4631" s="2"/>
      <c r="I4631" s="2"/>
      <c r="J4631" s="2"/>
      <c r="K4631" s="2"/>
      <c r="L4631" s="2"/>
      <c r="M4631" s="2"/>
      <c r="N4631" s="2"/>
      <c r="O4631" s="2"/>
      <c r="P4631" s="2"/>
      <c r="Q4631" s="2"/>
      <c r="R4631" s="2"/>
      <c r="S4631" s="2"/>
      <c r="T4631" s="2"/>
      <c r="U4631" s="2"/>
      <c r="V4631" s="2"/>
      <c r="W4631" s="2"/>
    </row>
    <row r="4632" spans="1:23" x14ac:dyDescent="0.25">
      <c r="A4632" s="2"/>
      <c r="B4632" s="2"/>
      <c r="C4632" s="1"/>
      <c r="D4632" s="2"/>
      <c r="E4632" s="2"/>
      <c r="F4632" s="2"/>
      <c r="G4632" s="2"/>
      <c r="H4632" s="2"/>
      <c r="I4632" s="2"/>
      <c r="J4632" s="2"/>
      <c r="K4632" s="2"/>
      <c r="L4632" s="2"/>
      <c r="M4632" s="2"/>
      <c r="N4632" s="2"/>
      <c r="O4632" s="2"/>
      <c r="P4632" s="2"/>
      <c r="Q4632" s="2"/>
      <c r="R4632" s="2"/>
      <c r="S4632" s="2"/>
      <c r="T4632" s="2"/>
      <c r="U4632" s="2"/>
      <c r="V4632" s="2"/>
      <c r="W4632" s="2"/>
    </row>
    <row r="4633" spans="1:23" x14ac:dyDescent="0.25">
      <c r="A4633" s="2"/>
      <c r="B4633" s="2"/>
      <c r="C4633" s="1"/>
      <c r="D4633" s="2"/>
      <c r="E4633" s="2"/>
      <c r="F4633" s="2"/>
      <c r="G4633" s="2"/>
      <c r="H4633" s="2"/>
      <c r="I4633" s="2"/>
      <c r="J4633" s="2"/>
      <c r="K4633" s="2"/>
      <c r="L4633" s="2"/>
      <c r="M4633" s="2"/>
      <c r="N4633" s="2"/>
      <c r="O4633" s="2"/>
      <c r="P4633" s="2"/>
      <c r="Q4633" s="2"/>
      <c r="R4633" s="2"/>
      <c r="S4633" s="2"/>
      <c r="T4633" s="2"/>
      <c r="U4633" s="2"/>
      <c r="V4633" s="2"/>
      <c r="W4633" s="2"/>
    </row>
    <row r="4634" spans="1:23" x14ac:dyDescent="0.25">
      <c r="A4634" s="2"/>
      <c r="B4634" s="2"/>
      <c r="C4634" s="1"/>
      <c r="D4634" s="2"/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/>
      <c r="P4634" s="2"/>
      <c r="Q4634" s="2"/>
      <c r="R4634" s="2"/>
      <c r="S4634" s="2"/>
      <c r="T4634" s="2"/>
      <c r="U4634" s="2"/>
      <c r="V4634" s="2"/>
      <c r="W4634" s="2"/>
    </row>
    <row r="4635" spans="1:23" x14ac:dyDescent="0.25">
      <c r="A4635" s="2"/>
      <c r="B4635" s="2"/>
      <c r="C4635" s="1"/>
      <c r="D4635" s="2"/>
      <c r="E4635" s="2"/>
      <c r="F4635" s="2"/>
      <c r="G4635" s="2"/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  <c r="S4635" s="2"/>
      <c r="T4635" s="2"/>
      <c r="U4635" s="2"/>
      <c r="V4635" s="2"/>
      <c r="W4635" s="2"/>
    </row>
    <row r="4636" spans="1:23" x14ac:dyDescent="0.25">
      <c r="A4636" s="2"/>
      <c r="B4636" s="2"/>
      <c r="C4636" s="1"/>
      <c r="D4636" s="2"/>
      <c r="E4636" s="2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  <c r="S4636" s="2"/>
      <c r="T4636" s="2"/>
      <c r="U4636" s="2"/>
      <c r="V4636" s="2"/>
      <c r="W4636" s="2"/>
    </row>
    <row r="4637" spans="1:23" x14ac:dyDescent="0.25">
      <c r="A4637" s="2"/>
      <c r="B4637" s="2"/>
      <c r="C4637" s="1"/>
      <c r="D4637" s="2"/>
      <c r="E4637" s="2"/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  <c r="S4637" s="2"/>
      <c r="T4637" s="2"/>
      <c r="U4637" s="2"/>
      <c r="V4637" s="2"/>
      <c r="W4637" s="2"/>
    </row>
    <row r="4638" spans="1:23" x14ac:dyDescent="0.25">
      <c r="A4638" s="2"/>
      <c r="B4638" s="2"/>
      <c r="C4638" s="1"/>
      <c r="D4638" s="2"/>
      <c r="E4638" s="2"/>
      <c r="F4638" s="2"/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  <c r="S4638" s="2"/>
      <c r="T4638" s="2"/>
      <c r="U4638" s="2"/>
      <c r="V4638" s="2"/>
      <c r="W4638" s="2"/>
    </row>
    <row r="4639" spans="1:23" x14ac:dyDescent="0.25">
      <c r="A4639" s="2"/>
      <c r="B4639" s="2"/>
      <c r="C4639" s="1"/>
      <c r="D4639" s="2"/>
      <c r="E4639" s="2"/>
      <c r="F4639" s="2"/>
      <c r="G4639" s="2"/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  <c r="S4639" s="2"/>
      <c r="T4639" s="2"/>
      <c r="U4639" s="2"/>
      <c r="V4639" s="2"/>
      <c r="W4639" s="2"/>
    </row>
    <row r="4640" spans="1:23" x14ac:dyDescent="0.25">
      <c r="A4640" s="2"/>
      <c r="B4640" s="2"/>
      <c r="C4640" s="1"/>
      <c r="D4640" s="2"/>
      <c r="E4640" s="2"/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2"/>
      <c r="Q4640" s="2"/>
      <c r="R4640" s="2"/>
      <c r="S4640" s="2"/>
      <c r="T4640" s="2"/>
      <c r="U4640" s="2"/>
      <c r="V4640" s="2"/>
      <c r="W4640" s="2"/>
    </row>
    <row r="4641" spans="1:23" x14ac:dyDescent="0.25">
      <c r="A4641" s="2"/>
      <c r="B4641" s="2"/>
      <c r="C4641" s="1"/>
      <c r="D4641" s="2"/>
      <c r="E4641" s="2"/>
      <c r="F4641" s="2"/>
      <c r="G4641" s="2"/>
      <c r="H4641" s="2"/>
      <c r="I4641" s="2"/>
      <c r="J4641" s="2"/>
      <c r="K4641" s="2"/>
      <c r="L4641" s="2"/>
      <c r="M4641" s="2"/>
      <c r="N4641" s="2"/>
      <c r="O4641" s="2"/>
      <c r="P4641" s="2"/>
      <c r="Q4641" s="2"/>
      <c r="R4641" s="2"/>
      <c r="S4641" s="2"/>
      <c r="T4641" s="2"/>
      <c r="U4641" s="2"/>
      <c r="V4641" s="2"/>
      <c r="W4641" s="2"/>
    </row>
    <row r="4642" spans="1:23" x14ac:dyDescent="0.25">
      <c r="A4642" s="2"/>
      <c r="B4642" s="2"/>
      <c r="C4642" s="1"/>
      <c r="D4642" s="2"/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/>
      <c r="P4642" s="2"/>
      <c r="Q4642" s="2"/>
      <c r="R4642" s="2"/>
      <c r="S4642" s="2"/>
      <c r="T4642" s="2"/>
      <c r="U4642" s="2"/>
      <c r="V4642" s="2"/>
      <c r="W4642" s="2"/>
    </row>
    <row r="4643" spans="1:23" x14ac:dyDescent="0.25">
      <c r="A4643" s="2"/>
      <c r="B4643" s="2"/>
      <c r="C4643" s="1"/>
      <c r="D4643" s="2"/>
      <c r="E4643" s="2"/>
      <c r="F4643" s="2"/>
      <c r="G4643" s="2"/>
      <c r="H4643" s="2"/>
      <c r="I4643" s="2"/>
      <c r="J4643" s="2"/>
      <c r="K4643" s="2"/>
      <c r="L4643" s="2"/>
      <c r="M4643" s="2"/>
      <c r="N4643" s="2"/>
      <c r="O4643" s="2"/>
      <c r="P4643" s="2"/>
      <c r="Q4643" s="2"/>
      <c r="R4643" s="2"/>
      <c r="S4643" s="2"/>
      <c r="T4643" s="2"/>
      <c r="U4643" s="2"/>
      <c r="V4643" s="2"/>
      <c r="W4643" s="2"/>
    </row>
    <row r="4644" spans="1:23" x14ac:dyDescent="0.25">
      <c r="A4644" s="2"/>
      <c r="B4644" s="2"/>
      <c r="C4644" s="1"/>
      <c r="D4644" s="2"/>
      <c r="E4644" s="2"/>
      <c r="F4644" s="2"/>
      <c r="G4644" s="2"/>
      <c r="H4644" s="2"/>
      <c r="I4644" s="2"/>
      <c r="J4644" s="2"/>
      <c r="K4644" s="2"/>
      <c r="L4644" s="2"/>
      <c r="M4644" s="2"/>
      <c r="N4644" s="2"/>
      <c r="O4644" s="2"/>
      <c r="P4644" s="2"/>
      <c r="Q4644" s="2"/>
      <c r="R4644" s="2"/>
      <c r="S4644" s="2"/>
      <c r="T4644" s="2"/>
      <c r="U4644" s="2"/>
      <c r="V4644" s="2"/>
      <c r="W4644" s="2"/>
    </row>
    <row r="4645" spans="1:23" x14ac:dyDescent="0.25">
      <c r="A4645" s="2"/>
      <c r="B4645" s="2"/>
      <c r="C4645" s="1"/>
      <c r="D4645" s="2"/>
      <c r="E4645" s="2"/>
      <c r="F4645" s="2"/>
      <c r="G4645" s="2"/>
      <c r="H4645" s="2"/>
      <c r="I4645" s="2"/>
      <c r="J4645" s="2"/>
      <c r="K4645" s="2"/>
      <c r="L4645" s="2"/>
      <c r="M4645" s="2"/>
      <c r="N4645" s="2"/>
      <c r="O4645" s="2"/>
      <c r="P4645" s="2"/>
      <c r="Q4645" s="2"/>
      <c r="R4645" s="2"/>
      <c r="S4645" s="2"/>
      <c r="T4645" s="2"/>
      <c r="U4645" s="2"/>
      <c r="V4645" s="2"/>
      <c r="W4645" s="2"/>
    </row>
    <row r="4646" spans="1:23" x14ac:dyDescent="0.25">
      <c r="A4646" s="2"/>
      <c r="B4646" s="2"/>
      <c r="C4646" s="1"/>
      <c r="D4646" s="2"/>
      <c r="E4646" s="2"/>
      <c r="F4646" s="2"/>
      <c r="G4646" s="2"/>
      <c r="H4646" s="2"/>
      <c r="I4646" s="2"/>
      <c r="J4646" s="2"/>
      <c r="K4646" s="2"/>
      <c r="L4646" s="2"/>
      <c r="M4646" s="2"/>
      <c r="N4646" s="2"/>
      <c r="O4646" s="2"/>
      <c r="P4646" s="2"/>
      <c r="Q4646" s="2"/>
      <c r="R4646" s="2"/>
      <c r="S4646" s="2"/>
      <c r="T4646" s="2"/>
      <c r="U4646" s="2"/>
      <c r="V4646" s="2"/>
      <c r="W4646" s="2"/>
    </row>
    <row r="4647" spans="1:23" x14ac:dyDescent="0.25">
      <c r="A4647" s="2"/>
      <c r="B4647" s="2"/>
      <c r="C4647" s="1"/>
      <c r="D4647" s="2"/>
      <c r="E4647" s="2"/>
      <c r="F4647" s="2"/>
      <c r="G4647" s="2"/>
      <c r="H4647" s="2"/>
      <c r="I4647" s="2"/>
      <c r="J4647" s="2"/>
      <c r="K4647" s="2"/>
      <c r="L4647" s="2"/>
      <c r="M4647" s="2"/>
      <c r="N4647" s="2"/>
      <c r="O4647" s="2"/>
      <c r="P4647" s="2"/>
      <c r="Q4647" s="2"/>
      <c r="R4647" s="2"/>
      <c r="S4647" s="2"/>
      <c r="T4647" s="2"/>
      <c r="U4647" s="2"/>
      <c r="V4647" s="2"/>
      <c r="W4647" s="2"/>
    </row>
    <row r="4648" spans="1:23" x14ac:dyDescent="0.25">
      <c r="A4648" s="2"/>
      <c r="B4648" s="2"/>
      <c r="C4648" s="1"/>
      <c r="D4648" s="2"/>
      <c r="E4648" s="2"/>
      <c r="F4648" s="2"/>
      <c r="G4648" s="2"/>
      <c r="H4648" s="2"/>
      <c r="I4648" s="2"/>
      <c r="J4648" s="2"/>
      <c r="K4648" s="2"/>
      <c r="L4648" s="2"/>
      <c r="M4648" s="2"/>
      <c r="N4648" s="2"/>
      <c r="O4648" s="2"/>
      <c r="P4648" s="2"/>
      <c r="Q4648" s="2"/>
      <c r="R4648" s="2"/>
      <c r="S4648" s="2"/>
      <c r="T4648" s="2"/>
      <c r="U4648" s="2"/>
      <c r="V4648" s="2"/>
      <c r="W4648" s="2"/>
    </row>
    <row r="4649" spans="1:23" x14ac:dyDescent="0.25">
      <c r="A4649" s="2"/>
      <c r="B4649" s="2"/>
      <c r="C4649" s="1"/>
      <c r="D4649" s="2"/>
      <c r="E4649" s="2"/>
      <c r="F4649" s="2"/>
      <c r="G4649" s="2"/>
      <c r="H4649" s="2"/>
      <c r="I4649" s="2"/>
      <c r="J4649" s="2"/>
      <c r="K4649" s="2"/>
      <c r="L4649" s="2"/>
      <c r="M4649" s="2"/>
      <c r="N4649" s="2"/>
      <c r="O4649" s="2"/>
      <c r="P4649" s="2"/>
      <c r="Q4649" s="2"/>
      <c r="R4649" s="2"/>
      <c r="S4649" s="2"/>
      <c r="T4649" s="2"/>
      <c r="U4649" s="2"/>
      <c r="V4649" s="2"/>
      <c r="W4649" s="2"/>
    </row>
    <row r="4650" spans="1:23" x14ac:dyDescent="0.25">
      <c r="A4650" s="2"/>
      <c r="B4650" s="2"/>
      <c r="C4650" s="1"/>
      <c r="D4650" s="2"/>
      <c r="E4650" s="2"/>
      <c r="F4650" s="2"/>
      <c r="G4650" s="2"/>
      <c r="H4650" s="2"/>
      <c r="I4650" s="2"/>
      <c r="J4650" s="2"/>
      <c r="K4650" s="2"/>
      <c r="L4650" s="2"/>
      <c r="M4650" s="2"/>
      <c r="N4650" s="2"/>
      <c r="O4650" s="2"/>
      <c r="P4650" s="2"/>
      <c r="Q4650" s="2"/>
      <c r="R4650" s="2"/>
      <c r="S4650" s="2"/>
      <c r="T4650" s="2"/>
      <c r="U4650" s="2"/>
      <c r="V4650" s="2"/>
      <c r="W4650" s="2"/>
    </row>
    <row r="4651" spans="1:23" x14ac:dyDescent="0.25">
      <c r="A4651" s="2"/>
      <c r="B4651" s="2"/>
      <c r="C4651" s="1"/>
      <c r="D4651" s="2"/>
      <c r="E4651" s="2"/>
      <c r="F4651" s="2"/>
      <c r="G4651" s="2"/>
      <c r="H4651" s="2"/>
      <c r="I4651" s="2"/>
      <c r="J4651" s="2"/>
      <c r="K4651" s="2"/>
      <c r="L4651" s="2"/>
      <c r="M4651" s="2"/>
      <c r="N4651" s="2"/>
      <c r="O4651" s="2"/>
      <c r="P4651" s="2"/>
      <c r="Q4651" s="2"/>
      <c r="R4651" s="2"/>
      <c r="S4651" s="2"/>
      <c r="T4651" s="2"/>
      <c r="U4651" s="2"/>
      <c r="V4651" s="2"/>
      <c r="W4651" s="2"/>
    </row>
    <row r="4652" spans="1:23" x14ac:dyDescent="0.25">
      <c r="A4652" s="2"/>
      <c r="B4652" s="2"/>
      <c r="C4652" s="1"/>
      <c r="D4652" s="2"/>
      <c r="E4652" s="2"/>
      <c r="F4652" s="2"/>
      <c r="G4652" s="2"/>
      <c r="H4652" s="2"/>
      <c r="I4652" s="2"/>
      <c r="J4652" s="2"/>
      <c r="K4652" s="2"/>
      <c r="L4652" s="2"/>
      <c r="M4652" s="2"/>
      <c r="N4652" s="2"/>
      <c r="O4652" s="2"/>
      <c r="P4652" s="2"/>
      <c r="Q4652" s="2"/>
      <c r="R4652" s="2"/>
      <c r="S4652" s="2"/>
      <c r="T4652" s="2"/>
      <c r="U4652" s="2"/>
      <c r="V4652" s="2"/>
      <c r="W4652" s="2"/>
    </row>
    <row r="4653" spans="1:23" x14ac:dyDescent="0.25">
      <c r="A4653" s="2"/>
      <c r="B4653" s="2"/>
      <c r="C4653" s="1"/>
      <c r="D4653" s="2"/>
      <c r="E4653" s="2"/>
      <c r="F4653" s="2"/>
      <c r="G4653" s="2"/>
      <c r="H4653" s="2"/>
      <c r="I4653" s="2"/>
      <c r="J4653" s="2"/>
      <c r="K4653" s="2"/>
      <c r="L4653" s="2"/>
      <c r="M4653" s="2"/>
      <c r="N4653" s="2"/>
      <c r="O4653" s="2"/>
      <c r="P4653" s="2"/>
      <c r="Q4653" s="2"/>
      <c r="R4653" s="2"/>
      <c r="S4653" s="2"/>
      <c r="T4653" s="2"/>
      <c r="U4653" s="2"/>
      <c r="V4653" s="2"/>
      <c r="W4653" s="2"/>
    </row>
    <row r="4654" spans="1:23" x14ac:dyDescent="0.25">
      <c r="A4654" s="2"/>
      <c r="B4654" s="2"/>
      <c r="C4654" s="1"/>
      <c r="D4654" s="2"/>
      <c r="E4654" s="2"/>
      <c r="F4654" s="2"/>
      <c r="G4654" s="2"/>
      <c r="H4654" s="2"/>
      <c r="I4654" s="2"/>
      <c r="J4654" s="2"/>
      <c r="K4654" s="2"/>
      <c r="L4654" s="2"/>
      <c r="M4654" s="2"/>
      <c r="N4654" s="2"/>
      <c r="O4654" s="2"/>
      <c r="P4654" s="2"/>
      <c r="Q4654" s="2"/>
      <c r="R4654" s="2"/>
      <c r="S4654" s="2"/>
      <c r="T4654" s="2"/>
      <c r="U4654" s="2"/>
      <c r="V4654" s="2"/>
      <c r="W4654" s="2"/>
    </row>
    <row r="4655" spans="1:23" x14ac:dyDescent="0.25">
      <c r="A4655" s="2"/>
      <c r="B4655" s="2"/>
      <c r="C4655" s="1"/>
      <c r="D4655" s="2"/>
      <c r="E4655" s="2"/>
      <c r="F4655" s="2"/>
      <c r="G4655" s="2"/>
      <c r="H4655" s="2"/>
      <c r="I4655" s="2"/>
      <c r="J4655" s="2"/>
      <c r="K4655" s="2"/>
      <c r="L4655" s="2"/>
      <c r="M4655" s="2"/>
      <c r="N4655" s="2"/>
      <c r="O4655" s="2"/>
      <c r="P4655" s="2"/>
      <c r="Q4655" s="2"/>
      <c r="R4655" s="2"/>
      <c r="S4655" s="2"/>
      <c r="T4655" s="2"/>
      <c r="U4655" s="2"/>
      <c r="V4655" s="2"/>
      <c r="W4655" s="2"/>
    </row>
    <row r="4656" spans="1:23" x14ac:dyDescent="0.25">
      <c r="A4656" s="2"/>
      <c r="B4656" s="2"/>
      <c r="C4656" s="1"/>
      <c r="D4656" s="2"/>
      <c r="E4656" s="2"/>
      <c r="F4656" s="2"/>
      <c r="G4656" s="2"/>
      <c r="H4656" s="2"/>
      <c r="I4656" s="2"/>
      <c r="J4656" s="2"/>
      <c r="K4656" s="2"/>
      <c r="L4656" s="2"/>
      <c r="M4656" s="2"/>
      <c r="N4656" s="2"/>
      <c r="O4656" s="2"/>
      <c r="P4656" s="2"/>
      <c r="Q4656" s="2"/>
      <c r="R4656" s="2"/>
      <c r="S4656" s="2"/>
      <c r="T4656" s="2"/>
      <c r="U4656" s="2"/>
      <c r="V4656" s="2"/>
      <c r="W4656" s="2"/>
    </row>
    <row r="4657" spans="1:23" x14ac:dyDescent="0.25">
      <c r="A4657" s="2"/>
      <c r="B4657" s="2"/>
      <c r="C4657" s="1"/>
      <c r="D4657" s="2"/>
      <c r="E4657" s="2"/>
      <c r="F4657" s="2"/>
      <c r="G4657" s="2"/>
      <c r="H4657" s="2"/>
      <c r="I4657" s="2"/>
      <c r="J4657" s="2"/>
      <c r="K4657" s="2"/>
      <c r="L4657" s="2"/>
      <c r="M4657" s="2"/>
      <c r="N4657" s="2"/>
      <c r="O4657" s="2"/>
      <c r="P4657" s="2"/>
      <c r="Q4657" s="2"/>
      <c r="R4657" s="2"/>
      <c r="S4657" s="2"/>
      <c r="T4657" s="2"/>
      <c r="U4657" s="2"/>
      <c r="V4657" s="2"/>
      <c r="W4657" s="2"/>
    </row>
    <row r="4658" spans="1:23" x14ac:dyDescent="0.25">
      <c r="A4658" s="2"/>
      <c r="B4658" s="2"/>
      <c r="C4658" s="1"/>
      <c r="D4658" s="2"/>
      <c r="E4658" s="2"/>
      <c r="F4658" s="2"/>
      <c r="G4658" s="2"/>
      <c r="H4658" s="2"/>
      <c r="I4658" s="2"/>
      <c r="J4658" s="2"/>
      <c r="K4658" s="2"/>
      <c r="L4658" s="2"/>
      <c r="M4658" s="2"/>
      <c r="N4658" s="2"/>
      <c r="O4658" s="2"/>
      <c r="P4658" s="2"/>
      <c r="Q4658" s="2"/>
      <c r="R4658" s="2"/>
      <c r="S4658" s="2"/>
      <c r="T4658" s="2"/>
      <c r="U4658" s="2"/>
      <c r="V4658" s="2"/>
      <c r="W4658" s="2"/>
    </row>
    <row r="4659" spans="1:23" x14ac:dyDescent="0.25">
      <c r="A4659" s="2"/>
      <c r="B4659" s="2"/>
      <c r="C4659" s="1"/>
      <c r="D4659" s="2"/>
      <c r="E4659" s="2"/>
      <c r="F4659" s="2"/>
      <c r="G4659" s="2"/>
      <c r="H4659" s="2"/>
      <c r="I4659" s="2"/>
      <c r="J4659" s="2"/>
      <c r="K4659" s="2"/>
      <c r="L4659" s="2"/>
      <c r="M4659" s="2"/>
      <c r="N4659" s="2"/>
      <c r="O4659" s="2"/>
      <c r="P4659" s="2"/>
      <c r="Q4659" s="2"/>
      <c r="R4659" s="2"/>
      <c r="S4659" s="2"/>
      <c r="T4659" s="2"/>
      <c r="U4659" s="2"/>
      <c r="V4659" s="2"/>
      <c r="W4659" s="2"/>
    </row>
    <row r="4660" spans="1:23" x14ac:dyDescent="0.25">
      <c r="A4660" s="2"/>
      <c r="B4660" s="2"/>
      <c r="C4660" s="1"/>
      <c r="D4660" s="2"/>
      <c r="E4660" s="2"/>
      <c r="F4660" s="2"/>
      <c r="G4660" s="2"/>
      <c r="H4660" s="2"/>
      <c r="I4660" s="2"/>
      <c r="J4660" s="2"/>
      <c r="K4660" s="2"/>
      <c r="L4660" s="2"/>
      <c r="M4660" s="2"/>
      <c r="N4660" s="2"/>
      <c r="O4660" s="2"/>
      <c r="P4660" s="2"/>
      <c r="Q4660" s="2"/>
      <c r="R4660" s="2"/>
      <c r="S4660" s="2"/>
      <c r="T4660" s="2"/>
      <c r="U4660" s="2"/>
      <c r="V4660" s="2"/>
      <c r="W4660" s="2"/>
    </row>
    <row r="4661" spans="1:23" x14ac:dyDescent="0.25">
      <c r="A4661" s="2"/>
      <c r="B4661" s="2"/>
      <c r="C4661" s="1"/>
      <c r="D4661" s="2"/>
      <c r="E4661" s="2"/>
      <c r="F4661" s="2"/>
      <c r="G4661" s="2"/>
      <c r="H4661" s="2"/>
      <c r="I4661" s="2"/>
      <c r="J4661" s="2"/>
      <c r="K4661" s="2"/>
      <c r="L4661" s="2"/>
      <c r="M4661" s="2"/>
      <c r="N4661" s="2"/>
      <c r="O4661" s="2"/>
      <c r="P4661" s="2"/>
      <c r="Q4661" s="2"/>
      <c r="R4661" s="2"/>
      <c r="S4661" s="2"/>
      <c r="T4661" s="2"/>
      <c r="U4661" s="2"/>
      <c r="V4661" s="2"/>
      <c r="W4661" s="2"/>
    </row>
    <row r="4662" spans="1:23" x14ac:dyDescent="0.25">
      <c r="A4662" s="2"/>
      <c r="B4662" s="2"/>
      <c r="C4662" s="1"/>
      <c r="D4662" s="2"/>
      <c r="E4662" s="2"/>
      <c r="F4662" s="2"/>
      <c r="G4662" s="2"/>
      <c r="H4662" s="2"/>
      <c r="I4662" s="2"/>
      <c r="J4662" s="2"/>
      <c r="K4662" s="2"/>
      <c r="L4662" s="2"/>
      <c r="M4662" s="2"/>
      <c r="N4662" s="2"/>
      <c r="O4662" s="2"/>
      <c r="P4662" s="2"/>
      <c r="Q4662" s="2"/>
      <c r="R4662" s="2"/>
      <c r="S4662" s="2"/>
      <c r="T4662" s="2"/>
      <c r="U4662" s="2"/>
      <c r="V4662" s="2"/>
      <c r="W4662" s="2"/>
    </row>
    <row r="4663" spans="1:23" x14ac:dyDescent="0.25">
      <c r="A4663" s="2"/>
      <c r="B4663" s="2"/>
      <c r="C4663" s="1"/>
      <c r="D4663" s="2"/>
      <c r="E4663" s="2"/>
      <c r="F4663" s="2"/>
      <c r="G4663" s="2"/>
      <c r="H4663" s="2"/>
      <c r="I4663" s="2"/>
      <c r="J4663" s="2"/>
      <c r="K4663" s="2"/>
      <c r="L4663" s="2"/>
      <c r="M4663" s="2"/>
      <c r="N4663" s="2"/>
      <c r="O4663" s="2"/>
      <c r="P4663" s="2"/>
      <c r="Q4663" s="2"/>
      <c r="R4663" s="2"/>
      <c r="S4663" s="2"/>
      <c r="T4663" s="2"/>
      <c r="U4663" s="2"/>
      <c r="V4663" s="2"/>
      <c r="W4663" s="2"/>
    </row>
    <row r="4664" spans="1:23" x14ac:dyDescent="0.25">
      <c r="A4664" s="2"/>
      <c r="B4664" s="2"/>
      <c r="C4664" s="1"/>
      <c r="D4664" s="2"/>
      <c r="E4664" s="2"/>
      <c r="F4664" s="2"/>
      <c r="G4664" s="2"/>
      <c r="H4664" s="2"/>
      <c r="I4664" s="2"/>
      <c r="J4664" s="2"/>
      <c r="K4664" s="2"/>
      <c r="L4664" s="2"/>
      <c r="M4664" s="2"/>
      <c r="N4664" s="2"/>
      <c r="O4664" s="2"/>
      <c r="P4664" s="2"/>
      <c r="Q4664" s="2"/>
      <c r="R4664" s="2"/>
      <c r="S4664" s="2"/>
      <c r="T4664" s="2"/>
      <c r="U4664" s="2"/>
      <c r="V4664" s="2"/>
      <c r="W4664" s="2"/>
    </row>
    <row r="4665" spans="1:23" x14ac:dyDescent="0.25">
      <c r="A4665" s="2"/>
      <c r="B4665" s="2"/>
      <c r="C4665" s="1"/>
      <c r="D4665" s="2"/>
      <c r="E4665" s="2"/>
      <c r="F4665" s="2"/>
      <c r="G4665" s="2"/>
      <c r="H4665" s="2"/>
      <c r="I4665" s="2"/>
      <c r="J4665" s="2"/>
      <c r="K4665" s="2"/>
      <c r="L4665" s="2"/>
      <c r="M4665" s="2"/>
      <c r="N4665" s="2"/>
      <c r="O4665" s="2"/>
      <c r="P4665" s="2"/>
      <c r="Q4665" s="2"/>
      <c r="R4665" s="2"/>
      <c r="S4665" s="2"/>
      <c r="T4665" s="2"/>
      <c r="U4665" s="2"/>
      <c r="V4665" s="2"/>
      <c r="W4665" s="2"/>
    </row>
    <row r="4666" spans="1:23" x14ac:dyDescent="0.25">
      <c r="A4666" s="2"/>
      <c r="B4666" s="2"/>
      <c r="C4666" s="1"/>
      <c r="D4666" s="2"/>
      <c r="E4666" s="2"/>
      <c r="F4666" s="2"/>
      <c r="G4666" s="2"/>
      <c r="H4666" s="2"/>
      <c r="I4666" s="2"/>
      <c r="J4666" s="2"/>
      <c r="K4666" s="2"/>
      <c r="L4666" s="2"/>
      <c r="M4666" s="2"/>
      <c r="N4666" s="2"/>
      <c r="O4666" s="2"/>
      <c r="P4666" s="2"/>
      <c r="Q4666" s="2"/>
      <c r="R4666" s="2"/>
      <c r="S4666" s="2"/>
      <c r="T4666" s="2"/>
      <c r="U4666" s="2"/>
      <c r="V4666" s="2"/>
      <c r="W4666" s="2"/>
    </row>
    <row r="4667" spans="1:23" x14ac:dyDescent="0.25">
      <c r="A4667" s="2"/>
      <c r="B4667" s="2"/>
      <c r="C4667" s="1"/>
      <c r="D4667" s="2"/>
      <c r="E4667" s="2"/>
      <c r="F4667" s="2"/>
      <c r="G4667" s="2"/>
      <c r="H4667" s="2"/>
      <c r="I4667" s="2"/>
      <c r="J4667" s="2"/>
      <c r="K4667" s="2"/>
      <c r="L4667" s="2"/>
      <c r="M4667" s="2"/>
      <c r="N4667" s="2"/>
      <c r="O4667" s="2"/>
      <c r="P4667" s="2"/>
      <c r="Q4667" s="2"/>
      <c r="R4667" s="2"/>
      <c r="S4667" s="2"/>
      <c r="T4667" s="2"/>
      <c r="U4667" s="2"/>
      <c r="V4667" s="2"/>
      <c r="W4667" s="2"/>
    </row>
    <row r="4668" spans="1:23" x14ac:dyDescent="0.25">
      <c r="A4668" s="2"/>
      <c r="B4668" s="2"/>
      <c r="C4668" s="1"/>
      <c r="D4668" s="2"/>
      <c r="E4668" s="2"/>
      <c r="F4668" s="2"/>
      <c r="G4668" s="2"/>
      <c r="H4668" s="2"/>
      <c r="I4668" s="2"/>
      <c r="J4668" s="2"/>
      <c r="K4668" s="2"/>
      <c r="L4668" s="2"/>
      <c r="M4668" s="2"/>
      <c r="N4668" s="2"/>
      <c r="O4668" s="2"/>
      <c r="P4668" s="2"/>
      <c r="Q4668" s="2"/>
      <c r="R4668" s="2"/>
      <c r="S4668" s="2"/>
      <c r="T4668" s="2"/>
      <c r="U4668" s="2"/>
      <c r="V4668" s="2"/>
      <c r="W4668" s="2"/>
    </row>
    <row r="4669" spans="1:23" x14ac:dyDescent="0.25">
      <c r="A4669" s="2"/>
      <c r="B4669" s="2"/>
      <c r="C4669" s="1"/>
      <c r="D4669" s="2"/>
      <c r="E4669" s="2"/>
      <c r="F4669" s="2"/>
      <c r="G4669" s="2"/>
      <c r="H4669" s="2"/>
      <c r="I4669" s="2"/>
      <c r="J4669" s="2"/>
      <c r="K4669" s="2"/>
      <c r="L4669" s="2"/>
      <c r="M4669" s="2"/>
      <c r="N4669" s="2"/>
      <c r="O4669" s="2"/>
      <c r="P4669" s="2"/>
      <c r="Q4669" s="2"/>
      <c r="R4669" s="2"/>
      <c r="S4669" s="2"/>
      <c r="T4669" s="2"/>
      <c r="U4669" s="2"/>
      <c r="V4669" s="2"/>
      <c r="W4669" s="2"/>
    </row>
    <row r="4670" spans="1:23" x14ac:dyDescent="0.25">
      <c r="A4670" s="2"/>
      <c r="B4670" s="2"/>
      <c r="C4670" s="1"/>
      <c r="D4670" s="2"/>
      <c r="E4670" s="2"/>
      <c r="F4670" s="2"/>
      <c r="G4670" s="2"/>
      <c r="H4670" s="2"/>
      <c r="I4670" s="2"/>
      <c r="J4670" s="2"/>
      <c r="K4670" s="2"/>
      <c r="L4670" s="2"/>
      <c r="M4670" s="2"/>
      <c r="N4670" s="2"/>
      <c r="O4670" s="2"/>
      <c r="P4670" s="2"/>
      <c r="Q4670" s="2"/>
      <c r="R4670" s="2"/>
      <c r="S4670" s="2"/>
      <c r="T4670" s="2"/>
      <c r="U4670" s="2"/>
      <c r="V4670" s="2"/>
      <c r="W4670" s="2"/>
    </row>
    <row r="4671" spans="1:23" x14ac:dyDescent="0.25">
      <c r="A4671" s="2"/>
      <c r="B4671" s="2"/>
      <c r="C4671" s="1"/>
      <c r="D4671" s="2"/>
      <c r="E4671" s="2"/>
      <c r="F4671" s="2"/>
      <c r="G4671" s="2"/>
      <c r="H4671" s="2"/>
      <c r="I4671" s="2"/>
      <c r="J4671" s="2"/>
      <c r="K4671" s="2"/>
      <c r="L4671" s="2"/>
      <c r="M4671" s="2"/>
      <c r="N4671" s="2"/>
      <c r="O4671" s="2"/>
      <c r="P4671" s="2"/>
      <c r="Q4671" s="2"/>
      <c r="R4671" s="2"/>
      <c r="S4671" s="2"/>
      <c r="T4671" s="2"/>
      <c r="U4671" s="2"/>
      <c r="V4671" s="2"/>
      <c r="W4671" s="2"/>
    </row>
    <row r="4672" spans="1:23" x14ac:dyDescent="0.25">
      <c r="A4672" s="2"/>
      <c r="B4672" s="2"/>
      <c r="C4672" s="1"/>
      <c r="D4672" s="2"/>
      <c r="E4672" s="2"/>
      <c r="F4672" s="2"/>
      <c r="G4672" s="2"/>
      <c r="H4672" s="2"/>
      <c r="I4672" s="2"/>
      <c r="J4672" s="2"/>
      <c r="K4672" s="2"/>
      <c r="L4672" s="2"/>
      <c r="M4672" s="2"/>
      <c r="N4672" s="2"/>
      <c r="O4672" s="2"/>
      <c r="P4672" s="2"/>
      <c r="Q4672" s="2"/>
      <c r="R4672" s="2"/>
      <c r="S4672" s="2"/>
      <c r="T4672" s="2"/>
      <c r="U4672" s="2"/>
      <c r="V4672" s="2"/>
      <c r="W4672" s="2"/>
    </row>
    <row r="4673" spans="1:23" x14ac:dyDescent="0.25">
      <c r="A4673" s="2"/>
      <c r="B4673" s="2"/>
      <c r="C4673" s="1"/>
      <c r="D4673" s="2"/>
      <c r="E4673" s="2"/>
      <c r="F4673" s="2"/>
      <c r="G4673" s="2"/>
      <c r="H4673" s="2"/>
      <c r="I4673" s="2"/>
      <c r="J4673" s="2"/>
      <c r="K4673" s="2"/>
      <c r="L4673" s="2"/>
      <c r="M4673" s="2"/>
      <c r="N4673" s="2"/>
      <c r="O4673" s="2"/>
      <c r="P4673" s="2"/>
      <c r="Q4673" s="2"/>
      <c r="R4673" s="2"/>
      <c r="S4673" s="2"/>
      <c r="T4673" s="2"/>
      <c r="U4673" s="2"/>
      <c r="V4673" s="2"/>
      <c r="W4673" s="2"/>
    </row>
    <row r="4674" spans="1:23" x14ac:dyDescent="0.25">
      <c r="A4674" s="2"/>
      <c r="B4674" s="2"/>
      <c r="C4674" s="1"/>
      <c r="D4674" s="2"/>
      <c r="E4674" s="2"/>
      <c r="F4674" s="2"/>
      <c r="G4674" s="2"/>
      <c r="H4674" s="2"/>
      <c r="I4674" s="2"/>
      <c r="J4674" s="2"/>
      <c r="K4674" s="2"/>
      <c r="L4674" s="2"/>
      <c r="M4674" s="2"/>
      <c r="N4674" s="2"/>
      <c r="O4674" s="2"/>
      <c r="P4674" s="2"/>
      <c r="Q4674" s="2"/>
      <c r="R4674" s="2"/>
      <c r="S4674" s="2"/>
      <c r="T4674" s="2"/>
      <c r="U4674" s="2"/>
      <c r="V4674" s="2"/>
      <c r="W4674" s="2"/>
    </row>
    <row r="4675" spans="1:23" x14ac:dyDescent="0.25">
      <c r="A4675" s="2"/>
      <c r="B4675" s="2"/>
      <c r="C4675" s="1"/>
      <c r="D4675" s="2"/>
      <c r="E4675" s="2"/>
      <c r="F4675" s="2"/>
      <c r="G4675" s="2"/>
      <c r="H4675" s="2"/>
      <c r="I4675" s="2"/>
      <c r="J4675" s="2"/>
      <c r="K4675" s="2"/>
      <c r="L4675" s="2"/>
      <c r="M4675" s="2"/>
      <c r="N4675" s="2"/>
      <c r="O4675" s="2"/>
      <c r="P4675" s="2"/>
      <c r="Q4675" s="2"/>
      <c r="R4675" s="2"/>
      <c r="S4675" s="2"/>
      <c r="T4675" s="2"/>
      <c r="U4675" s="2"/>
      <c r="V4675" s="2"/>
      <c r="W4675" s="2"/>
    </row>
    <row r="4676" spans="1:23" x14ac:dyDescent="0.25">
      <c r="A4676" s="2"/>
      <c r="B4676" s="2"/>
      <c r="C4676" s="1"/>
      <c r="D4676" s="2"/>
      <c r="E4676" s="2"/>
      <c r="F4676" s="2"/>
      <c r="G4676" s="2"/>
      <c r="H4676" s="2"/>
      <c r="I4676" s="2"/>
      <c r="J4676" s="2"/>
      <c r="K4676" s="2"/>
      <c r="L4676" s="2"/>
      <c r="M4676" s="2"/>
      <c r="N4676" s="2"/>
      <c r="O4676" s="2"/>
      <c r="P4676" s="2"/>
      <c r="Q4676" s="2"/>
      <c r="R4676" s="2"/>
      <c r="S4676" s="2"/>
      <c r="T4676" s="2"/>
      <c r="U4676" s="2"/>
      <c r="V4676" s="2"/>
      <c r="W4676" s="2"/>
    </row>
    <row r="4677" spans="1:23" x14ac:dyDescent="0.25">
      <c r="A4677" s="2"/>
      <c r="B4677" s="2"/>
      <c r="C4677" s="1"/>
      <c r="D4677" s="2"/>
      <c r="E4677" s="2"/>
      <c r="F4677" s="2"/>
      <c r="G4677" s="2"/>
      <c r="H4677" s="2"/>
      <c r="I4677" s="2"/>
      <c r="J4677" s="2"/>
      <c r="K4677" s="2"/>
      <c r="L4677" s="2"/>
      <c r="M4677" s="2"/>
      <c r="N4677" s="2"/>
      <c r="O4677" s="2"/>
      <c r="P4677" s="2"/>
      <c r="Q4677" s="2"/>
      <c r="R4677" s="2"/>
      <c r="S4677" s="2"/>
      <c r="T4677" s="2"/>
      <c r="U4677" s="2"/>
      <c r="V4677" s="2"/>
      <c r="W4677" s="2"/>
    </row>
    <row r="4678" spans="1:23" x14ac:dyDescent="0.25">
      <c r="A4678" s="2"/>
      <c r="B4678" s="2"/>
      <c r="C4678" s="1"/>
      <c r="D4678" s="2"/>
      <c r="E4678" s="2"/>
      <c r="F4678" s="2"/>
      <c r="G4678" s="2"/>
      <c r="H4678" s="2"/>
      <c r="I4678" s="2"/>
      <c r="J4678" s="2"/>
      <c r="K4678" s="2"/>
      <c r="L4678" s="2"/>
      <c r="M4678" s="2"/>
      <c r="N4678" s="2"/>
      <c r="O4678" s="2"/>
      <c r="P4678" s="2"/>
      <c r="Q4678" s="2"/>
      <c r="R4678" s="2"/>
      <c r="S4678" s="2"/>
      <c r="T4678" s="2"/>
      <c r="U4678" s="2"/>
      <c r="V4678" s="2"/>
      <c r="W4678" s="2"/>
    </row>
    <row r="4679" spans="1:23" x14ac:dyDescent="0.25">
      <c r="A4679" s="2"/>
      <c r="B4679" s="2"/>
      <c r="C4679" s="1"/>
      <c r="D4679" s="2"/>
      <c r="E4679" s="2"/>
      <c r="F4679" s="2"/>
      <c r="G4679" s="2"/>
      <c r="H4679" s="2"/>
      <c r="I4679" s="2"/>
      <c r="J4679" s="2"/>
      <c r="K4679" s="2"/>
      <c r="L4679" s="2"/>
      <c r="M4679" s="2"/>
      <c r="N4679" s="2"/>
      <c r="O4679" s="2"/>
      <c r="P4679" s="2"/>
      <c r="Q4679" s="2"/>
      <c r="R4679" s="2"/>
      <c r="S4679" s="2"/>
      <c r="T4679" s="2"/>
      <c r="U4679" s="2"/>
      <c r="V4679" s="2"/>
      <c r="W4679" s="2"/>
    </row>
    <row r="4680" spans="1:23" x14ac:dyDescent="0.25">
      <c r="A4680" s="2"/>
      <c r="B4680" s="2"/>
      <c r="C4680" s="1"/>
      <c r="D4680" s="2"/>
      <c r="E4680" s="2"/>
      <c r="F4680" s="2"/>
      <c r="G4680" s="2"/>
      <c r="H4680" s="2"/>
      <c r="I4680" s="2"/>
      <c r="J4680" s="2"/>
      <c r="K4680" s="2"/>
      <c r="L4680" s="2"/>
      <c r="M4680" s="2"/>
      <c r="N4680" s="2"/>
      <c r="O4680" s="2"/>
      <c r="P4680" s="2"/>
      <c r="Q4680" s="2"/>
      <c r="R4680" s="2"/>
      <c r="S4680" s="2"/>
      <c r="T4680" s="2"/>
      <c r="U4680" s="2"/>
      <c r="V4680" s="2"/>
      <c r="W4680" s="2"/>
    </row>
    <row r="4681" spans="1:23" x14ac:dyDescent="0.25">
      <c r="A4681" s="2"/>
      <c r="B4681" s="2"/>
      <c r="C4681" s="1"/>
      <c r="D4681" s="2"/>
      <c r="E4681" s="2"/>
      <c r="F4681" s="2"/>
      <c r="G4681" s="2"/>
      <c r="H4681" s="2"/>
      <c r="I4681" s="2"/>
      <c r="J4681" s="2"/>
      <c r="K4681" s="2"/>
      <c r="L4681" s="2"/>
      <c r="M4681" s="2"/>
      <c r="N4681" s="2"/>
      <c r="O4681" s="2"/>
      <c r="P4681" s="2"/>
      <c r="Q4681" s="2"/>
      <c r="R4681" s="2"/>
      <c r="S4681" s="2"/>
      <c r="T4681" s="2"/>
      <c r="U4681" s="2"/>
      <c r="V4681" s="2"/>
      <c r="W4681" s="2"/>
    </row>
    <row r="4682" spans="1:23" x14ac:dyDescent="0.25">
      <c r="A4682" s="2"/>
      <c r="B4682" s="2"/>
      <c r="C4682" s="1"/>
      <c r="D4682" s="2"/>
      <c r="E4682" s="2"/>
      <c r="F4682" s="2"/>
      <c r="G4682" s="2"/>
      <c r="H4682" s="2"/>
      <c r="I4682" s="2"/>
      <c r="J4682" s="2"/>
      <c r="K4682" s="2"/>
      <c r="L4682" s="2"/>
      <c r="M4682" s="2"/>
      <c r="N4682" s="2"/>
      <c r="O4682" s="2"/>
      <c r="P4682" s="2"/>
      <c r="Q4682" s="2"/>
      <c r="R4682" s="2"/>
      <c r="S4682" s="2"/>
      <c r="T4682" s="2"/>
      <c r="U4682" s="2"/>
      <c r="V4682" s="2"/>
      <c r="W4682" s="2"/>
    </row>
    <row r="4683" spans="1:23" x14ac:dyDescent="0.25">
      <c r="A4683" s="2"/>
      <c r="B4683" s="2"/>
      <c r="C4683" s="1"/>
      <c r="D4683" s="2"/>
      <c r="E4683" s="2"/>
      <c r="F4683" s="2"/>
      <c r="G4683" s="2"/>
      <c r="H4683" s="2"/>
      <c r="I4683" s="2"/>
      <c r="J4683" s="2"/>
      <c r="K4683" s="2"/>
      <c r="L4683" s="2"/>
      <c r="M4683" s="2"/>
      <c r="N4683" s="2"/>
      <c r="O4683" s="2"/>
      <c r="P4683" s="2"/>
      <c r="Q4683" s="2"/>
      <c r="R4683" s="2"/>
      <c r="S4683" s="2"/>
      <c r="T4683" s="2"/>
      <c r="U4683" s="2"/>
      <c r="V4683" s="2"/>
      <c r="W4683" s="2"/>
    </row>
    <row r="4684" spans="1:23" x14ac:dyDescent="0.25">
      <c r="A4684" s="2"/>
      <c r="B4684" s="2"/>
      <c r="C4684" s="1"/>
      <c r="D4684" s="2"/>
      <c r="E4684" s="2"/>
      <c r="F4684" s="2"/>
      <c r="G4684" s="2"/>
      <c r="H4684" s="2"/>
      <c r="I4684" s="2"/>
      <c r="J4684" s="2"/>
      <c r="K4684" s="2"/>
      <c r="L4684" s="2"/>
      <c r="M4684" s="2"/>
      <c r="N4684" s="2"/>
      <c r="O4684" s="2"/>
      <c r="P4684" s="2"/>
      <c r="Q4684" s="2"/>
      <c r="R4684" s="2"/>
      <c r="S4684" s="2"/>
      <c r="T4684" s="2"/>
      <c r="U4684" s="2"/>
      <c r="V4684" s="2"/>
      <c r="W4684" s="2"/>
    </row>
    <row r="4685" spans="1:23" x14ac:dyDescent="0.25">
      <c r="A4685" s="2"/>
      <c r="B4685" s="2"/>
      <c r="C4685" s="1"/>
      <c r="D4685" s="2"/>
      <c r="E4685" s="2"/>
      <c r="F4685" s="2"/>
      <c r="G4685" s="2"/>
      <c r="H4685" s="2"/>
      <c r="I4685" s="2"/>
      <c r="J4685" s="2"/>
      <c r="K4685" s="2"/>
      <c r="L4685" s="2"/>
      <c r="M4685" s="2"/>
      <c r="N4685" s="2"/>
      <c r="O4685" s="2"/>
      <c r="P4685" s="2"/>
      <c r="Q4685" s="2"/>
      <c r="R4685" s="2"/>
      <c r="S4685" s="2"/>
      <c r="T4685" s="2"/>
      <c r="U4685" s="2"/>
      <c r="V4685" s="2"/>
      <c r="W4685" s="2"/>
    </row>
    <row r="4686" spans="1:23" x14ac:dyDescent="0.25">
      <c r="A4686" s="2"/>
      <c r="B4686" s="2"/>
      <c r="C4686" s="1"/>
      <c r="D4686" s="2"/>
      <c r="E4686" s="2"/>
      <c r="F4686" s="2"/>
      <c r="G4686" s="2"/>
      <c r="H4686" s="2"/>
      <c r="I4686" s="2"/>
      <c r="J4686" s="2"/>
      <c r="K4686" s="2"/>
      <c r="L4686" s="2"/>
      <c r="M4686" s="2"/>
      <c r="N4686" s="2"/>
      <c r="O4686" s="2"/>
      <c r="P4686" s="2"/>
      <c r="Q4686" s="2"/>
      <c r="R4686" s="2"/>
      <c r="S4686" s="2"/>
      <c r="T4686" s="2"/>
      <c r="U4686" s="2"/>
      <c r="V4686" s="2"/>
      <c r="W4686" s="2"/>
    </row>
    <row r="4687" spans="1:23" x14ac:dyDescent="0.25">
      <c r="A4687" s="2"/>
      <c r="B4687" s="2"/>
      <c r="C4687" s="1"/>
      <c r="D4687" s="2"/>
      <c r="E4687" s="2"/>
      <c r="F4687" s="2"/>
      <c r="G4687" s="2"/>
      <c r="H4687" s="2"/>
      <c r="I4687" s="2"/>
      <c r="J4687" s="2"/>
      <c r="K4687" s="2"/>
      <c r="L4687" s="2"/>
      <c r="M4687" s="2"/>
      <c r="N4687" s="2"/>
      <c r="O4687" s="2"/>
      <c r="P4687" s="2"/>
      <c r="Q4687" s="2"/>
      <c r="R4687" s="2"/>
      <c r="S4687" s="2"/>
      <c r="T4687" s="2"/>
      <c r="U4687" s="2"/>
      <c r="V4687" s="2"/>
      <c r="W4687" s="2"/>
    </row>
    <row r="4688" spans="1:23" x14ac:dyDescent="0.25">
      <c r="A4688" s="2"/>
      <c r="B4688" s="2"/>
      <c r="C4688" s="1"/>
      <c r="D4688" s="2"/>
      <c r="E4688" s="2"/>
      <c r="F4688" s="2"/>
      <c r="G4688" s="2"/>
      <c r="H4688" s="2"/>
      <c r="I4688" s="2"/>
      <c r="J4688" s="2"/>
      <c r="K4688" s="2"/>
      <c r="L4688" s="2"/>
      <c r="M4688" s="2"/>
      <c r="N4688" s="2"/>
      <c r="O4688" s="2"/>
      <c r="P4688" s="2"/>
      <c r="Q4688" s="2"/>
      <c r="R4688" s="2"/>
      <c r="S4688" s="2"/>
      <c r="T4688" s="2"/>
      <c r="U4688" s="2"/>
      <c r="V4688" s="2"/>
      <c r="W4688" s="2"/>
    </row>
    <row r="4689" spans="1:23" x14ac:dyDescent="0.25">
      <c r="A4689" s="2"/>
      <c r="B4689" s="2"/>
      <c r="C4689" s="1"/>
      <c r="D4689" s="2"/>
      <c r="E4689" s="2"/>
      <c r="F4689" s="2"/>
      <c r="G4689" s="2"/>
      <c r="H4689" s="2"/>
      <c r="I4689" s="2"/>
      <c r="J4689" s="2"/>
      <c r="K4689" s="2"/>
      <c r="L4689" s="2"/>
      <c r="M4689" s="2"/>
      <c r="N4689" s="2"/>
      <c r="O4689" s="2"/>
      <c r="P4689" s="2"/>
      <c r="Q4689" s="2"/>
      <c r="R4689" s="2"/>
      <c r="S4689" s="2"/>
      <c r="T4689" s="2"/>
      <c r="U4689" s="2"/>
      <c r="V4689" s="2"/>
      <c r="W4689" s="2"/>
    </row>
    <row r="4690" spans="1:23" x14ac:dyDescent="0.25">
      <c r="A4690" s="2"/>
      <c r="B4690" s="2"/>
      <c r="C4690" s="1"/>
      <c r="D4690" s="2"/>
      <c r="E4690" s="2"/>
      <c r="F4690" s="2"/>
      <c r="G4690" s="2"/>
      <c r="H4690" s="2"/>
      <c r="I4690" s="2"/>
      <c r="J4690" s="2"/>
      <c r="K4690" s="2"/>
      <c r="L4690" s="2"/>
      <c r="M4690" s="2"/>
      <c r="N4690" s="2"/>
      <c r="O4690" s="2"/>
      <c r="P4690" s="2"/>
      <c r="Q4690" s="2"/>
      <c r="R4690" s="2"/>
      <c r="S4690" s="2"/>
      <c r="T4690" s="2"/>
      <c r="U4690" s="2"/>
      <c r="V4690" s="2"/>
      <c r="W4690" s="2"/>
    </row>
    <row r="4691" spans="1:23" x14ac:dyDescent="0.25">
      <c r="A4691" s="2"/>
      <c r="B4691" s="2"/>
      <c r="C4691" s="1"/>
      <c r="D4691" s="2"/>
      <c r="E4691" s="2"/>
      <c r="F4691" s="2"/>
      <c r="G4691" s="2"/>
      <c r="H4691" s="2"/>
      <c r="I4691" s="2"/>
      <c r="J4691" s="2"/>
      <c r="K4691" s="2"/>
      <c r="L4691" s="2"/>
      <c r="M4691" s="2"/>
      <c r="N4691" s="2"/>
      <c r="O4691" s="2"/>
      <c r="P4691" s="2"/>
      <c r="Q4691" s="2"/>
      <c r="R4691" s="2"/>
      <c r="S4691" s="2"/>
      <c r="T4691" s="2"/>
      <c r="U4691" s="2"/>
      <c r="V4691" s="2"/>
      <c r="W4691" s="2"/>
    </row>
    <row r="4692" spans="1:23" x14ac:dyDescent="0.25">
      <c r="A4692" s="2"/>
      <c r="B4692" s="2"/>
      <c r="C4692" s="1"/>
      <c r="D4692" s="2"/>
      <c r="E4692" s="2"/>
      <c r="F4692" s="2"/>
      <c r="G4692" s="2"/>
      <c r="H4692" s="2"/>
      <c r="I4692" s="2"/>
      <c r="J4692" s="2"/>
      <c r="K4692" s="2"/>
      <c r="L4692" s="2"/>
      <c r="M4692" s="2"/>
      <c r="N4692" s="2"/>
      <c r="O4692" s="2"/>
      <c r="P4692" s="2"/>
      <c r="Q4692" s="2"/>
      <c r="R4692" s="2"/>
      <c r="S4692" s="2"/>
      <c r="T4692" s="2"/>
      <c r="U4692" s="2"/>
      <c r="V4692" s="2"/>
      <c r="W4692" s="2"/>
    </row>
    <row r="4693" spans="1:23" x14ac:dyDescent="0.25">
      <c r="A4693" s="2"/>
      <c r="B4693" s="2"/>
      <c r="C4693" s="1"/>
      <c r="D4693" s="2"/>
      <c r="E4693" s="2"/>
      <c r="F4693" s="2"/>
      <c r="G4693" s="2"/>
      <c r="H4693" s="2"/>
      <c r="I4693" s="2"/>
      <c r="J4693" s="2"/>
      <c r="K4693" s="2"/>
      <c r="L4693" s="2"/>
      <c r="M4693" s="2"/>
      <c r="N4693" s="2"/>
      <c r="O4693" s="2"/>
      <c r="P4693" s="2"/>
      <c r="Q4693" s="2"/>
      <c r="R4693" s="2"/>
      <c r="S4693" s="2"/>
      <c r="T4693" s="2"/>
      <c r="U4693" s="2"/>
      <c r="V4693" s="2"/>
      <c r="W4693" s="2"/>
    </row>
    <row r="4694" spans="1:23" x14ac:dyDescent="0.25">
      <c r="A4694" s="2"/>
      <c r="B4694" s="2"/>
      <c r="C4694" s="1"/>
      <c r="D4694" s="2"/>
      <c r="E4694" s="2"/>
      <c r="F4694" s="2"/>
      <c r="G4694" s="2"/>
      <c r="H4694" s="2"/>
      <c r="I4694" s="2"/>
      <c r="J4694" s="2"/>
      <c r="K4694" s="2"/>
      <c r="L4694" s="2"/>
      <c r="M4694" s="2"/>
      <c r="N4694" s="2"/>
      <c r="O4694" s="2"/>
      <c r="P4694" s="2"/>
      <c r="Q4694" s="2"/>
      <c r="R4694" s="2"/>
      <c r="S4694" s="2"/>
      <c r="T4694" s="2"/>
      <c r="U4694" s="2"/>
      <c r="V4694" s="2"/>
      <c r="W4694" s="2"/>
    </row>
    <row r="4695" spans="1:23" x14ac:dyDescent="0.25">
      <c r="A4695" s="2"/>
      <c r="B4695" s="2"/>
      <c r="C4695" s="1"/>
      <c r="D4695" s="2"/>
      <c r="E4695" s="2"/>
      <c r="F4695" s="2"/>
      <c r="G4695" s="2"/>
      <c r="H4695" s="2"/>
      <c r="I4695" s="2"/>
      <c r="J4695" s="2"/>
      <c r="K4695" s="2"/>
      <c r="L4695" s="2"/>
      <c r="M4695" s="2"/>
      <c r="N4695" s="2"/>
      <c r="O4695" s="2"/>
      <c r="P4695" s="2"/>
      <c r="Q4695" s="2"/>
      <c r="R4695" s="2"/>
      <c r="S4695" s="2"/>
      <c r="T4695" s="2"/>
      <c r="U4695" s="2"/>
      <c r="V4695" s="2"/>
      <c r="W4695" s="2"/>
    </row>
    <row r="4696" spans="1:23" x14ac:dyDescent="0.25">
      <c r="A4696" s="2"/>
      <c r="B4696" s="2"/>
      <c r="C4696" s="1"/>
      <c r="D4696" s="2"/>
      <c r="E4696" s="2"/>
      <c r="F4696" s="2"/>
      <c r="G4696" s="2"/>
      <c r="H4696" s="2"/>
      <c r="I4696" s="2"/>
      <c r="J4696" s="2"/>
      <c r="K4696" s="2"/>
      <c r="L4696" s="2"/>
      <c r="M4696" s="2"/>
      <c r="N4696" s="2"/>
      <c r="O4696" s="2"/>
      <c r="P4696" s="2"/>
      <c r="Q4696" s="2"/>
      <c r="R4696" s="2"/>
      <c r="S4696" s="2"/>
      <c r="T4696" s="2"/>
      <c r="U4696" s="2"/>
      <c r="V4696" s="2"/>
      <c r="W4696" s="2"/>
    </row>
    <row r="4697" spans="1:23" x14ac:dyDescent="0.25">
      <c r="A4697" s="2"/>
      <c r="B4697" s="2"/>
      <c r="C4697" s="1"/>
      <c r="D4697" s="2"/>
      <c r="E4697" s="2"/>
      <c r="F4697" s="2"/>
      <c r="G4697" s="2"/>
      <c r="H4697" s="2"/>
      <c r="I4697" s="2"/>
      <c r="J4697" s="2"/>
      <c r="K4697" s="2"/>
      <c r="L4697" s="2"/>
      <c r="M4697" s="2"/>
      <c r="N4697" s="2"/>
      <c r="O4697" s="2"/>
      <c r="P4697" s="2"/>
      <c r="Q4697" s="2"/>
      <c r="R4697" s="2"/>
      <c r="S4697" s="2"/>
      <c r="T4697" s="2"/>
      <c r="U4697" s="2"/>
      <c r="V4697" s="2"/>
      <c r="W4697" s="2"/>
    </row>
    <row r="4698" spans="1:23" x14ac:dyDescent="0.25">
      <c r="A4698" s="2"/>
      <c r="B4698" s="2"/>
      <c r="C4698" s="1"/>
      <c r="D4698" s="2"/>
      <c r="E4698" s="2"/>
      <c r="F4698" s="2"/>
      <c r="G4698" s="2"/>
      <c r="H4698" s="2"/>
      <c r="I4698" s="2"/>
      <c r="J4698" s="2"/>
      <c r="K4698" s="2"/>
      <c r="L4698" s="2"/>
      <c r="M4698" s="2"/>
      <c r="N4698" s="2"/>
      <c r="O4698" s="2"/>
      <c r="P4698" s="2"/>
      <c r="Q4698" s="2"/>
      <c r="R4698" s="2"/>
      <c r="S4698" s="2"/>
      <c r="T4698" s="2"/>
      <c r="U4698" s="2"/>
      <c r="V4698" s="2"/>
      <c r="W4698" s="2"/>
    </row>
    <row r="4699" spans="1:23" x14ac:dyDescent="0.25">
      <c r="A4699" s="2"/>
      <c r="B4699" s="2"/>
      <c r="C4699" s="1"/>
      <c r="D4699" s="2"/>
      <c r="E4699" s="2"/>
      <c r="F4699" s="2"/>
      <c r="G4699" s="2"/>
      <c r="H4699" s="2"/>
      <c r="I4699" s="2"/>
      <c r="J4699" s="2"/>
      <c r="K4699" s="2"/>
      <c r="L4699" s="2"/>
      <c r="M4699" s="2"/>
      <c r="N4699" s="2"/>
      <c r="O4699" s="2"/>
      <c r="P4699" s="2"/>
      <c r="Q4699" s="2"/>
      <c r="R4699" s="2"/>
      <c r="S4699" s="2"/>
      <c r="T4699" s="2"/>
      <c r="U4699" s="2"/>
      <c r="V4699" s="2"/>
      <c r="W4699" s="2"/>
    </row>
    <row r="4700" spans="1:23" x14ac:dyDescent="0.25">
      <c r="A4700" s="2"/>
      <c r="B4700" s="2"/>
      <c r="C4700" s="1"/>
      <c r="D4700" s="2"/>
      <c r="E4700" s="2"/>
      <c r="F4700" s="2"/>
      <c r="G4700" s="2"/>
      <c r="H4700" s="2"/>
      <c r="I4700" s="2"/>
      <c r="J4700" s="2"/>
      <c r="K4700" s="2"/>
      <c r="L4700" s="2"/>
      <c r="M4700" s="2"/>
      <c r="N4700" s="2"/>
      <c r="O4700" s="2"/>
      <c r="P4700" s="2"/>
      <c r="Q4700" s="2"/>
      <c r="R4700" s="2"/>
      <c r="S4700" s="2"/>
      <c r="T4700" s="2"/>
      <c r="U4700" s="2"/>
      <c r="V4700" s="2"/>
      <c r="W4700" s="2"/>
    </row>
    <row r="4701" spans="1:23" x14ac:dyDescent="0.25">
      <c r="A4701" s="2"/>
      <c r="B4701" s="2"/>
      <c r="C4701" s="1"/>
      <c r="D4701" s="2"/>
      <c r="E4701" s="2"/>
      <c r="F4701" s="2"/>
      <c r="G4701" s="2"/>
      <c r="H4701" s="2"/>
      <c r="I4701" s="2"/>
      <c r="J4701" s="2"/>
      <c r="K4701" s="2"/>
      <c r="L4701" s="2"/>
      <c r="M4701" s="2"/>
      <c r="N4701" s="2"/>
      <c r="O4701" s="2"/>
      <c r="P4701" s="2"/>
      <c r="Q4701" s="2"/>
      <c r="R4701" s="2"/>
      <c r="S4701" s="2"/>
      <c r="T4701" s="2"/>
      <c r="U4701" s="2"/>
      <c r="V4701" s="2"/>
      <c r="W4701" s="2"/>
    </row>
    <row r="4702" spans="1:23" x14ac:dyDescent="0.25">
      <c r="A4702" s="2"/>
      <c r="B4702" s="2"/>
      <c r="C4702" s="1"/>
      <c r="D4702" s="2"/>
      <c r="E4702" s="2"/>
      <c r="F4702" s="2"/>
      <c r="G4702" s="2"/>
      <c r="H4702" s="2"/>
      <c r="I4702" s="2"/>
      <c r="J4702" s="2"/>
      <c r="K4702" s="2"/>
      <c r="L4702" s="2"/>
      <c r="M4702" s="2"/>
      <c r="N4702" s="2"/>
      <c r="O4702" s="2"/>
      <c r="P4702" s="2"/>
      <c r="Q4702" s="2"/>
      <c r="R4702" s="2"/>
      <c r="S4702" s="2"/>
      <c r="T4702" s="2"/>
      <c r="U4702" s="2"/>
      <c r="V4702" s="2"/>
      <c r="W4702" s="2"/>
    </row>
    <row r="4703" spans="1:23" x14ac:dyDescent="0.25">
      <c r="A4703" s="2"/>
      <c r="B4703" s="2"/>
      <c r="C4703" s="1"/>
      <c r="D4703" s="2"/>
      <c r="E4703" s="2"/>
      <c r="F4703" s="2"/>
      <c r="G4703" s="2"/>
      <c r="H4703" s="2"/>
      <c r="I4703" s="2"/>
      <c r="J4703" s="2"/>
      <c r="K4703" s="2"/>
      <c r="L4703" s="2"/>
      <c r="M4703" s="2"/>
      <c r="N4703" s="2"/>
      <c r="O4703" s="2"/>
      <c r="P4703" s="2"/>
      <c r="Q4703" s="2"/>
      <c r="R4703" s="2"/>
      <c r="S4703" s="2"/>
      <c r="T4703" s="2"/>
      <c r="U4703" s="2"/>
      <c r="V4703" s="2"/>
      <c r="W4703" s="2"/>
    </row>
    <row r="4704" spans="1:23" x14ac:dyDescent="0.25">
      <c r="A4704" s="2"/>
      <c r="B4704" s="2"/>
      <c r="C4704" s="1"/>
      <c r="D4704" s="2"/>
      <c r="E4704" s="2"/>
      <c r="F4704" s="2"/>
      <c r="G4704" s="2"/>
      <c r="H4704" s="2"/>
      <c r="I4704" s="2"/>
      <c r="J4704" s="2"/>
      <c r="K4704" s="2"/>
      <c r="L4704" s="2"/>
      <c r="M4704" s="2"/>
      <c r="N4704" s="2"/>
      <c r="O4704" s="2"/>
      <c r="P4704" s="2"/>
      <c r="Q4704" s="2"/>
      <c r="R4704" s="2"/>
      <c r="S4704" s="2"/>
      <c r="T4704" s="2"/>
      <c r="U4704" s="2"/>
      <c r="V4704" s="2"/>
      <c r="W4704" s="2"/>
    </row>
    <row r="4705" spans="1:23" x14ac:dyDescent="0.25">
      <c r="A4705" s="2"/>
      <c r="B4705" s="2"/>
      <c r="C4705" s="1"/>
      <c r="D4705" s="2"/>
      <c r="E4705" s="2"/>
      <c r="F4705" s="2"/>
      <c r="G4705" s="2"/>
      <c r="H4705" s="2"/>
      <c r="I4705" s="2"/>
      <c r="J4705" s="2"/>
      <c r="K4705" s="2"/>
      <c r="L4705" s="2"/>
      <c r="M4705" s="2"/>
      <c r="N4705" s="2"/>
      <c r="O4705" s="2"/>
      <c r="P4705" s="2"/>
      <c r="Q4705" s="2"/>
      <c r="R4705" s="2"/>
      <c r="S4705" s="2"/>
      <c r="T4705" s="2"/>
      <c r="U4705" s="2"/>
      <c r="V4705" s="2"/>
      <c r="W4705" s="2"/>
    </row>
    <row r="4706" spans="1:23" x14ac:dyDescent="0.25">
      <c r="A4706" s="2"/>
      <c r="B4706" s="2"/>
      <c r="C4706" s="1"/>
      <c r="D4706" s="2"/>
      <c r="E4706" s="2"/>
      <c r="F4706" s="2"/>
      <c r="G4706" s="2"/>
      <c r="H4706" s="2"/>
      <c r="I4706" s="2"/>
      <c r="J4706" s="2"/>
      <c r="K4706" s="2"/>
      <c r="L4706" s="2"/>
      <c r="M4706" s="2"/>
      <c r="N4706" s="2"/>
      <c r="O4706" s="2"/>
      <c r="P4706" s="2"/>
      <c r="Q4706" s="2"/>
      <c r="R4706" s="2"/>
      <c r="S4706" s="2"/>
      <c r="T4706" s="2"/>
      <c r="U4706" s="2"/>
      <c r="V4706" s="2"/>
      <c r="W4706" s="2"/>
    </row>
    <row r="4707" spans="1:23" x14ac:dyDescent="0.25">
      <c r="A4707" s="2"/>
      <c r="B4707" s="2"/>
      <c r="C4707" s="1"/>
      <c r="D4707" s="2"/>
      <c r="E4707" s="2"/>
      <c r="F4707" s="2"/>
      <c r="G4707" s="2"/>
      <c r="H4707" s="2"/>
      <c r="I4707" s="2"/>
      <c r="J4707" s="2"/>
      <c r="K4707" s="2"/>
      <c r="L4707" s="2"/>
      <c r="M4707" s="2"/>
      <c r="N4707" s="2"/>
      <c r="O4707" s="2"/>
      <c r="P4707" s="2"/>
      <c r="Q4707" s="2"/>
      <c r="R4707" s="2"/>
      <c r="S4707" s="2"/>
      <c r="T4707" s="2"/>
      <c r="U4707" s="2"/>
      <c r="V4707" s="2"/>
      <c r="W4707" s="2"/>
    </row>
    <row r="4708" spans="1:23" x14ac:dyDescent="0.25">
      <c r="A4708" s="2"/>
      <c r="B4708" s="2"/>
      <c r="C4708" s="1"/>
      <c r="D4708" s="2"/>
      <c r="E4708" s="2"/>
      <c r="F4708" s="2"/>
      <c r="G4708" s="2"/>
      <c r="H4708" s="2"/>
      <c r="I4708" s="2"/>
      <c r="J4708" s="2"/>
      <c r="K4708" s="2"/>
      <c r="L4708" s="2"/>
      <c r="M4708" s="2"/>
      <c r="N4708" s="2"/>
      <c r="O4708" s="2"/>
      <c r="P4708" s="2"/>
      <c r="Q4708" s="2"/>
      <c r="R4708" s="2"/>
      <c r="S4708" s="2"/>
      <c r="T4708" s="2"/>
      <c r="U4708" s="2"/>
      <c r="V4708" s="2"/>
      <c r="W4708" s="2"/>
    </row>
    <row r="4709" spans="1:23" x14ac:dyDescent="0.25">
      <c r="A4709" s="2"/>
      <c r="B4709" s="2"/>
      <c r="C4709" s="1"/>
      <c r="D4709" s="2"/>
      <c r="E4709" s="2"/>
      <c r="F4709" s="2"/>
      <c r="G4709" s="2"/>
      <c r="H4709" s="2"/>
      <c r="I4709" s="2"/>
      <c r="J4709" s="2"/>
      <c r="K4709" s="2"/>
      <c r="L4709" s="2"/>
      <c r="M4709" s="2"/>
      <c r="N4709" s="2"/>
      <c r="O4709" s="2"/>
      <c r="P4709" s="2"/>
      <c r="Q4709" s="2"/>
      <c r="R4709" s="2"/>
      <c r="S4709" s="2"/>
      <c r="T4709" s="2"/>
      <c r="U4709" s="2"/>
      <c r="V4709" s="2"/>
      <c r="W4709" s="2"/>
    </row>
    <row r="4710" spans="1:23" x14ac:dyDescent="0.25">
      <c r="A4710" s="2"/>
      <c r="B4710" s="2"/>
      <c r="C4710" s="1"/>
      <c r="D4710" s="2"/>
      <c r="E4710" s="2"/>
      <c r="F4710" s="2"/>
      <c r="G4710" s="2"/>
      <c r="H4710" s="2"/>
      <c r="I4710" s="2"/>
      <c r="J4710" s="2"/>
      <c r="K4710" s="2"/>
      <c r="L4710" s="2"/>
      <c r="M4710" s="2"/>
      <c r="N4710" s="2"/>
      <c r="O4710" s="2"/>
      <c r="P4710" s="2"/>
      <c r="Q4710" s="2"/>
      <c r="R4710" s="2"/>
      <c r="S4710" s="2"/>
      <c r="T4710" s="2"/>
      <c r="U4710" s="2"/>
      <c r="V4710" s="2"/>
      <c r="W4710" s="2"/>
    </row>
    <row r="4711" spans="1:23" x14ac:dyDescent="0.25">
      <c r="A4711" s="2"/>
      <c r="B4711" s="2"/>
      <c r="C4711" s="1"/>
      <c r="D4711" s="2"/>
      <c r="E4711" s="2"/>
      <c r="F4711" s="2"/>
      <c r="G4711" s="2"/>
      <c r="H4711" s="2"/>
      <c r="I4711" s="2"/>
      <c r="J4711" s="2"/>
      <c r="K4711" s="2"/>
      <c r="L4711" s="2"/>
      <c r="M4711" s="2"/>
      <c r="N4711" s="2"/>
      <c r="O4711" s="2"/>
      <c r="P4711" s="2"/>
      <c r="Q4711" s="2"/>
      <c r="R4711" s="2"/>
      <c r="S4711" s="2"/>
      <c r="T4711" s="2"/>
      <c r="U4711" s="2"/>
      <c r="V4711" s="2"/>
      <c r="W4711" s="2"/>
    </row>
    <row r="4712" spans="1:23" x14ac:dyDescent="0.25">
      <c r="A4712" s="2"/>
      <c r="B4712" s="2"/>
      <c r="C4712" s="1"/>
      <c r="D4712" s="2"/>
      <c r="E4712" s="2"/>
      <c r="F4712" s="2"/>
      <c r="G4712" s="2"/>
      <c r="H4712" s="2"/>
      <c r="I4712" s="2"/>
      <c r="J4712" s="2"/>
      <c r="K4712" s="2"/>
      <c r="L4712" s="2"/>
      <c r="M4712" s="2"/>
      <c r="N4712" s="2"/>
      <c r="O4712" s="2"/>
      <c r="P4712" s="2"/>
      <c r="Q4712" s="2"/>
      <c r="R4712" s="2"/>
      <c r="S4712" s="2"/>
      <c r="T4712" s="2"/>
      <c r="U4712" s="2"/>
      <c r="V4712" s="2"/>
      <c r="W4712" s="2"/>
    </row>
    <row r="4713" spans="1:23" x14ac:dyDescent="0.25">
      <c r="A4713" s="2"/>
      <c r="B4713" s="2"/>
      <c r="C4713" s="1"/>
      <c r="D4713" s="2"/>
      <c r="E4713" s="2"/>
      <c r="F4713" s="2"/>
      <c r="G4713" s="2"/>
      <c r="H4713" s="2"/>
      <c r="I4713" s="2"/>
      <c r="J4713" s="2"/>
      <c r="K4713" s="2"/>
      <c r="L4713" s="2"/>
      <c r="M4713" s="2"/>
      <c r="N4713" s="2"/>
      <c r="O4713" s="2"/>
      <c r="P4713" s="2"/>
      <c r="Q4713" s="2"/>
      <c r="R4713" s="2"/>
      <c r="S4713" s="2"/>
      <c r="T4713" s="2"/>
      <c r="U4713" s="2"/>
      <c r="V4713" s="2"/>
      <c r="W4713" s="2"/>
    </row>
    <row r="4714" spans="1:23" x14ac:dyDescent="0.25">
      <c r="A4714" s="2"/>
      <c r="B4714" s="2"/>
      <c r="C4714" s="1"/>
      <c r="D4714" s="2"/>
      <c r="E4714" s="2"/>
      <c r="F4714" s="2"/>
      <c r="G4714" s="2"/>
      <c r="H4714" s="2"/>
      <c r="I4714" s="2"/>
      <c r="J4714" s="2"/>
      <c r="K4714" s="2"/>
      <c r="L4714" s="2"/>
      <c r="M4714" s="2"/>
      <c r="N4714" s="2"/>
      <c r="O4714" s="2"/>
      <c r="P4714" s="2"/>
      <c r="Q4714" s="2"/>
      <c r="R4714" s="2"/>
      <c r="S4714" s="2"/>
      <c r="T4714" s="2"/>
      <c r="U4714" s="2"/>
      <c r="V4714" s="2"/>
      <c r="W4714" s="2"/>
    </row>
    <row r="4715" spans="1:23" x14ac:dyDescent="0.25">
      <c r="A4715" s="2"/>
      <c r="B4715" s="2"/>
      <c r="C4715" s="1"/>
      <c r="D4715" s="2"/>
      <c r="E4715" s="2"/>
      <c r="F4715" s="2"/>
      <c r="G4715" s="2"/>
      <c r="H4715" s="2"/>
      <c r="I4715" s="2"/>
      <c r="J4715" s="2"/>
      <c r="K4715" s="2"/>
      <c r="L4715" s="2"/>
      <c r="M4715" s="2"/>
      <c r="N4715" s="2"/>
      <c r="O4715" s="2"/>
      <c r="P4715" s="2"/>
      <c r="Q4715" s="2"/>
      <c r="R4715" s="2"/>
      <c r="S4715" s="2"/>
      <c r="T4715" s="2"/>
      <c r="U4715" s="2"/>
      <c r="V4715" s="2"/>
      <c r="W4715" s="2"/>
    </row>
    <row r="4716" spans="1:23" x14ac:dyDescent="0.25">
      <c r="A4716" s="2"/>
      <c r="B4716" s="2"/>
      <c r="C4716" s="1"/>
      <c r="D4716" s="2"/>
      <c r="E4716" s="2"/>
      <c r="F4716" s="2"/>
      <c r="G4716" s="2"/>
      <c r="H4716" s="2"/>
      <c r="I4716" s="2"/>
      <c r="J4716" s="2"/>
      <c r="K4716" s="2"/>
      <c r="L4716" s="2"/>
      <c r="M4716" s="2"/>
      <c r="N4716" s="2"/>
      <c r="O4716" s="2"/>
      <c r="P4716" s="2"/>
      <c r="Q4716" s="2"/>
      <c r="R4716" s="2"/>
      <c r="S4716" s="2"/>
      <c r="T4716" s="2"/>
      <c r="U4716" s="2"/>
      <c r="V4716" s="2"/>
      <c r="W4716" s="2"/>
    </row>
    <row r="4717" spans="1:23" x14ac:dyDescent="0.25">
      <c r="A4717" s="2"/>
      <c r="B4717" s="2"/>
      <c r="C4717" s="1"/>
      <c r="D4717" s="2"/>
      <c r="E4717" s="2"/>
      <c r="F4717" s="2"/>
      <c r="G4717" s="2"/>
      <c r="H4717" s="2"/>
      <c r="I4717" s="2"/>
      <c r="J4717" s="2"/>
      <c r="K4717" s="2"/>
      <c r="L4717" s="2"/>
      <c r="M4717" s="2"/>
      <c r="N4717" s="2"/>
      <c r="O4717" s="2"/>
      <c r="P4717" s="2"/>
      <c r="Q4717" s="2"/>
      <c r="R4717" s="2"/>
      <c r="S4717" s="2"/>
      <c r="T4717" s="2"/>
      <c r="U4717" s="2"/>
      <c r="V4717" s="2"/>
      <c r="W4717" s="2"/>
    </row>
    <row r="4718" spans="1:23" x14ac:dyDescent="0.25">
      <c r="A4718" s="2"/>
      <c r="B4718" s="2"/>
      <c r="C4718" s="1"/>
      <c r="D4718" s="2"/>
      <c r="E4718" s="2"/>
      <c r="F4718" s="2"/>
      <c r="G4718" s="2"/>
      <c r="H4718" s="2"/>
      <c r="I4718" s="2"/>
      <c r="J4718" s="2"/>
      <c r="K4718" s="2"/>
      <c r="L4718" s="2"/>
      <c r="M4718" s="2"/>
      <c r="N4718" s="2"/>
      <c r="O4718" s="2"/>
      <c r="P4718" s="2"/>
      <c r="Q4718" s="2"/>
      <c r="R4718" s="2"/>
      <c r="S4718" s="2"/>
      <c r="T4718" s="2"/>
      <c r="U4718" s="2"/>
      <c r="V4718" s="2"/>
      <c r="W4718" s="2"/>
    </row>
    <row r="4719" spans="1:23" x14ac:dyDescent="0.25">
      <c r="A4719" s="2"/>
      <c r="B4719" s="2"/>
      <c r="C4719" s="1"/>
      <c r="D4719" s="2"/>
      <c r="E4719" s="2"/>
      <c r="F4719" s="2"/>
      <c r="G4719" s="2"/>
      <c r="H4719" s="2"/>
      <c r="I4719" s="2"/>
      <c r="J4719" s="2"/>
      <c r="K4719" s="2"/>
      <c r="L4719" s="2"/>
      <c r="M4719" s="2"/>
      <c r="N4719" s="2"/>
      <c r="O4719" s="2"/>
      <c r="P4719" s="2"/>
      <c r="Q4719" s="2"/>
      <c r="R4719" s="2"/>
      <c r="S4719" s="2"/>
      <c r="T4719" s="2"/>
      <c r="U4719" s="2"/>
      <c r="V4719" s="2"/>
      <c r="W4719" s="2"/>
    </row>
    <row r="4720" spans="1:23" x14ac:dyDescent="0.25">
      <c r="A4720" s="2"/>
      <c r="B4720" s="2"/>
      <c r="C4720" s="1"/>
      <c r="D4720" s="2"/>
      <c r="E4720" s="2"/>
      <c r="F4720" s="2"/>
      <c r="G4720" s="2"/>
      <c r="H4720" s="2"/>
      <c r="I4720" s="2"/>
      <c r="J4720" s="2"/>
      <c r="K4720" s="2"/>
      <c r="L4720" s="2"/>
      <c r="M4720" s="2"/>
      <c r="N4720" s="2"/>
      <c r="O4720" s="2"/>
      <c r="P4720" s="2"/>
      <c r="Q4720" s="2"/>
      <c r="R4720" s="2"/>
      <c r="S4720" s="2"/>
      <c r="T4720" s="2"/>
      <c r="U4720" s="2"/>
      <c r="V4720" s="2"/>
      <c r="W4720" s="2"/>
    </row>
    <row r="4721" spans="1:23" x14ac:dyDescent="0.25">
      <c r="A4721" s="2"/>
      <c r="B4721" s="2"/>
      <c r="C4721" s="1"/>
      <c r="D4721" s="2"/>
      <c r="E4721" s="2"/>
      <c r="F4721" s="2"/>
      <c r="G4721" s="2"/>
      <c r="H4721" s="2"/>
      <c r="I4721" s="2"/>
      <c r="J4721" s="2"/>
      <c r="K4721" s="2"/>
      <c r="L4721" s="2"/>
      <c r="M4721" s="2"/>
      <c r="N4721" s="2"/>
      <c r="O4721" s="2"/>
      <c r="P4721" s="2"/>
      <c r="Q4721" s="2"/>
      <c r="R4721" s="2"/>
      <c r="S4721" s="2"/>
      <c r="T4721" s="2"/>
      <c r="U4721" s="2"/>
      <c r="V4721" s="2"/>
      <c r="W4721" s="2"/>
    </row>
    <row r="4722" spans="1:23" x14ac:dyDescent="0.25">
      <c r="A4722" s="2"/>
      <c r="B4722" s="2"/>
      <c r="C4722" s="1"/>
      <c r="D4722" s="2"/>
      <c r="E4722" s="2"/>
      <c r="F4722" s="2"/>
      <c r="G4722" s="2"/>
      <c r="H4722" s="2"/>
      <c r="I4722" s="2"/>
      <c r="J4722" s="2"/>
      <c r="K4722" s="2"/>
      <c r="L4722" s="2"/>
      <c r="M4722" s="2"/>
      <c r="N4722" s="2"/>
      <c r="O4722" s="2"/>
      <c r="P4722" s="2"/>
      <c r="Q4722" s="2"/>
      <c r="R4722" s="2"/>
      <c r="S4722" s="2"/>
      <c r="T4722" s="2"/>
      <c r="U4722" s="2"/>
      <c r="V4722" s="2"/>
      <c r="W4722" s="2"/>
    </row>
    <row r="4723" spans="1:23" x14ac:dyDescent="0.25">
      <c r="A4723" s="2"/>
      <c r="B4723" s="2"/>
      <c r="C4723" s="1"/>
      <c r="D4723" s="2"/>
      <c r="E4723" s="2"/>
      <c r="F4723" s="2"/>
      <c r="G4723" s="2"/>
      <c r="H4723" s="2"/>
      <c r="I4723" s="2"/>
      <c r="J4723" s="2"/>
      <c r="K4723" s="2"/>
      <c r="L4723" s="2"/>
      <c r="M4723" s="2"/>
      <c r="N4723" s="2"/>
      <c r="O4723" s="2"/>
      <c r="P4723" s="2"/>
      <c r="Q4723" s="2"/>
      <c r="R4723" s="2"/>
      <c r="S4723" s="2"/>
      <c r="T4723" s="2"/>
      <c r="U4723" s="2"/>
      <c r="V4723" s="2"/>
      <c r="W4723" s="2"/>
    </row>
    <row r="4724" spans="1:23" x14ac:dyDescent="0.25">
      <c r="A4724" s="2"/>
      <c r="B4724" s="2"/>
      <c r="C4724" s="1"/>
      <c r="D4724" s="2"/>
      <c r="E4724" s="2"/>
      <c r="F4724" s="2"/>
      <c r="G4724" s="2"/>
      <c r="H4724" s="2"/>
      <c r="I4724" s="2"/>
      <c r="J4724" s="2"/>
      <c r="K4724" s="2"/>
      <c r="L4724" s="2"/>
      <c r="M4724" s="2"/>
      <c r="N4724" s="2"/>
      <c r="O4724" s="2"/>
      <c r="P4724" s="2"/>
      <c r="Q4724" s="2"/>
      <c r="R4724" s="2"/>
      <c r="S4724" s="2"/>
      <c r="T4724" s="2"/>
      <c r="U4724" s="2"/>
      <c r="V4724" s="2"/>
      <c r="W4724" s="2"/>
    </row>
    <row r="4725" spans="1:23" x14ac:dyDescent="0.25">
      <c r="A4725" s="2"/>
      <c r="B4725" s="2"/>
      <c r="C4725" s="1"/>
      <c r="D4725" s="2"/>
      <c r="E4725" s="2"/>
      <c r="F4725" s="2"/>
      <c r="G4725" s="2"/>
      <c r="H4725" s="2"/>
      <c r="I4725" s="2"/>
      <c r="J4725" s="2"/>
      <c r="K4725" s="2"/>
      <c r="L4725" s="2"/>
      <c r="M4725" s="2"/>
      <c r="N4725" s="2"/>
      <c r="O4725" s="2"/>
      <c r="P4725" s="2"/>
      <c r="Q4725" s="2"/>
      <c r="R4725" s="2"/>
      <c r="S4725" s="2"/>
      <c r="T4725" s="2"/>
      <c r="U4725" s="2"/>
      <c r="V4725" s="2"/>
      <c r="W4725" s="2"/>
    </row>
    <row r="4726" spans="1:23" x14ac:dyDescent="0.25">
      <c r="A4726" s="2"/>
      <c r="B4726" s="2"/>
      <c r="C4726" s="1"/>
      <c r="D4726" s="2"/>
      <c r="E4726" s="2"/>
      <c r="F4726" s="2"/>
      <c r="G4726" s="2"/>
      <c r="H4726" s="2"/>
      <c r="I4726" s="2"/>
      <c r="J4726" s="2"/>
      <c r="K4726" s="2"/>
      <c r="L4726" s="2"/>
      <c r="M4726" s="2"/>
      <c r="N4726" s="2"/>
      <c r="O4726" s="2"/>
      <c r="P4726" s="2"/>
      <c r="Q4726" s="2"/>
      <c r="R4726" s="2"/>
      <c r="S4726" s="2"/>
      <c r="T4726" s="2"/>
      <c r="U4726" s="2"/>
      <c r="V4726" s="2"/>
      <c r="W4726" s="2"/>
    </row>
    <row r="4727" spans="1:23" x14ac:dyDescent="0.25">
      <c r="A4727" s="2"/>
      <c r="B4727" s="2"/>
      <c r="C4727" s="1"/>
      <c r="D4727" s="2"/>
      <c r="E4727" s="2"/>
      <c r="F4727" s="2"/>
      <c r="G4727" s="2"/>
      <c r="H4727" s="2"/>
      <c r="I4727" s="2"/>
      <c r="J4727" s="2"/>
      <c r="K4727" s="2"/>
      <c r="L4727" s="2"/>
      <c r="M4727" s="2"/>
      <c r="N4727" s="2"/>
      <c r="O4727" s="2"/>
      <c r="P4727" s="2"/>
      <c r="Q4727" s="2"/>
      <c r="R4727" s="2"/>
      <c r="S4727" s="2"/>
      <c r="T4727" s="2"/>
      <c r="U4727" s="2"/>
      <c r="V4727" s="2"/>
      <c r="W4727" s="2"/>
    </row>
    <row r="4728" spans="1:23" x14ac:dyDescent="0.25">
      <c r="A4728" s="2"/>
      <c r="B4728" s="2"/>
      <c r="C4728" s="1"/>
      <c r="D4728" s="2"/>
      <c r="E4728" s="2"/>
      <c r="F4728" s="2"/>
      <c r="G4728" s="2"/>
      <c r="H4728" s="2"/>
      <c r="I4728" s="2"/>
      <c r="J4728" s="2"/>
      <c r="K4728" s="2"/>
      <c r="L4728" s="2"/>
      <c r="M4728" s="2"/>
      <c r="N4728" s="2"/>
      <c r="O4728" s="2"/>
      <c r="P4728" s="2"/>
      <c r="Q4728" s="2"/>
      <c r="R4728" s="2"/>
      <c r="S4728" s="2"/>
      <c r="T4728" s="2"/>
      <c r="U4728" s="2"/>
      <c r="V4728" s="2"/>
      <c r="W4728" s="2"/>
    </row>
    <row r="4729" spans="1:23" x14ac:dyDescent="0.25">
      <c r="A4729" s="2"/>
      <c r="B4729" s="2"/>
      <c r="C4729" s="1"/>
      <c r="D4729" s="2"/>
      <c r="E4729" s="2"/>
      <c r="F4729" s="2"/>
      <c r="G4729" s="2"/>
      <c r="H4729" s="2"/>
      <c r="I4729" s="2"/>
      <c r="J4729" s="2"/>
      <c r="K4729" s="2"/>
      <c r="L4729" s="2"/>
      <c r="M4729" s="2"/>
      <c r="N4729" s="2"/>
      <c r="O4729" s="2"/>
      <c r="P4729" s="2"/>
      <c r="Q4729" s="2"/>
      <c r="R4729" s="2"/>
      <c r="S4729" s="2"/>
      <c r="T4729" s="2"/>
      <c r="U4729" s="2"/>
      <c r="V4729" s="2"/>
      <c r="W4729" s="2"/>
    </row>
    <row r="4730" spans="1:23" x14ac:dyDescent="0.25">
      <c r="A4730" s="2"/>
      <c r="B4730" s="2"/>
      <c r="C4730" s="1"/>
      <c r="D4730" s="2"/>
      <c r="E4730" s="2"/>
      <c r="F4730" s="2"/>
      <c r="G4730" s="2"/>
      <c r="H4730" s="2"/>
      <c r="I4730" s="2"/>
      <c r="J4730" s="2"/>
      <c r="K4730" s="2"/>
      <c r="L4730" s="2"/>
      <c r="M4730" s="2"/>
      <c r="N4730" s="2"/>
      <c r="O4730" s="2"/>
      <c r="P4730" s="2"/>
      <c r="Q4730" s="2"/>
      <c r="R4730" s="2"/>
      <c r="S4730" s="2"/>
      <c r="T4730" s="2"/>
      <c r="U4730" s="2"/>
      <c r="V4730" s="2"/>
      <c r="W4730" s="2"/>
    </row>
    <row r="4731" spans="1:23" x14ac:dyDescent="0.25">
      <c r="A4731" s="2"/>
      <c r="B4731" s="2"/>
      <c r="C4731" s="1"/>
      <c r="D4731" s="2"/>
      <c r="E4731" s="2"/>
      <c r="F4731" s="2"/>
      <c r="G4731" s="2"/>
      <c r="H4731" s="2"/>
      <c r="I4731" s="2"/>
      <c r="J4731" s="2"/>
      <c r="K4731" s="2"/>
      <c r="L4731" s="2"/>
      <c r="M4731" s="2"/>
      <c r="N4731" s="2"/>
      <c r="O4731" s="2"/>
      <c r="P4731" s="2"/>
      <c r="Q4731" s="2"/>
      <c r="R4731" s="2"/>
      <c r="S4731" s="2"/>
      <c r="T4731" s="2"/>
      <c r="U4731" s="2"/>
      <c r="V4731" s="2"/>
      <c r="W4731" s="2"/>
    </row>
    <row r="4732" spans="1:23" x14ac:dyDescent="0.25">
      <c r="A4732" s="2"/>
      <c r="B4732" s="2"/>
      <c r="C4732" s="1"/>
      <c r="D4732" s="2"/>
      <c r="E4732" s="2"/>
      <c r="F4732" s="2"/>
      <c r="G4732" s="2"/>
      <c r="H4732" s="2"/>
      <c r="I4732" s="2"/>
      <c r="J4732" s="2"/>
      <c r="K4732" s="2"/>
      <c r="L4732" s="2"/>
      <c r="M4732" s="2"/>
      <c r="N4732" s="2"/>
      <c r="O4732" s="2"/>
      <c r="P4732" s="2"/>
      <c r="Q4732" s="2"/>
      <c r="R4732" s="2"/>
      <c r="S4732" s="2"/>
      <c r="T4732" s="2"/>
      <c r="U4732" s="2"/>
      <c r="V4732" s="2"/>
      <c r="W4732" s="2"/>
    </row>
    <row r="4733" spans="1:23" x14ac:dyDescent="0.25">
      <c r="A4733" s="2"/>
      <c r="B4733" s="2"/>
      <c r="C4733" s="1"/>
      <c r="D4733" s="2"/>
      <c r="E4733" s="2"/>
      <c r="F4733" s="2"/>
      <c r="G4733" s="2"/>
      <c r="H4733" s="2"/>
      <c r="I4733" s="2"/>
      <c r="J4733" s="2"/>
      <c r="K4733" s="2"/>
      <c r="L4733" s="2"/>
      <c r="M4733" s="2"/>
      <c r="N4733" s="2"/>
      <c r="O4733" s="2"/>
      <c r="P4733" s="2"/>
      <c r="Q4733" s="2"/>
      <c r="R4733" s="2"/>
      <c r="S4733" s="2"/>
      <c r="T4733" s="2"/>
      <c r="U4733" s="2"/>
      <c r="V4733" s="2"/>
      <c r="W4733" s="2"/>
    </row>
    <row r="4734" spans="1:23" x14ac:dyDescent="0.25">
      <c r="A4734" s="2"/>
      <c r="B4734" s="2"/>
      <c r="C4734" s="1"/>
      <c r="D4734" s="2"/>
      <c r="E4734" s="2"/>
      <c r="F4734" s="2"/>
      <c r="G4734" s="2"/>
      <c r="H4734" s="2"/>
      <c r="I4734" s="2"/>
      <c r="J4734" s="2"/>
      <c r="K4734" s="2"/>
      <c r="L4734" s="2"/>
      <c r="M4734" s="2"/>
      <c r="N4734" s="2"/>
      <c r="O4734" s="2"/>
      <c r="P4734" s="2"/>
      <c r="Q4734" s="2"/>
      <c r="R4734" s="2"/>
      <c r="S4734" s="2"/>
      <c r="T4734" s="2"/>
      <c r="U4734" s="2"/>
      <c r="V4734" s="2"/>
      <c r="W4734" s="2"/>
    </row>
    <row r="4735" spans="1:23" x14ac:dyDescent="0.25">
      <c r="A4735" s="2"/>
      <c r="B4735" s="2"/>
      <c r="C4735" s="1"/>
      <c r="D4735" s="2"/>
      <c r="E4735" s="2"/>
      <c r="F4735" s="2"/>
      <c r="G4735" s="2"/>
      <c r="H4735" s="2"/>
      <c r="I4735" s="2"/>
      <c r="J4735" s="2"/>
      <c r="K4735" s="2"/>
      <c r="L4735" s="2"/>
      <c r="M4735" s="2"/>
      <c r="N4735" s="2"/>
      <c r="O4735" s="2"/>
      <c r="P4735" s="2"/>
      <c r="Q4735" s="2"/>
      <c r="R4735" s="2"/>
      <c r="S4735" s="2"/>
      <c r="T4735" s="2"/>
      <c r="U4735" s="2"/>
      <c r="V4735" s="2"/>
      <c r="W4735" s="2"/>
    </row>
    <row r="4736" spans="1:23" x14ac:dyDescent="0.25">
      <c r="A4736" s="2"/>
      <c r="B4736" s="2"/>
      <c r="C4736" s="1"/>
      <c r="D4736" s="2"/>
      <c r="E4736" s="2"/>
      <c r="F4736" s="2"/>
      <c r="G4736" s="2"/>
      <c r="H4736" s="2"/>
      <c r="I4736" s="2"/>
      <c r="J4736" s="2"/>
      <c r="K4736" s="2"/>
      <c r="L4736" s="2"/>
      <c r="M4736" s="2"/>
      <c r="N4736" s="2"/>
      <c r="O4736" s="2"/>
      <c r="P4736" s="2"/>
      <c r="Q4736" s="2"/>
      <c r="R4736" s="2"/>
      <c r="S4736" s="2"/>
      <c r="T4736" s="2"/>
      <c r="U4736" s="2"/>
      <c r="V4736" s="2"/>
      <c r="W4736" s="2"/>
    </row>
    <row r="4737" spans="1:23" x14ac:dyDescent="0.25">
      <c r="A4737" s="2"/>
      <c r="B4737" s="2"/>
      <c r="C4737" s="1"/>
      <c r="D4737" s="2"/>
      <c r="E4737" s="2"/>
      <c r="F4737" s="2"/>
      <c r="G4737" s="2"/>
      <c r="H4737" s="2"/>
      <c r="I4737" s="2"/>
      <c r="J4737" s="2"/>
      <c r="K4737" s="2"/>
      <c r="L4737" s="2"/>
      <c r="M4737" s="2"/>
      <c r="N4737" s="2"/>
      <c r="O4737" s="2"/>
      <c r="P4737" s="2"/>
      <c r="Q4737" s="2"/>
      <c r="R4737" s="2"/>
      <c r="S4737" s="2"/>
      <c r="T4737" s="2"/>
      <c r="U4737" s="2"/>
      <c r="V4737" s="2"/>
      <c r="W4737" s="2"/>
    </row>
    <row r="4738" spans="1:23" x14ac:dyDescent="0.25">
      <c r="A4738" s="2"/>
      <c r="B4738" s="2"/>
      <c r="C4738" s="1"/>
      <c r="D4738" s="2"/>
      <c r="E4738" s="2"/>
      <c r="F4738" s="2"/>
      <c r="G4738" s="2"/>
      <c r="H4738" s="2"/>
      <c r="I4738" s="2"/>
      <c r="J4738" s="2"/>
      <c r="K4738" s="2"/>
      <c r="L4738" s="2"/>
      <c r="M4738" s="2"/>
      <c r="N4738" s="2"/>
      <c r="O4738" s="2"/>
      <c r="P4738" s="2"/>
      <c r="Q4738" s="2"/>
      <c r="R4738" s="2"/>
      <c r="S4738" s="2"/>
      <c r="T4738" s="2"/>
      <c r="U4738" s="2"/>
      <c r="V4738" s="2"/>
      <c r="W4738" s="2"/>
    </row>
    <row r="4739" spans="1:23" x14ac:dyDescent="0.25">
      <c r="A4739" s="2"/>
      <c r="B4739" s="2"/>
      <c r="C4739" s="1"/>
      <c r="D4739" s="2"/>
      <c r="E4739" s="2"/>
      <c r="F4739" s="2"/>
      <c r="G4739" s="2"/>
      <c r="H4739" s="2"/>
      <c r="I4739" s="2"/>
      <c r="J4739" s="2"/>
      <c r="K4739" s="2"/>
      <c r="L4739" s="2"/>
      <c r="M4739" s="2"/>
      <c r="N4739" s="2"/>
      <c r="O4739" s="2"/>
      <c r="P4739" s="2"/>
      <c r="Q4739" s="2"/>
      <c r="R4739" s="2"/>
      <c r="S4739" s="2"/>
      <c r="T4739" s="2"/>
      <c r="U4739" s="2"/>
      <c r="V4739" s="2"/>
      <c r="W4739" s="2"/>
    </row>
    <row r="4740" spans="1:23" x14ac:dyDescent="0.25">
      <c r="A4740" s="2"/>
      <c r="B4740" s="2"/>
      <c r="C4740" s="1"/>
      <c r="D4740" s="2"/>
      <c r="E4740" s="2"/>
      <c r="F4740" s="2"/>
      <c r="G4740" s="2"/>
      <c r="H4740" s="2"/>
      <c r="I4740" s="2"/>
      <c r="J4740" s="2"/>
      <c r="K4740" s="2"/>
      <c r="L4740" s="2"/>
      <c r="M4740" s="2"/>
      <c r="N4740" s="2"/>
      <c r="O4740" s="2"/>
      <c r="P4740" s="2"/>
      <c r="Q4740" s="2"/>
      <c r="R4740" s="2"/>
      <c r="S4740" s="2"/>
      <c r="T4740" s="2"/>
      <c r="U4740" s="2"/>
      <c r="V4740" s="2"/>
      <c r="W4740" s="2"/>
    </row>
    <row r="4741" spans="1:23" x14ac:dyDescent="0.25">
      <c r="A4741" s="2"/>
      <c r="B4741" s="2"/>
      <c r="C4741" s="1"/>
      <c r="D4741" s="2"/>
      <c r="E4741" s="2"/>
      <c r="F4741" s="2"/>
      <c r="G4741" s="2"/>
      <c r="H4741" s="2"/>
      <c r="I4741" s="2"/>
      <c r="J4741" s="2"/>
      <c r="K4741" s="2"/>
      <c r="L4741" s="2"/>
      <c r="M4741" s="2"/>
      <c r="N4741" s="2"/>
      <c r="O4741" s="2"/>
      <c r="P4741" s="2"/>
      <c r="Q4741" s="2"/>
      <c r="R4741" s="2"/>
      <c r="S4741" s="2"/>
      <c r="T4741" s="2"/>
      <c r="U4741" s="2"/>
      <c r="V4741" s="2"/>
      <c r="W4741" s="2"/>
    </row>
    <row r="4742" spans="1:23" x14ac:dyDescent="0.25">
      <c r="A4742" s="2"/>
      <c r="B4742" s="2"/>
      <c r="C4742" s="1"/>
      <c r="D4742" s="2"/>
      <c r="E4742" s="2"/>
      <c r="F4742" s="2"/>
      <c r="G4742" s="2"/>
      <c r="H4742" s="2"/>
      <c r="I4742" s="2"/>
      <c r="J4742" s="2"/>
      <c r="K4742" s="2"/>
      <c r="L4742" s="2"/>
      <c r="M4742" s="2"/>
      <c r="N4742" s="2"/>
      <c r="O4742" s="2"/>
      <c r="P4742" s="2"/>
      <c r="Q4742" s="2"/>
      <c r="R4742" s="2"/>
      <c r="S4742" s="2"/>
      <c r="T4742" s="2"/>
      <c r="U4742" s="2"/>
      <c r="V4742" s="2"/>
      <c r="W4742" s="2"/>
    </row>
    <row r="4743" spans="1:23" x14ac:dyDescent="0.25">
      <c r="A4743" s="2"/>
      <c r="B4743" s="2"/>
      <c r="C4743" s="1"/>
      <c r="D4743" s="2"/>
      <c r="E4743" s="2"/>
      <c r="F4743" s="2"/>
      <c r="G4743" s="2"/>
      <c r="H4743" s="2"/>
      <c r="I4743" s="2"/>
      <c r="J4743" s="2"/>
      <c r="K4743" s="2"/>
      <c r="L4743" s="2"/>
      <c r="M4743" s="2"/>
      <c r="N4743" s="2"/>
      <c r="O4743" s="2"/>
      <c r="P4743" s="2"/>
      <c r="Q4743" s="2"/>
      <c r="R4743" s="2"/>
      <c r="S4743" s="2"/>
      <c r="T4743" s="2"/>
      <c r="U4743" s="2"/>
      <c r="V4743" s="2"/>
      <c r="W4743" s="2"/>
    </row>
    <row r="4744" spans="1:23" x14ac:dyDescent="0.25">
      <c r="A4744" s="2"/>
      <c r="B4744" s="2"/>
      <c r="C4744" s="1"/>
      <c r="D4744" s="2"/>
      <c r="E4744" s="2"/>
      <c r="F4744" s="2"/>
      <c r="G4744" s="2"/>
      <c r="H4744" s="2"/>
      <c r="I4744" s="2"/>
      <c r="J4744" s="2"/>
      <c r="K4744" s="2"/>
      <c r="L4744" s="2"/>
      <c r="M4744" s="2"/>
      <c r="N4744" s="2"/>
      <c r="O4744" s="2"/>
      <c r="P4744" s="2"/>
      <c r="Q4744" s="2"/>
      <c r="R4744" s="2"/>
      <c r="S4744" s="2"/>
      <c r="T4744" s="2"/>
      <c r="U4744" s="2"/>
      <c r="V4744" s="2"/>
      <c r="W4744" s="2"/>
    </row>
    <row r="4745" spans="1:23" x14ac:dyDescent="0.25">
      <c r="A4745" s="2"/>
      <c r="B4745" s="2"/>
      <c r="C4745" s="1"/>
      <c r="D4745" s="2"/>
      <c r="E4745" s="2"/>
      <c r="F4745" s="2"/>
      <c r="G4745" s="2"/>
      <c r="H4745" s="2"/>
      <c r="I4745" s="2"/>
      <c r="J4745" s="2"/>
      <c r="K4745" s="2"/>
      <c r="L4745" s="2"/>
      <c r="M4745" s="2"/>
      <c r="N4745" s="2"/>
      <c r="O4745" s="2"/>
      <c r="P4745" s="2"/>
      <c r="Q4745" s="2"/>
      <c r="R4745" s="2"/>
      <c r="S4745" s="2"/>
      <c r="T4745" s="2"/>
      <c r="U4745" s="2"/>
      <c r="V4745" s="2"/>
      <c r="W4745" s="2"/>
    </row>
    <row r="4746" spans="1:23" x14ac:dyDescent="0.25">
      <c r="A4746" s="2"/>
      <c r="B4746" s="2"/>
      <c r="C4746" s="1"/>
      <c r="D4746" s="2"/>
      <c r="E4746" s="2"/>
      <c r="F4746" s="2"/>
      <c r="G4746" s="2"/>
      <c r="H4746" s="2"/>
      <c r="I4746" s="2"/>
      <c r="J4746" s="2"/>
      <c r="K4746" s="2"/>
      <c r="L4746" s="2"/>
      <c r="M4746" s="2"/>
      <c r="N4746" s="2"/>
      <c r="O4746" s="2"/>
      <c r="P4746" s="2"/>
      <c r="Q4746" s="2"/>
      <c r="R4746" s="2"/>
      <c r="S4746" s="2"/>
      <c r="T4746" s="2"/>
      <c r="U4746" s="2"/>
      <c r="V4746" s="2"/>
      <c r="W4746" s="2"/>
    </row>
    <row r="4747" spans="1:23" x14ac:dyDescent="0.25">
      <c r="A4747" s="2"/>
      <c r="B4747" s="2"/>
      <c r="C4747" s="1"/>
      <c r="D4747" s="2"/>
      <c r="E4747" s="2"/>
      <c r="F4747" s="2"/>
      <c r="G4747" s="2"/>
      <c r="H4747" s="2"/>
      <c r="I4747" s="2"/>
      <c r="J4747" s="2"/>
      <c r="K4747" s="2"/>
      <c r="L4747" s="2"/>
      <c r="M4747" s="2"/>
      <c r="N4747" s="2"/>
      <c r="O4747" s="2"/>
      <c r="P4747" s="2"/>
      <c r="Q4747" s="2"/>
      <c r="R4747" s="2"/>
      <c r="S4747" s="2"/>
      <c r="T4747" s="2"/>
      <c r="U4747" s="2"/>
      <c r="V4747" s="2"/>
      <c r="W4747" s="2"/>
    </row>
    <row r="4748" spans="1:23" x14ac:dyDescent="0.25">
      <c r="A4748" s="2"/>
      <c r="B4748" s="2"/>
      <c r="C4748" s="1"/>
      <c r="D4748" s="2"/>
      <c r="E4748" s="2"/>
      <c r="F4748" s="2"/>
      <c r="G4748" s="2"/>
      <c r="H4748" s="2"/>
      <c r="I4748" s="2"/>
      <c r="J4748" s="2"/>
      <c r="K4748" s="2"/>
      <c r="L4748" s="2"/>
      <c r="M4748" s="2"/>
      <c r="N4748" s="2"/>
      <c r="O4748" s="2"/>
      <c r="P4748" s="2"/>
      <c r="Q4748" s="2"/>
      <c r="R4748" s="2"/>
      <c r="S4748" s="2"/>
      <c r="T4748" s="2"/>
      <c r="U4748" s="2"/>
      <c r="V4748" s="2"/>
      <c r="W4748" s="2"/>
    </row>
    <row r="4749" spans="1:23" x14ac:dyDescent="0.25">
      <c r="A4749" s="2"/>
      <c r="B4749" s="2"/>
      <c r="C4749" s="1"/>
      <c r="D4749" s="2"/>
      <c r="E4749" s="2"/>
      <c r="F4749" s="2"/>
      <c r="G4749" s="2"/>
      <c r="H4749" s="2"/>
      <c r="I4749" s="2"/>
      <c r="J4749" s="2"/>
      <c r="K4749" s="2"/>
      <c r="L4749" s="2"/>
      <c r="M4749" s="2"/>
      <c r="N4749" s="2"/>
      <c r="O4749" s="2"/>
      <c r="P4749" s="2"/>
      <c r="Q4749" s="2"/>
      <c r="R4749" s="2"/>
      <c r="S4749" s="2"/>
      <c r="T4749" s="2"/>
      <c r="U4749" s="2"/>
      <c r="V4749" s="2"/>
      <c r="W4749" s="2"/>
    </row>
    <row r="4750" spans="1:23" x14ac:dyDescent="0.25">
      <c r="A4750" s="2"/>
      <c r="B4750" s="2"/>
      <c r="C4750" s="1"/>
      <c r="D4750" s="2"/>
      <c r="E4750" s="2"/>
      <c r="F4750" s="2"/>
      <c r="G4750" s="2"/>
      <c r="H4750" s="2"/>
      <c r="I4750" s="2"/>
      <c r="J4750" s="2"/>
      <c r="K4750" s="2"/>
      <c r="L4750" s="2"/>
      <c r="M4750" s="2"/>
      <c r="N4750" s="2"/>
      <c r="O4750" s="2"/>
      <c r="P4750" s="2"/>
      <c r="Q4750" s="2"/>
      <c r="R4750" s="2"/>
      <c r="S4750" s="2"/>
      <c r="T4750" s="2"/>
      <c r="U4750" s="2"/>
      <c r="V4750" s="2"/>
      <c r="W4750" s="2"/>
    </row>
    <row r="4751" spans="1:23" x14ac:dyDescent="0.25">
      <c r="A4751" s="2"/>
      <c r="B4751" s="2"/>
      <c r="C4751" s="1"/>
      <c r="D4751" s="2"/>
      <c r="E4751" s="2"/>
      <c r="F4751" s="2"/>
      <c r="G4751" s="2"/>
      <c r="H4751" s="2"/>
      <c r="I4751" s="2"/>
      <c r="J4751" s="2"/>
      <c r="K4751" s="2"/>
      <c r="L4751" s="2"/>
      <c r="M4751" s="2"/>
      <c r="N4751" s="2"/>
      <c r="O4751" s="2"/>
      <c r="P4751" s="2"/>
      <c r="Q4751" s="2"/>
      <c r="R4751" s="2"/>
      <c r="S4751" s="2"/>
      <c r="T4751" s="2"/>
      <c r="U4751" s="2"/>
      <c r="V4751" s="2"/>
      <c r="W4751" s="2"/>
    </row>
    <row r="4752" spans="1:23" x14ac:dyDescent="0.25">
      <c r="A4752" s="2"/>
      <c r="B4752" s="2"/>
      <c r="C4752" s="1"/>
      <c r="D4752" s="2"/>
      <c r="E4752" s="2"/>
      <c r="F4752" s="2"/>
      <c r="G4752" s="2"/>
      <c r="H4752" s="2"/>
      <c r="I4752" s="2"/>
      <c r="J4752" s="2"/>
      <c r="K4752" s="2"/>
      <c r="L4752" s="2"/>
      <c r="M4752" s="2"/>
      <c r="N4752" s="2"/>
      <c r="O4752" s="2"/>
      <c r="P4752" s="2"/>
      <c r="Q4752" s="2"/>
      <c r="R4752" s="2"/>
      <c r="S4752" s="2"/>
      <c r="T4752" s="2"/>
      <c r="U4752" s="2"/>
      <c r="V4752" s="2"/>
      <c r="W4752" s="2"/>
    </row>
    <row r="4753" spans="1:23" x14ac:dyDescent="0.25">
      <c r="A4753" s="2"/>
      <c r="B4753" s="2"/>
      <c r="C4753" s="1"/>
      <c r="D4753" s="2"/>
      <c r="E4753" s="2"/>
      <c r="F4753" s="2"/>
      <c r="G4753" s="2"/>
      <c r="H4753" s="2"/>
      <c r="I4753" s="2"/>
      <c r="J4753" s="2"/>
      <c r="K4753" s="2"/>
      <c r="L4753" s="2"/>
      <c r="M4753" s="2"/>
      <c r="N4753" s="2"/>
      <c r="O4753" s="2"/>
      <c r="P4753" s="2"/>
      <c r="Q4753" s="2"/>
      <c r="R4753" s="2"/>
      <c r="S4753" s="2"/>
      <c r="T4753" s="2"/>
      <c r="U4753" s="2"/>
      <c r="V4753" s="2"/>
      <c r="W4753" s="2"/>
    </row>
    <row r="4754" spans="1:23" x14ac:dyDescent="0.25">
      <c r="A4754" s="2"/>
      <c r="B4754" s="2"/>
      <c r="C4754" s="1"/>
      <c r="D4754" s="2"/>
      <c r="E4754" s="2"/>
      <c r="F4754" s="2"/>
      <c r="G4754" s="2"/>
      <c r="H4754" s="2"/>
      <c r="I4754" s="2"/>
      <c r="J4754" s="2"/>
      <c r="K4754" s="2"/>
      <c r="L4754" s="2"/>
      <c r="M4754" s="2"/>
      <c r="N4754" s="2"/>
      <c r="O4754" s="2"/>
      <c r="P4754" s="2"/>
      <c r="Q4754" s="2"/>
      <c r="R4754" s="2"/>
      <c r="S4754" s="2"/>
      <c r="T4754" s="2"/>
      <c r="U4754" s="2"/>
      <c r="V4754" s="2"/>
      <c r="W4754" s="2"/>
    </row>
    <row r="4755" spans="1:23" x14ac:dyDescent="0.25">
      <c r="A4755" s="2"/>
      <c r="B4755" s="2"/>
      <c r="C4755" s="1"/>
      <c r="D4755" s="2"/>
      <c r="E4755" s="2"/>
      <c r="F4755" s="2"/>
      <c r="G4755" s="2"/>
      <c r="H4755" s="2"/>
      <c r="I4755" s="2"/>
      <c r="J4755" s="2"/>
      <c r="K4755" s="2"/>
      <c r="L4755" s="2"/>
      <c r="M4755" s="2"/>
      <c r="N4755" s="2"/>
      <c r="O4755" s="2"/>
      <c r="P4755" s="2"/>
      <c r="Q4755" s="2"/>
      <c r="R4755" s="2"/>
      <c r="S4755" s="2"/>
      <c r="T4755" s="2"/>
      <c r="U4755" s="2"/>
      <c r="V4755" s="2"/>
      <c r="W4755" s="2"/>
    </row>
    <row r="4756" spans="1:23" x14ac:dyDescent="0.25">
      <c r="A4756" s="2"/>
      <c r="B4756" s="2"/>
      <c r="C4756" s="1"/>
      <c r="D4756" s="2"/>
      <c r="E4756" s="2"/>
      <c r="F4756" s="2"/>
      <c r="G4756" s="2"/>
      <c r="H4756" s="2"/>
      <c r="I4756" s="2"/>
      <c r="J4756" s="2"/>
      <c r="K4756" s="2"/>
      <c r="L4756" s="2"/>
      <c r="M4756" s="2"/>
      <c r="N4756" s="2"/>
      <c r="O4756" s="2"/>
      <c r="P4756" s="2"/>
      <c r="Q4756" s="2"/>
      <c r="R4756" s="2"/>
      <c r="S4756" s="2"/>
      <c r="T4756" s="2"/>
      <c r="U4756" s="2"/>
      <c r="V4756" s="2"/>
      <c r="W4756" s="2"/>
    </row>
    <row r="4757" spans="1:23" x14ac:dyDescent="0.25">
      <c r="A4757" s="2"/>
      <c r="B4757" s="2"/>
      <c r="C4757" s="1"/>
      <c r="D4757" s="2"/>
      <c r="E4757" s="2"/>
      <c r="F4757" s="2"/>
      <c r="G4757" s="2"/>
      <c r="H4757" s="2"/>
      <c r="I4757" s="2"/>
      <c r="J4757" s="2"/>
      <c r="K4757" s="2"/>
      <c r="L4757" s="2"/>
      <c r="M4757" s="2"/>
      <c r="N4757" s="2"/>
      <c r="O4757" s="2"/>
      <c r="P4757" s="2"/>
      <c r="Q4757" s="2"/>
      <c r="R4757" s="2"/>
      <c r="S4757" s="2"/>
      <c r="T4757" s="2"/>
      <c r="U4757" s="2"/>
      <c r="V4757" s="2"/>
      <c r="W4757" s="2"/>
    </row>
    <row r="4758" spans="1:23" x14ac:dyDescent="0.25">
      <c r="A4758" s="2"/>
      <c r="B4758" s="2"/>
      <c r="C4758" s="1"/>
      <c r="D4758" s="2"/>
      <c r="E4758" s="2"/>
      <c r="F4758" s="2"/>
      <c r="G4758" s="2"/>
      <c r="H4758" s="2"/>
      <c r="I4758" s="2"/>
      <c r="J4758" s="2"/>
      <c r="K4758" s="2"/>
      <c r="L4758" s="2"/>
      <c r="M4758" s="2"/>
      <c r="N4758" s="2"/>
      <c r="O4758" s="2"/>
      <c r="P4758" s="2"/>
      <c r="Q4758" s="2"/>
      <c r="R4758" s="2"/>
      <c r="S4758" s="2"/>
      <c r="T4758" s="2"/>
      <c r="U4758" s="2"/>
      <c r="V4758" s="2"/>
      <c r="W4758" s="2"/>
    </row>
    <row r="4759" spans="1:23" x14ac:dyDescent="0.25">
      <c r="A4759" s="2"/>
      <c r="B4759" s="2"/>
      <c r="C4759" s="1"/>
      <c r="D4759" s="2"/>
      <c r="E4759" s="2"/>
      <c r="F4759" s="2"/>
      <c r="G4759" s="2"/>
      <c r="H4759" s="2"/>
      <c r="I4759" s="2"/>
      <c r="J4759" s="2"/>
      <c r="K4759" s="2"/>
      <c r="L4759" s="2"/>
      <c r="M4759" s="2"/>
      <c r="N4759" s="2"/>
      <c r="O4759" s="2"/>
      <c r="P4759" s="2"/>
      <c r="Q4759" s="2"/>
      <c r="R4759" s="2"/>
      <c r="S4759" s="2"/>
      <c r="T4759" s="2"/>
      <c r="U4759" s="2"/>
      <c r="V4759" s="2"/>
      <c r="W4759" s="2"/>
    </row>
    <row r="4760" spans="1:23" x14ac:dyDescent="0.25">
      <c r="A4760" s="2"/>
      <c r="B4760" s="2"/>
      <c r="C4760" s="1"/>
      <c r="D4760" s="2"/>
      <c r="E4760" s="2"/>
      <c r="F4760" s="2"/>
      <c r="G4760" s="2"/>
      <c r="H4760" s="2"/>
      <c r="I4760" s="2"/>
      <c r="J4760" s="2"/>
      <c r="K4760" s="2"/>
      <c r="L4760" s="2"/>
      <c r="M4760" s="2"/>
      <c r="N4760" s="2"/>
      <c r="O4760" s="2"/>
      <c r="P4760" s="2"/>
      <c r="Q4760" s="2"/>
      <c r="R4760" s="2"/>
      <c r="S4760" s="2"/>
      <c r="T4760" s="2"/>
      <c r="U4760" s="2"/>
      <c r="V4760" s="2"/>
      <c r="W4760" s="2"/>
    </row>
    <row r="4761" spans="1:23" x14ac:dyDescent="0.25">
      <c r="A4761" s="2"/>
      <c r="B4761" s="2"/>
      <c r="C4761" s="1"/>
      <c r="D4761" s="2"/>
      <c r="E4761" s="2"/>
      <c r="F4761" s="2"/>
      <c r="G4761" s="2"/>
      <c r="H4761" s="2"/>
      <c r="I4761" s="2"/>
      <c r="J4761" s="2"/>
      <c r="K4761" s="2"/>
      <c r="L4761" s="2"/>
      <c r="M4761" s="2"/>
      <c r="N4761" s="2"/>
      <c r="O4761" s="2"/>
      <c r="P4761" s="2"/>
      <c r="Q4761" s="2"/>
      <c r="R4761" s="2"/>
      <c r="S4761" s="2"/>
      <c r="T4761" s="2"/>
      <c r="U4761" s="2"/>
      <c r="V4761" s="2"/>
      <c r="W4761" s="2"/>
    </row>
    <row r="4762" spans="1:23" x14ac:dyDescent="0.25">
      <c r="A4762" s="2"/>
      <c r="B4762" s="2"/>
      <c r="C4762" s="1"/>
      <c r="D4762" s="2"/>
      <c r="E4762" s="2"/>
      <c r="F4762" s="2"/>
      <c r="G4762" s="2"/>
      <c r="H4762" s="2"/>
      <c r="I4762" s="2"/>
      <c r="J4762" s="2"/>
      <c r="K4762" s="2"/>
      <c r="L4762" s="2"/>
      <c r="M4762" s="2"/>
      <c r="N4762" s="2"/>
      <c r="O4762" s="2"/>
      <c r="P4762" s="2"/>
      <c r="Q4762" s="2"/>
      <c r="R4762" s="2"/>
      <c r="S4762" s="2"/>
      <c r="T4762" s="2"/>
      <c r="U4762" s="2"/>
      <c r="V4762" s="2"/>
      <c r="W4762" s="2"/>
    </row>
    <row r="4763" spans="1:23" x14ac:dyDescent="0.25">
      <c r="A4763" s="2"/>
      <c r="B4763" s="2"/>
      <c r="C4763" s="1"/>
      <c r="D4763" s="2"/>
      <c r="E4763" s="2"/>
      <c r="F4763" s="2"/>
      <c r="G4763" s="2"/>
      <c r="H4763" s="2"/>
      <c r="I4763" s="2"/>
      <c r="J4763" s="2"/>
      <c r="K4763" s="2"/>
      <c r="L4763" s="2"/>
      <c r="M4763" s="2"/>
      <c r="N4763" s="2"/>
      <c r="O4763" s="2"/>
      <c r="P4763" s="2"/>
      <c r="Q4763" s="2"/>
      <c r="R4763" s="2"/>
      <c r="S4763" s="2"/>
      <c r="T4763" s="2"/>
      <c r="U4763" s="2"/>
      <c r="V4763" s="2"/>
      <c r="W4763" s="2"/>
    </row>
    <row r="4764" spans="1:23" x14ac:dyDescent="0.25">
      <c r="A4764" s="2"/>
      <c r="B4764" s="2"/>
      <c r="C4764" s="1"/>
      <c r="D4764" s="2"/>
      <c r="E4764" s="2"/>
      <c r="F4764" s="2"/>
      <c r="G4764" s="2"/>
      <c r="H4764" s="2"/>
      <c r="I4764" s="2"/>
      <c r="J4764" s="2"/>
      <c r="K4764" s="2"/>
      <c r="L4764" s="2"/>
      <c r="M4764" s="2"/>
      <c r="N4764" s="2"/>
      <c r="O4764" s="2"/>
      <c r="P4764" s="2"/>
      <c r="Q4764" s="2"/>
      <c r="R4764" s="2"/>
      <c r="S4764" s="2"/>
      <c r="T4764" s="2"/>
      <c r="U4764" s="2"/>
      <c r="V4764" s="2"/>
      <c r="W4764" s="2"/>
    </row>
    <row r="4765" spans="1:23" x14ac:dyDescent="0.25">
      <c r="A4765" s="2"/>
      <c r="B4765" s="2"/>
      <c r="C4765" s="1"/>
      <c r="D4765" s="2"/>
      <c r="E4765" s="2"/>
      <c r="F4765" s="2"/>
      <c r="G4765" s="2"/>
      <c r="H4765" s="2"/>
      <c r="I4765" s="2"/>
      <c r="J4765" s="2"/>
      <c r="K4765" s="2"/>
      <c r="L4765" s="2"/>
      <c r="M4765" s="2"/>
      <c r="N4765" s="2"/>
      <c r="O4765" s="2"/>
      <c r="P4765" s="2"/>
      <c r="Q4765" s="2"/>
      <c r="R4765" s="2"/>
      <c r="S4765" s="2"/>
      <c r="T4765" s="2"/>
      <c r="U4765" s="2"/>
      <c r="V4765" s="2"/>
      <c r="W4765" s="2"/>
    </row>
    <row r="4766" spans="1:23" x14ac:dyDescent="0.25">
      <c r="A4766" s="2"/>
      <c r="B4766" s="2"/>
      <c r="C4766" s="1"/>
      <c r="D4766" s="2"/>
      <c r="E4766" s="2"/>
      <c r="F4766" s="2"/>
      <c r="G4766" s="2"/>
      <c r="H4766" s="2"/>
      <c r="I4766" s="2"/>
      <c r="J4766" s="2"/>
      <c r="K4766" s="2"/>
      <c r="L4766" s="2"/>
      <c r="M4766" s="2"/>
      <c r="N4766" s="2"/>
      <c r="O4766" s="2"/>
      <c r="P4766" s="2"/>
      <c r="Q4766" s="2"/>
      <c r="R4766" s="2"/>
      <c r="S4766" s="2"/>
      <c r="T4766" s="2"/>
      <c r="U4766" s="2"/>
      <c r="V4766" s="2"/>
      <c r="W4766" s="2"/>
    </row>
    <row r="4767" spans="1:23" x14ac:dyDescent="0.25">
      <c r="A4767" s="2"/>
      <c r="B4767" s="2"/>
      <c r="C4767" s="1"/>
      <c r="D4767" s="2"/>
      <c r="E4767" s="2"/>
      <c r="F4767" s="2"/>
      <c r="G4767" s="2"/>
      <c r="H4767" s="2"/>
      <c r="I4767" s="2"/>
      <c r="J4767" s="2"/>
      <c r="K4767" s="2"/>
      <c r="L4767" s="2"/>
      <c r="M4767" s="2"/>
      <c r="N4767" s="2"/>
      <c r="O4767" s="2"/>
      <c r="P4767" s="2"/>
      <c r="Q4767" s="2"/>
      <c r="R4767" s="2"/>
      <c r="S4767" s="2"/>
      <c r="T4767" s="2"/>
      <c r="U4767" s="2"/>
      <c r="V4767" s="2"/>
      <c r="W4767" s="2"/>
    </row>
    <row r="4768" spans="1:23" x14ac:dyDescent="0.25">
      <c r="A4768" s="2"/>
      <c r="B4768" s="2"/>
      <c r="C4768" s="1"/>
      <c r="D4768" s="2"/>
      <c r="E4768" s="2"/>
      <c r="F4768" s="2"/>
      <c r="G4768" s="2"/>
      <c r="H4768" s="2"/>
      <c r="I4768" s="2"/>
      <c r="J4768" s="2"/>
      <c r="K4768" s="2"/>
      <c r="L4768" s="2"/>
      <c r="M4768" s="2"/>
      <c r="N4768" s="2"/>
      <c r="O4768" s="2"/>
      <c r="P4768" s="2"/>
      <c r="Q4768" s="2"/>
      <c r="R4768" s="2"/>
      <c r="S4768" s="2"/>
      <c r="T4768" s="2"/>
      <c r="U4768" s="2"/>
      <c r="V4768" s="2"/>
      <c r="W4768" s="2"/>
    </row>
    <row r="4769" spans="1:23" x14ac:dyDescent="0.25">
      <c r="A4769" s="2"/>
      <c r="B4769" s="2"/>
      <c r="C4769" s="1"/>
      <c r="D4769" s="2"/>
      <c r="E4769" s="2"/>
      <c r="F4769" s="2"/>
      <c r="G4769" s="2"/>
      <c r="H4769" s="2"/>
      <c r="I4769" s="2"/>
      <c r="J4769" s="2"/>
      <c r="K4769" s="2"/>
      <c r="L4769" s="2"/>
      <c r="M4769" s="2"/>
      <c r="N4769" s="2"/>
      <c r="O4769" s="2"/>
      <c r="P4769" s="2"/>
      <c r="Q4769" s="2"/>
      <c r="R4769" s="2"/>
      <c r="S4769" s="2"/>
      <c r="T4769" s="2"/>
      <c r="U4769" s="2"/>
      <c r="V4769" s="2"/>
      <c r="W4769" s="2"/>
    </row>
    <row r="4770" spans="1:23" x14ac:dyDescent="0.25">
      <c r="A4770" s="2"/>
      <c r="B4770" s="2"/>
      <c r="C4770" s="1"/>
      <c r="D4770" s="2"/>
      <c r="E4770" s="2"/>
      <c r="F4770" s="2"/>
      <c r="G4770" s="2"/>
      <c r="H4770" s="2"/>
      <c r="I4770" s="2"/>
      <c r="J4770" s="2"/>
      <c r="K4770" s="2"/>
      <c r="L4770" s="2"/>
      <c r="M4770" s="2"/>
      <c r="N4770" s="2"/>
      <c r="O4770" s="2"/>
      <c r="P4770" s="2"/>
      <c r="Q4770" s="2"/>
      <c r="R4770" s="2"/>
      <c r="S4770" s="2"/>
      <c r="T4770" s="2"/>
      <c r="U4770" s="2"/>
      <c r="V4770" s="2"/>
      <c r="W4770" s="2"/>
    </row>
    <row r="4771" spans="1:23" x14ac:dyDescent="0.25">
      <c r="A4771" s="2"/>
      <c r="B4771" s="2"/>
      <c r="C4771" s="1"/>
      <c r="D4771" s="2"/>
      <c r="E4771" s="2"/>
      <c r="F4771" s="2"/>
      <c r="G4771" s="2"/>
      <c r="H4771" s="2"/>
      <c r="I4771" s="2"/>
      <c r="J4771" s="2"/>
      <c r="K4771" s="2"/>
      <c r="L4771" s="2"/>
      <c r="M4771" s="2"/>
      <c r="N4771" s="2"/>
      <c r="O4771" s="2"/>
      <c r="P4771" s="2"/>
      <c r="Q4771" s="2"/>
      <c r="R4771" s="2"/>
      <c r="S4771" s="2"/>
      <c r="T4771" s="2"/>
      <c r="U4771" s="2"/>
      <c r="V4771" s="2"/>
      <c r="W4771" s="2"/>
    </row>
    <row r="4772" spans="1:23" x14ac:dyDescent="0.25">
      <c r="A4772" s="2"/>
      <c r="B4772" s="2"/>
      <c r="C4772" s="1"/>
      <c r="D4772" s="2"/>
      <c r="E4772" s="2"/>
      <c r="F4772" s="2"/>
      <c r="G4772" s="2"/>
      <c r="H4772" s="2"/>
      <c r="I4772" s="2"/>
      <c r="J4772" s="2"/>
      <c r="K4772" s="2"/>
      <c r="L4772" s="2"/>
      <c r="M4772" s="2"/>
      <c r="N4772" s="2"/>
      <c r="O4772" s="2"/>
      <c r="P4772" s="2"/>
      <c r="Q4772" s="2"/>
      <c r="R4772" s="2"/>
      <c r="S4772" s="2"/>
      <c r="T4772" s="2"/>
      <c r="U4772" s="2"/>
      <c r="V4772" s="2"/>
      <c r="W4772" s="2"/>
    </row>
    <row r="4773" spans="1:23" x14ac:dyDescent="0.25">
      <c r="A4773" s="2"/>
      <c r="B4773" s="2"/>
      <c r="C4773" s="1"/>
      <c r="D4773" s="2"/>
      <c r="E4773" s="2"/>
      <c r="F4773" s="2"/>
      <c r="G4773" s="2"/>
      <c r="H4773" s="2"/>
      <c r="I4773" s="2"/>
      <c r="J4773" s="2"/>
      <c r="K4773" s="2"/>
      <c r="L4773" s="2"/>
      <c r="M4773" s="2"/>
      <c r="N4773" s="2"/>
      <c r="O4773" s="2"/>
      <c r="P4773" s="2"/>
      <c r="Q4773" s="2"/>
      <c r="R4773" s="2"/>
      <c r="S4773" s="2"/>
      <c r="T4773" s="2"/>
      <c r="U4773" s="2"/>
      <c r="V4773" s="2"/>
      <c r="W4773" s="2"/>
    </row>
    <row r="4774" spans="1:23" x14ac:dyDescent="0.25">
      <c r="A4774" s="2"/>
      <c r="B4774" s="2"/>
      <c r="C4774" s="1"/>
      <c r="D4774" s="2"/>
      <c r="E4774" s="2"/>
      <c r="F4774" s="2"/>
      <c r="G4774" s="2"/>
      <c r="H4774" s="2"/>
      <c r="I4774" s="2"/>
      <c r="J4774" s="2"/>
      <c r="K4774" s="2"/>
      <c r="L4774" s="2"/>
      <c r="M4774" s="2"/>
      <c r="N4774" s="2"/>
      <c r="O4774" s="2"/>
      <c r="P4774" s="2"/>
      <c r="Q4774" s="2"/>
      <c r="R4774" s="2"/>
      <c r="S4774" s="2"/>
      <c r="T4774" s="2"/>
      <c r="U4774" s="2"/>
      <c r="V4774" s="2"/>
      <c r="W4774" s="2"/>
    </row>
    <row r="4775" spans="1:23" x14ac:dyDescent="0.25">
      <c r="A4775" s="2"/>
      <c r="B4775" s="2"/>
      <c r="C4775" s="1"/>
      <c r="D4775" s="2"/>
      <c r="E4775" s="2"/>
      <c r="F4775" s="2"/>
      <c r="G4775" s="2"/>
      <c r="H4775" s="2"/>
      <c r="I4775" s="2"/>
      <c r="J4775" s="2"/>
      <c r="K4775" s="2"/>
      <c r="L4775" s="2"/>
      <c r="M4775" s="2"/>
      <c r="N4775" s="2"/>
      <c r="O4775" s="2"/>
      <c r="P4775" s="2"/>
      <c r="Q4775" s="2"/>
      <c r="R4775" s="2"/>
      <c r="S4775" s="2"/>
      <c r="T4775" s="2"/>
      <c r="U4775" s="2"/>
      <c r="V4775" s="2"/>
      <c r="W4775" s="2"/>
    </row>
    <row r="4776" spans="1:23" x14ac:dyDescent="0.25">
      <c r="A4776" s="2"/>
      <c r="B4776" s="2"/>
      <c r="C4776" s="1"/>
      <c r="D4776" s="2"/>
      <c r="E4776" s="2"/>
      <c r="F4776" s="2"/>
      <c r="G4776" s="2"/>
      <c r="H4776" s="2"/>
      <c r="I4776" s="2"/>
      <c r="J4776" s="2"/>
      <c r="K4776" s="2"/>
      <c r="L4776" s="2"/>
      <c r="M4776" s="2"/>
      <c r="N4776" s="2"/>
      <c r="O4776" s="2"/>
      <c r="P4776" s="2"/>
      <c r="Q4776" s="2"/>
      <c r="R4776" s="2"/>
      <c r="S4776" s="2"/>
      <c r="T4776" s="2"/>
      <c r="U4776" s="2"/>
      <c r="V4776" s="2"/>
      <c r="W4776" s="2"/>
    </row>
    <row r="4777" spans="1:23" x14ac:dyDescent="0.25">
      <c r="A4777" s="2"/>
      <c r="B4777" s="2"/>
      <c r="C4777" s="1"/>
      <c r="D4777" s="2"/>
      <c r="E4777" s="2"/>
      <c r="F4777" s="2"/>
      <c r="G4777" s="2"/>
      <c r="H4777" s="2"/>
      <c r="I4777" s="2"/>
      <c r="J4777" s="2"/>
      <c r="K4777" s="2"/>
      <c r="L4777" s="2"/>
      <c r="M4777" s="2"/>
      <c r="N4777" s="2"/>
      <c r="O4777" s="2"/>
      <c r="P4777" s="2"/>
      <c r="Q4777" s="2"/>
      <c r="R4777" s="2"/>
      <c r="S4777" s="2"/>
      <c r="T4777" s="2"/>
      <c r="U4777" s="2"/>
      <c r="V4777" s="2"/>
      <c r="W4777" s="2"/>
    </row>
    <row r="4778" spans="1:23" x14ac:dyDescent="0.25">
      <c r="A4778" s="2"/>
      <c r="B4778" s="2"/>
      <c r="C4778" s="1"/>
      <c r="D4778" s="2"/>
      <c r="E4778" s="2"/>
      <c r="F4778" s="2"/>
      <c r="G4778" s="2"/>
      <c r="H4778" s="2"/>
      <c r="I4778" s="2"/>
      <c r="J4778" s="2"/>
      <c r="K4778" s="2"/>
      <c r="L4778" s="2"/>
      <c r="M4778" s="2"/>
      <c r="N4778" s="2"/>
      <c r="O4778" s="2"/>
      <c r="P4778" s="2"/>
      <c r="Q4778" s="2"/>
      <c r="R4778" s="2"/>
      <c r="S4778" s="2"/>
      <c r="T4778" s="2"/>
      <c r="U4778" s="2"/>
      <c r="V4778" s="2"/>
      <c r="W4778" s="2"/>
    </row>
    <row r="4779" spans="1:23" x14ac:dyDescent="0.25">
      <c r="A4779" s="2"/>
      <c r="B4779" s="2"/>
      <c r="C4779" s="1"/>
      <c r="D4779" s="2"/>
      <c r="E4779" s="2"/>
      <c r="F4779" s="2"/>
      <c r="G4779" s="2"/>
      <c r="H4779" s="2"/>
      <c r="I4779" s="2"/>
      <c r="J4779" s="2"/>
      <c r="K4779" s="2"/>
      <c r="L4779" s="2"/>
      <c r="M4779" s="2"/>
      <c r="N4779" s="2"/>
      <c r="O4779" s="2"/>
      <c r="P4779" s="2"/>
      <c r="Q4779" s="2"/>
      <c r="R4779" s="2"/>
      <c r="S4779" s="2"/>
      <c r="T4779" s="2"/>
      <c r="U4779" s="2"/>
      <c r="V4779" s="2"/>
      <c r="W4779" s="2"/>
    </row>
    <row r="4780" spans="1:23" x14ac:dyDescent="0.25">
      <c r="A4780" s="2"/>
      <c r="B4780" s="2"/>
      <c r="C4780" s="1"/>
      <c r="D4780" s="2"/>
      <c r="E4780" s="2"/>
      <c r="F4780" s="2"/>
      <c r="G4780" s="2"/>
      <c r="H4780" s="2"/>
      <c r="I4780" s="2"/>
      <c r="J4780" s="2"/>
      <c r="K4780" s="2"/>
      <c r="L4780" s="2"/>
      <c r="M4780" s="2"/>
      <c r="N4780" s="2"/>
      <c r="O4780" s="2"/>
      <c r="P4780" s="2"/>
      <c r="Q4780" s="2"/>
      <c r="R4780" s="2"/>
      <c r="S4780" s="2"/>
      <c r="T4780" s="2"/>
      <c r="U4780" s="2"/>
      <c r="V4780" s="2"/>
      <c r="W4780" s="2"/>
    </row>
    <row r="4781" spans="1:23" x14ac:dyDescent="0.25">
      <c r="A4781" s="2"/>
      <c r="B4781" s="2"/>
      <c r="C4781" s="1"/>
      <c r="D4781" s="2"/>
      <c r="E4781" s="2"/>
      <c r="F4781" s="2"/>
      <c r="G4781" s="2"/>
      <c r="H4781" s="2"/>
      <c r="I4781" s="2"/>
      <c r="J4781" s="2"/>
      <c r="K4781" s="2"/>
      <c r="L4781" s="2"/>
      <c r="M4781" s="2"/>
      <c r="N4781" s="2"/>
      <c r="O4781" s="2"/>
      <c r="P4781" s="2"/>
      <c r="Q4781" s="2"/>
      <c r="R4781" s="2"/>
      <c r="S4781" s="2"/>
      <c r="T4781" s="2"/>
      <c r="U4781" s="2"/>
      <c r="V4781" s="2"/>
      <c r="W4781" s="2"/>
    </row>
    <row r="4782" spans="1:23" x14ac:dyDescent="0.25">
      <c r="A4782" s="2"/>
      <c r="B4782" s="2"/>
      <c r="C4782" s="1"/>
      <c r="D4782" s="2"/>
      <c r="E4782" s="2"/>
      <c r="F4782" s="2"/>
      <c r="G4782" s="2"/>
      <c r="H4782" s="2"/>
      <c r="I4782" s="2"/>
      <c r="J4782" s="2"/>
      <c r="K4782" s="2"/>
      <c r="L4782" s="2"/>
      <c r="M4782" s="2"/>
      <c r="N4782" s="2"/>
      <c r="O4782" s="2"/>
      <c r="P4782" s="2"/>
      <c r="Q4782" s="2"/>
      <c r="R4782" s="2"/>
      <c r="S4782" s="2"/>
      <c r="T4782" s="2"/>
      <c r="U4782" s="2"/>
      <c r="V4782" s="2"/>
      <c r="W4782" s="2"/>
    </row>
    <row r="4783" spans="1:23" x14ac:dyDescent="0.25">
      <c r="A4783" s="2"/>
      <c r="B4783" s="2"/>
      <c r="C4783" s="1"/>
      <c r="D4783" s="2"/>
      <c r="E4783" s="2"/>
      <c r="F4783" s="2"/>
      <c r="G4783" s="2"/>
      <c r="H4783" s="2"/>
      <c r="I4783" s="2"/>
      <c r="J4783" s="2"/>
      <c r="K4783" s="2"/>
      <c r="L4783" s="2"/>
      <c r="M4783" s="2"/>
      <c r="N4783" s="2"/>
      <c r="O4783" s="2"/>
      <c r="P4783" s="2"/>
      <c r="Q4783" s="2"/>
      <c r="R4783" s="2"/>
      <c r="S4783" s="2"/>
      <c r="T4783" s="2"/>
      <c r="U4783" s="2"/>
      <c r="V4783" s="2"/>
      <c r="W4783" s="2"/>
    </row>
    <row r="4784" spans="1:23" x14ac:dyDescent="0.25">
      <c r="A4784" s="2"/>
      <c r="B4784" s="2"/>
      <c r="C4784" s="1"/>
      <c r="D4784" s="2"/>
      <c r="E4784" s="2"/>
      <c r="F4784" s="2"/>
      <c r="G4784" s="2"/>
      <c r="H4784" s="2"/>
      <c r="I4784" s="2"/>
      <c r="J4784" s="2"/>
      <c r="K4784" s="2"/>
      <c r="L4784" s="2"/>
      <c r="M4784" s="2"/>
      <c r="N4784" s="2"/>
      <c r="O4784" s="2"/>
      <c r="P4784" s="2"/>
      <c r="Q4784" s="2"/>
      <c r="R4784" s="2"/>
      <c r="S4784" s="2"/>
      <c r="T4784" s="2"/>
      <c r="U4784" s="2"/>
      <c r="V4784" s="2"/>
      <c r="W4784" s="2"/>
    </row>
    <row r="4785" spans="1:23" x14ac:dyDescent="0.25">
      <c r="A4785" s="2"/>
      <c r="B4785" s="2"/>
      <c r="C4785" s="1"/>
      <c r="D4785" s="2"/>
      <c r="E4785" s="2"/>
      <c r="F4785" s="2"/>
      <c r="G4785" s="2"/>
      <c r="H4785" s="2"/>
      <c r="I4785" s="2"/>
      <c r="J4785" s="2"/>
      <c r="K4785" s="2"/>
      <c r="L4785" s="2"/>
      <c r="M4785" s="2"/>
      <c r="N4785" s="2"/>
      <c r="O4785" s="2"/>
      <c r="P4785" s="2"/>
      <c r="Q4785" s="2"/>
      <c r="R4785" s="2"/>
      <c r="S4785" s="2"/>
      <c r="T4785" s="2"/>
      <c r="U4785" s="2"/>
      <c r="V4785" s="2"/>
      <c r="W4785" s="2"/>
    </row>
    <row r="4786" spans="1:23" x14ac:dyDescent="0.25">
      <c r="A4786" s="2"/>
      <c r="B4786" s="2"/>
      <c r="C4786" s="1"/>
      <c r="D4786" s="2"/>
      <c r="E4786" s="2"/>
      <c r="F4786" s="2"/>
      <c r="G4786" s="2"/>
      <c r="H4786" s="2"/>
      <c r="I4786" s="2"/>
      <c r="J4786" s="2"/>
      <c r="K4786" s="2"/>
      <c r="L4786" s="2"/>
      <c r="M4786" s="2"/>
      <c r="N4786" s="2"/>
      <c r="O4786" s="2"/>
      <c r="P4786" s="2"/>
      <c r="Q4786" s="2"/>
      <c r="R4786" s="2"/>
      <c r="S4786" s="2"/>
      <c r="T4786" s="2"/>
      <c r="U4786" s="2"/>
      <c r="V4786" s="2"/>
      <c r="W4786" s="2"/>
    </row>
    <row r="4787" spans="1:23" x14ac:dyDescent="0.25">
      <c r="A4787" s="2"/>
      <c r="B4787" s="2"/>
      <c r="C4787" s="1"/>
      <c r="D4787" s="2"/>
      <c r="E4787" s="2"/>
      <c r="F4787" s="2"/>
      <c r="G4787" s="2"/>
      <c r="H4787" s="2"/>
      <c r="I4787" s="2"/>
      <c r="J4787" s="2"/>
      <c r="K4787" s="2"/>
      <c r="L4787" s="2"/>
      <c r="M4787" s="2"/>
      <c r="N4787" s="2"/>
      <c r="O4787" s="2"/>
      <c r="P4787" s="2"/>
      <c r="Q4787" s="2"/>
      <c r="R4787" s="2"/>
      <c r="S4787" s="2"/>
      <c r="T4787" s="2"/>
      <c r="U4787" s="2"/>
      <c r="V4787" s="2"/>
      <c r="W4787" s="2"/>
    </row>
    <row r="4788" spans="1:23" x14ac:dyDescent="0.25">
      <c r="A4788" s="2"/>
      <c r="B4788" s="2"/>
      <c r="C4788" s="1"/>
      <c r="D4788" s="2"/>
      <c r="E4788" s="2"/>
      <c r="F4788" s="2"/>
      <c r="G4788" s="2"/>
      <c r="H4788" s="2"/>
      <c r="I4788" s="2"/>
      <c r="J4788" s="2"/>
      <c r="K4788" s="2"/>
      <c r="L4788" s="2"/>
      <c r="M4788" s="2"/>
      <c r="N4788" s="2"/>
      <c r="O4788" s="2"/>
      <c r="P4788" s="2"/>
      <c r="Q4788" s="2"/>
      <c r="R4788" s="2"/>
      <c r="S4788" s="2"/>
      <c r="T4788" s="2"/>
      <c r="U4788" s="2"/>
      <c r="V4788" s="2"/>
      <c r="W4788" s="2"/>
    </row>
    <row r="4789" spans="1:23" x14ac:dyDescent="0.25">
      <c r="A4789" s="2"/>
      <c r="B4789" s="2"/>
      <c r="C4789" s="1"/>
      <c r="D4789" s="2"/>
      <c r="E4789" s="2"/>
      <c r="F4789" s="2"/>
      <c r="G4789" s="2"/>
      <c r="H4789" s="2"/>
      <c r="I4789" s="2"/>
      <c r="J4789" s="2"/>
      <c r="K4789" s="2"/>
      <c r="L4789" s="2"/>
      <c r="M4789" s="2"/>
      <c r="N4789" s="2"/>
      <c r="O4789" s="2"/>
      <c r="P4789" s="2"/>
      <c r="Q4789" s="2"/>
      <c r="R4789" s="2"/>
      <c r="S4789" s="2"/>
      <c r="T4789" s="2"/>
      <c r="U4789" s="2"/>
      <c r="V4789" s="2"/>
      <c r="W4789" s="2"/>
    </row>
    <row r="4790" spans="1:23" x14ac:dyDescent="0.25">
      <c r="A4790" s="2"/>
      <c r="B4790" s="2"/>
      <c r="C4790" s="1"/>
      <c r="D4790" s="2"/>
      <c r="E4790" s="2"/>
      <c r="F4790" s="2"/>
      <c r="G4790" s="2"/>
      <c r="H4790" s="2"/>
      <c r="I4790" s="2"/>
      <c r="J4790" s="2"/>
      <c r="K4790" s="2"/>
      <c r="L4790" s="2"/>
      <c r="M4790" s="2"/>
      <c r="N4790" s="2"/>
      <c r="O4790" s="2"/>
      <c r="P4790" s="2"/>
      <c r="Q4790" s="2"/>
      <c r="R4790" s="2"/>
      <c r="S4790" s="2"/>
      <c r="T4790" s="2"/>
      <c r="U4790" s="2"/>
      <c r="V4790" s="2"/>
      <c r="W4790" s="2"/>
    </row>
    <row r="4791" spans="1:23" x14ac:dyDescent="0.25">
      <c r="A4791" s="2"/>
      <c r="B4791" s="2"/>
      <c r="C4791" s="1"/>
      <c r="D4791" s="2"/>
      <c r="E4791" s="2"/>
      <c r="F4791" s="2"/>
      <c r="G4791" s="2"/>
      <c r="H4791" s="2"/>
      <c r="I4791" s="2"/>
      <c r="J4791" s="2"/>
      <c r="K4791" s="2"/>
      <c r="L4791" s="2"/>
      <c r="M4791" s="2"/>
      <c r="N4791" s="2"/>
      <c r="O4791" s="2"/>
      <c r="P4791" s="2"/>
      <c r="Q4791" s="2"/>
      <c r="R4791" s="2"/>
      <c r="S4791" s="2"/>
      <c r="T4791" s="2"/>
      <c r="U4791" s="2"/>
      <c r="V4791" s="2"/>
      <c r="W4791" s="2"/>
    </row>
    <row r="4792" spans="1:23" x14ac:dyDescent="0.25">
      <c r="A4792" s="2"/>
      <c r="B4792" s="2"/>
      <c r="C4792" s="1"/>
      <c r="D4792" s="2"/>
      <c r="E4792" s="2"/>
      <c r="F4792" s="2"/>
      <c r="G4792" s="2"/>
      <c r="H4792" s="2"/>
      <c r="I4792" s="2"/>
      <c r="J4792" s="2"/>
      <c r="K4792" s="2"/>
      <c r="L4792" s="2"/>
      <c r="M4792" s="2"/>
      <c r="N4792" s="2"/>
      <c r="O4792" s="2"/>
      <c r="P4792" s="2"/>
      <c r="Q4792" s="2"/>
      <c r="R4792" s="2"/>
      <c r="S4792" s="2"/>
      <c r="T4792" s="2"/>
      <c r="U4792" s="2"/>
      <c r="V4792" s="2"/>
      <c r="W4792" s="2"/>
    </row>
    <row r="4793" spans="1:23" x14ac:dyDescent="0.25">
      <c r="A4793" s="2"/>
      <c r="B4793" s="2"/>
      <c r="C4793" s="1"/>
      <c r="D4793" s="2"/>
      <c r="E4793" s="2"/>
      <c r="F4793" s="2"/>
      <c r="G4793" s="2"/>
      <c r="H4793" s="2"/>
      <c r="I4793" s="2"/>
      <c r="J4793" s="2"/>
      <c r="K4793" s="2"/>
      <c r="L4793" s="2"/>
      <c r="M4793" s="2"/>
      <c r="N4793" s="2"/>
      <c r="O4793" s="2"/>
      <c r="P4793" s="2"/>
      <c r="Q4793" s="2"/>
      <c r="R4793" s="2"/>
      <c r="S4793" s="2"/>
      <c r="T4793" s="2"/>
      <c r="U4793" s="2"/>
      <c r="V4793" s="2"/>
      <c r="W4793" s="2"/>
    </row>
    <row r="4794" spans="1:23" x14ac:dyDescent="0.25">
      <c r="A4794" s="2"/>
      <c r="B4794" s="2"/>
      <c r="C4794" s="1"/>
      <c r="D4794" s="2"/>
      <c r="E4794" s="2"/>
      <c r="F4794" s="2"/>
      <c r="G4794" s="2"/>
      <c r="H4794" s="2"/>
      <c r="I4794" s="2"/>
      <c r="J4794" s="2"/>
      <c r="K4794" s="2"/>
      <c r="L4794" s="2"/>
      <c r="M4794" s="2"/>
      <c r="N4794" s="2"/>
      <c r="O4794" s="2"/>
      <c r="P4794" s="2"/>
      <c r="Q4794" s="2"/>
      <c r="R4794" s="2"/>
      <c r="S4794" s="2"/>
      <c r="T4794" s="2"/>
      <c r="U4794" s="2"/>
      <c r="V4794" s="2"/>
      <c r="W4794" s="2"/>
    </row>
    <row r="4795" spans="1:23" x14ac:dyDescent="0.25">
      <c r="A4795" s="2"/>
      <c r="B4795" s="2"/>
      <c r="C4795" s="1"/>
      <c r="D4795" s="2"/>
      <c r="E4795" s="2"/>
      <c r="F4795" s="2"/>
      <c r="G4795" s="2"/>
      <c r="H4795" s="2"/>
      <c r="I4795" s="2"/>
      <c r="J4795" s="2"/>
      <c r="K4795" s="2"/>
      <c r="L4795" s="2"/>
      <c r="M4795" s="2"/>
      <c r="N4795" s="2"/>
      <c r="O4795" s="2"/>
      <c r="P4795" s="2"/>
      <c r="Q4795" s="2"/>
      <c r="R4795" s="2"/>
      <c r="S4795" s="2"/>
      <c r="T4795" s="2"/>
      <c r="U4795" s="2"/>
      <c r="V4795" s="2"/>
      <c r="W4795" s="2"/>
    </row>
    <row r="4796" spans="1:23" x14ac:dyDescent="0.25">
      <c r="A4796" s="2"/>
      <c r="B4796" s="2"/>
      <c r="C4796" s="1"/>
      <c r="D4796" s="2"/>
      <c r="E4796" s="2"/>
      <c r="F4796" s="2"/>
      <c r="G4796" s="2"/>
      <c r="H4796" s="2"/>
      <c r="I4796" s="2"/>
      <c r="J4796" s="2"/>
      <c r="K4796" s="2"/>
      <c r="L4796" s="2"/>
      <c r="M4796" s="2"/>
      <c r="N4796" s="2"/>
      <c r="O4796" s="2"/>
      <c r="P4796" s="2"/>
      <c r="Q4796" s="2"/>
      <c r="R4796" s="2"/>
      <c r="S4796" s="2"/>
      <c r="T4796" s="2"/>
      <c r="U4796" s="2"/>
      <c r="V4796" s="2"/>
      <c r="W4796" s="2"/>
    </row>
    <row r="4797" spans="1:23" x14ac:dyDescent="0.25">
      <c r="A4797" s="2"/>
      <c r="B4797" s="2"/>
      <c r="C4797" s="1"/>
      <c r="D4797" s="2"/>
      <c r="E4797" s="2"/>
      <c r="F4797" s="2"/>
      <c r="G4797" s="2"/>
      <c r="H4797" s="2"/>
      <c r="I4797" s="2"/>
      <c r="J4797" s="2"/>
      <c r="K4797" s="2"/>
      <c r="L4797" s="2"/>
      <c r="M4797" s="2"/>
      <c r="N4797" s="2"/>
      <c r="O4797" s="2"/>
      <c r="P4797" s="2"/>
      <c r="Q4797" s="2"/>
      <c r="R4797" s="2"/>
      <c r="S4797" s="2"/>
      <c r="T4797" s="2"/>
      <c r="U4797" s="2"/>
      <c r="V4797" s="2"/>
      <c r="W4797" s="2"/>
    </row>
    <row r="4798" spans="1:23" x14ac:dyDescent="0.25">
      <c r="A4798" s="2"/>
      <c r="B4798" s="2"/>
      <c r="C4798" s="1"/>
      <c r="D4798" s="2"/>
      <c r="E4798" s="2"/>
      <c r="F4798" s="2"/>
      <c r="G4798" s="2"/>
      <c r="H4798" s="2"/>
      <c r="I4798" s="2"/>
      <c r="J4798" s="2"/>
      <c r="K4798" s="2"/>
      <c r="L4798" s="2"/>
      <c r="M4798" s="2"/>
      <c r="N4798" s="2"/>
      <c r="O4798" s="2"/>
      <c r="P4798" s="2"/>
      <c r="Q4798" s="2"/>
      <c r="R4798" s="2"/>
      <c r="S4798" s="2"/>
      <c r="T4798" s="2"/>
      <c r="U4798" s="2"/>
      <c r="V4798" s="2"/>
      <c r="W4798" s="2"/>
    </row>
    <row r="4799" spans="1:23" x14ac:dyDescent="0.25">
      <c r="A4799" s="2"/>
      <c r="B4799" s="2"/>
      <c r="C4799" s="1"/>
      <c r="D4799" s="2"/>
      <c r="E4799" s="2"/>
      <c r="F4799" s="2"/>
      <c r="G4799" s="2"/>
      <c r="H4799" s="2"/>
      <c r="I4799" s="2"/>
      <c r="J4799" s="2"/>
      <c r="K4799" s="2"/>
      <c r="L4799" s="2"/>
      <c r="M4799" s="2"/>
      <c r="N4799" s="2"/>
      <c r="O4799" s="2"/>
      <c r="P4799" s="2"/>
      <c r="Q4799" s="2"/>
      <c r="R4799" s="2"/>
      <c r="S4799" s="2"/>
      <c r="T4799" s="2"/>
      <c r="U4799" s="2"/>
      <c r="V4799" s="2"/>
      <c r="W4799" s="2"/>
    </row>
    <row r="4800" spans="1:23" x14ac:dyDescent="0.25">
      <c r="A4800" s="2"/>
      <c r="B4800" s="2"/>
      <c r="C4800" s="1"/>
      <c r="D4800" s="2"/>
      <c r="E4800" s="2"/>
      <c r="F4800" s="2"/>
      <c r="G4800" s="2"/>
      <c r="H4800" s="2"/>
      <c r="I4800" s="2"/>
      <c r="J4800" s="2"/>
      <c r="K4800" s="2"/>
      <c r="L4800" s="2"/>
      <c r="M4800" s="2"/>
      <c r="N4800" s="2"/>
      <c r="O4800" s="2"/>
      <c r="P4800" s="2"/>
      <c r="Q4800" s="2"/>
      <c r="R4800" s="2"/>
      <c r="S4800" s="2"/>
      <c r="T4800" s="2"/>
      <c r="U4800" s="2"/>
      <c r="V4800" s="2"/>
      <c r="W4800" s="2"/>
    </row>
    <row r="4801" spans="1:23" x14ac:dyDescent="0.25">
      <c r="A4801" s="2"/>
      <c r="B4801" s="2"/>
      <c r="C4801" s="1"/>
      <c r="D4801" s="2"/>
      <c r="E4801" s="2"/>
      <c r="F4801" s="2"/>
      <c r="G4801" s="2"/>
      <c r="H4801" s="2"/>
      <c r="I4801" s="2"/>
      <c r="J4801" s="2"/>
      <c r="K4801" s="2"/>
      <c r="L4801" s="2"/>
      <c r="M4801" s="2"/>
      <c r="N4801" s="2"/>
      <c r="O4801" s="2"/>
      <c r="P4801" s="2"/>
      <c r="Q4801" s="2"/>
      <c r="R4801" s="2"/>
      <c r="S4801" s="2"/>
      <c r="T4801" s="2"/>
      <c r="U4801" s="2"/>
      <c r="V4801" s="2"/>
      <c r="W4801" s="2"/>
    </row>
    <row r="4802" spans="1:23" x14ac:dyDescent="0.25">
      <c r="A4802" s="2"/>
      <c r="B4802" s="2"/>
      <c r="C4802" s="1"/>
      <c r="D4802" s="2"/>
      <c r="E4802" s="2"/>
      <c r="F4802" s="2"/>
      <c r="G4802" s="2"/>
      <c r="H4802" s="2"/>
      <c r="I4802" s="2"/>
      <c r="J4802" s="2"/>
      <c r="K4802" s="2"/>
      <c r="L4802" s="2"/>
      <c r="M4802" s="2"/>
      <c r="N4802" s="2"/>
      <c r="O4802" s="2"/>
      <c r="P4802" s="2"/>
      <c r="Q4802" s="2"/>
      <c r="R4802" s="2"/>
      <c r="S4802" s="2"/>
      <c r="T4802" s="2"/>
      <c r="U4802" s="2"/>
      <c r="V4802" s="2"/>
      <c r="W4802" s="2"/>
    </row>
    <row r="4803" spans="1:23" x14ac:dyDescent="0.25">
      <c r="A4803" s="2"/>
      <c r="B4803" s="2"/>
      <c r="C4803" s="1"/>
      <c r="D4803" s="2"/>
      <c r="E4803" s="2"/>
      <c r="F4803" s="2"/>
      <c r="G4803" s="2"/>
      <c r="H4803" s="2"/>
      <c r="I4803" s="2"/>
      <c r="J4803" s="2"/>
      <c r="K4803" s="2"/>
      <c r="L4803" s="2"/>
      <c r="M4803" s="2"/>
      <c r="N4803" s="2"/>
      <c r="O4803" s="2"/>
      <c r="P4803" s="2"/>
      <c r="Q4803" s="2"/>
      <c r="R4803" s="2"/>
      <c r="S4803" s="2"/>
      <c r="T4803" s="2"/>
      <c r="U4803" s="2"/>
      <c r="V4803" s="2"/>
      <c r="W4803" s="2"/>
    </row>
    <row r="4804" spans="1:23" x14ac:dyDescent="0.25">
      <c r="A4804" s="2"/>
      <c r="B4804" s="2"/>
      <c r="C4804" s="1"/>
      <c r="D4804" s="2"/>
      <c r="E4804" s="2"/>
      <c r="F4804" s="2"/>
      <c r="G4804" s="2"/>
      <c r="H4804" s="2"/>
      <c r="I4804" s="2"/>
      <c r="J4804" s="2"/>
      <c r="K4804" s="2"/>
      <c r="L4804" s="2"/>
      <c r="M4804" s="2"/>
      <c r="N4804" s="2"/>
      <c r="O4804" s="2"/>
      <c r="P4804" s="2"/>
      <c r="Q4804" s="2"/>
      <c r="R4804" s="2"/>
      <c r="S4804" s="2"/>
      <c r="T4804" s="2"/>
      <c r="U4804" s="2"/>
      <c r="V4804" s="2"/>
      <c r="W4804" s="2"/>
    </row>
    <row r="4805" spans="1:23" x14ac:dyDescent="0.25">
      <c r="A4805" s="2"/>
      <c r="B4805" s="2"/>
      <c r="C4805" s="1"/>
      <c r="D4805" s="2"/>
      <c r="E4805" s="2"/>
      <c r="F4805" s="2"/>
      <c r="G4805" s="2"/>
      <c r="H4805" s="2"/>
      <c r="I4805" s="2"/>
      <c r="J4805" s="2"/>
      <c r="K4805" s="2"/>
      <c r="L4805" s="2"/>
      <c r="M4805" s="2"/>
      <c r="N4805" s="2"/>
      <c r="O4805" s="2"/>
      <c r="P4805" s="2"/>
      <c r="Q4805" s="2"/>
      <c r="R4805" s="2"/>
      <c r="S4805" s="2"/>
      <c r="T4805" s="2"/>
      <c r="U4805" s="2"/>
      <c r="V4805" s="2"/>
      <c r="W4805" s="2"/>
    </row>
    <row r="4806" spans="1:23" x14ac:dyDescent="0.25">
      <c r="A4806" s="2"/>
      <c r="B4806" s="2"/>
      <c r="C4806" s="1"/>
      <c r="D4806" s="2"/>
      <c r="E4806" s="2"/>
      <c r="F4806" s="2"/>
      <c r="G4806" s="2"/>
      <c r="H4806" s="2"/>
      <c r="I4806" s="2"/>
      <c r="J4806" s="2"/>
      <c r="K4806" s="2"/>
      <c r="L4806" s="2"/>
      <c r="M4806" s="2"/>
      <c r="N4806" s="2"/>
      <c r="O4806" s="2"/>
      <c r="P4806" s="2"/>
      <c r="Q4806" s="2"/>
      <c r="R4806" s="2"/>
      <c r="S4806" s="2"/>
      <c r="T4806" s="2"/>
      <c r="U4806" s="2"/>
      <c r="V4806" s="2"/>
      <c r="W4806" s="2"/>
    </row>
    <row r="4807" spans="1:23" x14ac:dyDescent="0.25">
      <c r="A4807" s="2"/>
      <c r="B4807" s="2"/>
      <c r="C4807" s="1"/>
      <c r="D4807" s="2"/>
      <c r="E4807" s="2"/>
      <c r="F4807" s="2"/>
      <c r="G4807" s="2"/>
      <c r="H4807" s="2"/>
      <c r="I4807" s="2"/>
      <c r="J4807" s="2"/>
      <c r="K4807" s="2"/>
      <c r="L4807" s="2"/>
      <c r="M4807" s="2"/>
      <c r="N4807" s="2"/>
      <c r="O4807" s="2"/>
      <c r="P4807" s="2"/>
      <c r="Q4807" s="2"/>
      <c r="R4807" s="2"/>
      <c r="S4807" s="2"/>
      <c r="T4807" s="2"/>
      <c r="U4807" s="2"/>
      <c r="V4807" s="2"/>
      <c r="W4807" s="2"/>
    </row>
    <row r="4808" spans="1:23" x14ac:dyDescent="0.25">
      <c r="A4808" s="2"/>
      <c r="B4808" s="2"/>
      <c r="C4808" s="1"/>
      <c r="D4808" s="2"/>
      <c r="E4808" s="2"/>
      <c r="F4808" s="2"/>
      <c r="G4808" s="2"/>
      <c r="H4808" s="2"/>
      <c r="I4808" s="2"/>
      <c r="J4808" s="2"/>
      <c r="K4808" s="2"/>
      <c r="L4808" s="2"/>
      <c r="M4808" s="2"/>
      <c r="N4808" s="2"/>
      <c r="O4808" s="2"/>
      <c r="P4808" s="2"/>
      <c r="Q4808" s="2"/>
      <c r="R4808" s="2"/>
      <c r="S4808" s="2"/>
      <c r="T4808" s="2"/>
      <c r="U4808" s="2"/>
      <c r="V4808" s="2"/>
      <c r="W4808" s="2"/>
    </row>
    <row r="4809" spans="1:23" x14ac:dyDescent="0.25">
      <c r="A4809" s="2"/>
      <c r="B4809" s="2"/>
      <c r="C4809" s="1"/>
      <c r="D4809" s="2"/>
      <c r="E4809" s="2"/>
      <c r="F4809" s="2"/>
      <c r="G4809" s="2"/>
      <c r="H4809" s="2"/>
      <c r="I4809" s="2"/>
      <c r="J4809" s="2"/>
      <c r="K4809" s="2"/>
      <c r="L4809" s="2"/>
      <c r="M4809" s="2"/>
      <c r="N4809" s="2"/>
      <c r="O4809" s="2"/>
      <c r="P4809" s="2"/>
      <c r="Q4809" s="2"/>
      <c r="R4809" s="2"/>
      <c r="S4809" s="2"/>
      <c r="T4809" s="2"/>
      <c r="U4809" s="2"/>
      <c r="V4809" s="2"/>
      <c r="W4809" s="2"/>
    </row>
    <row r="4810" spans="1:23" x14ac:dyDescent="0.25">
      <c r="A4810" s="2"/>
      <c r="B4810" s="2"/>
      <c r="C4810" s="1"/>
      <c r="D4810" s="2"/>
      <c r="E4810" s="2"/>
      <c r="F4810" s="2"/>
      <c r="G4810" s="2"/>
      <c r="H4810" s="2"/>
      <c r="I4810" s="2"/>
      <c r="J4810" s="2"/>
      <c r="K4810" s="2"/>
      <c r="L4810" s="2"/>
      <c r="M4810" s="2"/>
      <c r="N4810" s="2"/>
      <c r="O4810" s="2"/>
      <c r="P4810" s="2"/>
      <c r="Q4810" s="2"/>
      <c r="R4810" s="2"/>
      <c r="S4810" s="2"/>
      <c r="T4810" s="2"/>
      <c r="U4810" s="2"/>
      <c r="V4810" s="2"/>
      <c r="W4810" s="2"/>
    </row>
    <row r="4811" spans="1:23" x14ac:dyDescent="0.25">
      <c r="A4811" s="2"/>
      <c r="B4811" s="2"/>
      <c r="C4811" s="1"/>
      <c r="D4811" s="2"/>
      <c r="E4811" s="2"/>
      <c r="F4811" s="2"/>
      <c r="G4811" s="2"/>
      <c r="H4811" s="2"/>
      <c r="I4811" s="2"/>
      <c r="J4811" s="2"/>
      <c r="K4811" s="2"/>
      <c r="L4811" s="2"/>
      <c r="M4811" s="2"/>
      <c r="N4811" s="2"/>
      <c r="O4811" s="2"/>
      <c r="P4811" s="2"/>
      <c r="Q4811" s="2"/>
      <c r="R4811" s="2"/>
      <c r="S4811" s="2"/>
      <c r="T4811" s="2"/>
      <c r="U4811" s="2"/>
      <c r="V4811" s="2"/>
      <c r="W4811" s="2"/>
    </row>
    <row r="4812" spans="1:23" x14ac:dyDescent="0.25">
      <c r="A4812" s="2"/>
      <c r="B4812" s="2"/>
      <c r="C4812" s="1"/>
      <c r="D4812" s="2"/>
      <c r="E4812" s="2"/>
      <c r="F4812" s="2"/>
      <c r="G4812" s="2"/>
      <c r="H4812" s="2"/>
      <c r="I4812" s="2"/>
      <c r="J4812" s="2"/>
      <c r="K4812" s="2"/>
      <c r="L4812" s="2"/>
      <c r="M4812" s="2"/>
      <c r="N4812" s="2"/>
      <c r="O4812" s="2"/>
      <c r="P4812" s="2"/>
      <c r="Q4812" s="2"/>
      <c r="R4812" s="2"/>
      <c r="S4812" s="2"/>
      <c r="T4812" s="2"/>
      <c r="U4812" s="2"/>
      <c r="V4812" s="2"/>
      <c r="W4812" s="2"/>
    </row>
    <row r="4813" spans="1:23" x14ac:dyDescent="0.25">
      <c r="A4813" s="2"/>
      <c r="B4813" s="2"/>
      <c r="C4813" s="1"/>
      <c r="D4813" s="2"/>
      <c r="E4813" s="2"/>
      <c r="F4813" s="2"/>
      <c r="G4813" s="2"/>
      <c r="H4813" s="2"/>
      <c r="I4813" s="2"/>
      <c r="J4813" s="2"/>
      <c r="K4813" s="2"/>
      <c r="L4813" s="2"/>
      <c r="M4813" s="2"/>
      <c r="N4813" s="2"/>
      <c r="O4813" s="2"/>
      <c r="P4813" s="2"/>
      <c r="Q4813" s="2"/>
      <c r="R4813" s="2"/>
      <c r="S4813" s="2"/>
      <c r="T4813" s="2"/>
      <c r="U4813" s="2"/>
      <c r="V4813" s="2"/>
      <c r="W4813" s="2"/>
    </row>
    <row r="4814" spans="1:23" x14ac:dyDescent="0.25">
      <c r="A4814" s="2"/>
      <c r="B4814" s="2"/>
      <c r="C4814" s="1"/>
      <c r="D4814" s="2"/>
      <c r="E4814" s="2"/>
      <c r="F4814" s="2"/>
      <c r="G4814" s="2"/>
      <c r="H4814" s="2"/>
      <c r="I4814" s="2"/>
      <c r="J4814" s="2"/>
      <c r="K4814" s="2"/>
      <c r="L4814" s="2"/>
      <c r="M4814" s="2"/>
      <c r="N4814" s="2"/>
      <c r="O4814" s="2"/>
      <c r="P4814" s="2"/>
      <c r="Q4814" s="2"/>
      <c r="R4814" s="2"/>
      <c r="S4814" s="2"/>
      <c r="T4814" s="2"/>
      <c r="U4814" s="2"/>
      <c r="V4814" s="2"/>
      <c r="W4814" s="2"/>
    </row>
    <row r="4815" spans="1:23" x14ac:dyDescent="0.25">
      <c r="A4815" s="2"/>
      <c r="B4815" s="2"/>
      <c r="C4815" s="1"/>
      <c r="D4815" s="2"/>
      <c r="E4815" s="2"/>
      <c r="F4815" s="2"/>
      <c r="G4815" s="2"/>
      <c r="H4815" s="2"/>
      <c r="I4815" s="2"/>
      <c r="J4815" s="2"/>
      <c r="K4815" s="2"/>
      <c r="L4815" s="2"/>
      <c r="M4815" s="2"/>
      <c r="N4815" s="2"/>
      <c r="O4815" s="2"/>
      <c r="P4815" s="2"/>
      <c r="Q4815" s="2"/>
      <c r="R4815" s="2"/>
      <c r="S4815" s="2"/>
      <c r="T4815" s="2"/>
      <c r="U4815" s="2"/>
      <c r="V4815" s="2"/>
      <c r="W4815" s="2"/>
    </row>
    <row r="4816" spans="1:23" x14ac:dyDescent="0.25">
      <c r="A4816" s="2"/>
      <c r="B4816" s="2"/>
      <c r="C4816" s="1"/>
      <c r="D4816" s="2"/>
      <c r="E4816" s="2"/>
      <c r="F4816" s="2"/>
      <c r="G4816" s="2"/>
      <c r="H4816" s="2"/>
      <c r="I4816" s="2"/>
      <c r="J4816" s="2"/>
      <c r="K4816" s="2"/>
      <c r="L4816" s="2"/>
      <c r="M4816" s="2"/>
      <c r="N4816" s="2"/>
      <c r="O4816" s="2"/>
      <c r="P4816" s="2"/>
      <c r="Q4816" s="2"/>
      <c r="R4816" s="2"/>
      <c r="S4816" s="2"/>
      <c r="T4816" s="2"/>
      <c r="U4816" s="2"/>
      <c r="V4816" s="2"/>
      <c r="W4816" s="2"/>
    </row>
    <row r="4817" spans="1:23" x14ac:dyDescent="0.25">
      <c r="A4817" s="2"/>
      <c r="B4817" s="2"/>
      <c r="C4817" s="1"/>
      <c r="D4817" s="2"/>
      <c r="E4817" s="2"/>
      <c r="F4817" s="2"/>
      <c r="G4817" s="2"/>
      <c r="H4817" s="2"/>
      <c r="I4817" s="2"/>
      <c r="J4817" s="2"/>
      <c r="K4817" s="2"/>
      <c r="L4817" s="2"/>
      <c r="M4817" s="2"/>
      <c r="N4817" s="2"/>
      <c r="O4817" s="2"/>
      <c r="P4817" s="2"/>
      <c r="Q4817" s="2"/>
      <c r="R4817" s="2"/>
      <c r="S4817" s="2"/>
      <c r="T4817" s="2"/>
      <c r="U4817" s="2"/>
      <c r="V4817" s="2"/>
      <c r="W4817" s="2"/>
    </row>
    <row r="4818" spans="1:23" x14ac:dyDescent="0.25">
      <c r="A4818" s="2"/>
      <c r="B4818" s="2"/>
      <c r="C4818" s="1"/>
      <c r="D4818" s="2"/>
      <c r="E4818" s="2"/>
      <c r="F4818" s="2"/>
      <c r="G4818" s="2"/>
      <c r="H4818" s="2"/>
      <c r="I4818" s="2"/>
      <c r="J4818" s="2"/>
      <c r="K4818" s="2"/>
      <c r="L4818" s="2"/>
      <c r="M4818" s="2"/>
      <c r="N4818" s="2"/>
      <c r="O4818" s="2"/>
      <c r="P4818" s="2"/>
      <c r="Q4818" s="2"/>
      <c r="R4818" s="2"/>
      <c r="S4818" s="2"/>
      <c r="T4818" s="2"/>
      <c r="U4818" s="2"/>
      <c r="V4818" s="2"/>
      <c r="W4818" s="2"/>
    </row>
    <row r="4819" spans="1:23" x14ac:dyDescent="0.25">
      <c r="A4819" s="2"/>
      <c r="B4819" s="2"/>
      <c r="C4819" s="1"/>
      <c r="D4819" s="2"/>
      <c r="E4819" s="2"/>
      <c r="F4819" s="2"/>
      <c r="G4819" s="2"/>
      <c r="H4819" s="2"/>
      <c r="I4819" s="2"/>
      <c r="J4819" s="2"/>
      <c r="K4819" s="2"/>
      <c r="L4819" s="2"/>
      <c r="M4819" s="2"/>
      <c r="N4819" s="2"/>
      <c r="O4819" s="2"/>
      <c r="P4819" s="2"/>
      <c r="Q4819" s="2"/>
      <c r="R4819" s="2"/>
      <c r="S4819" s="2"/>
      <c r="T4819" s="2"/>
      <c r="U4819" s="2"/>
      <c r="V4819" s="2"/>
      <c r="W4819" s="2"/>
    </row>
    <row r="4820" spans="1:23" x14ac:dyDescent="0.25">
      <c r="A4820" s="2"/>
      <c r="B4820" s="2"/>
      <c r="C4820" s="1"/>
      <c r="D4820" s="2"/>
      <c r="E4820" s="2"/>
      <c r="F4820" s="2"/>
      <c r="G4820" s="2"/>
      <c r="H4820" s="2"/>
      <c r="I4820" s="2"/>
      <c r="J4820" s="2"/>
      <c r="K4820" s="2"/>
      <c r="L4820" s="2"/>
      <c r="M4820" s="2"/>
      <c r="N4820" s="2"/>
      <c r="O4820" s="2"/>
      <c r="P4820" s="2"/>
      <c r="Q4820" s="2"/>
      <c r="R4820" s="2"/>
      <c r="S4820" s="2"/>
      <c r="T4820" s="2"/>
      <c r="U4820" s="2"/>
      <c r="V4820" s="2"/>
      <c r="W4820" s="2"/>
    </row>
    <row r="4821" spans="1:23" x14ac:dyDescent="0.25">
      <c r="A4821" s="2"/>
      <c r="B4821" s="2"/>
      <c r="C4821" s="1"/>
      <c r="D4821" s="2"/>
      <c r="E4821" s="2"/>
      <c r="F4821" s="2"/>
      <c r="G4821" s="2"/>
      <c r="H4821" s="2"/>
      <c r="I4821" s="2"/>
      <c r="J4821" s="2"/>
      <c r="K4821" s="2"/>
      <c r="L4821" s="2"/>
      <c r="M4821" s="2"/>
      <c r="N4821" s="2"/>
      <c r="O4821" s="2"/>
      <c r="P4821" s="2"/>
      <c r="Q4821" s="2"/>
      <c r="R4821" s="2"/>
      <c r="S4821" s="2"/>
      <c r="T4821" s="2"/>
      <c r="U4821" s="2"/>
      <c r="V4821" s="2"/>
      <c r="W4821" s="2"/>
    </row>
    <row r="4822" spans="1:23" x14ac:dyDescent="0.25">
      <c r="A4822" s="2"/>
      <c r="B4822" s="2"/>
      <c r="C4822" s="1"/>
      <c r="D4822" s="2"/>
      <c r="E4822" s="2"/>
      <c r="F4822" s="2"/>
      <c r="G4822" s="2"/>
      <c r="H4822" s="2"/>
      <c r="I4822" s="2"/>
      <c r="J4822" s="2"/>
      <c r="K4822" s="2"/>
      <c r="L4822" s="2"/>
      <c r="M4822" s="2"/>
      <c r="N4822" s="2"/>
      <c r="O4822" s="2"/>
      <c r="P4822" s="2"/>
      <c r="Q4822" s="2"/>
      <c r="R4822" s="2"/>
      <c r="S4822" s="2"/>
      <c r="T4822" s="2"/>
      <c r="U4822" s="2"/>
      <c r="V4822" s="2"/>
      <c r="W4822" s="2"/>
    </row>
    <row r="4823" spans="1:23" x14ac:dyDescent="0.25">
      <c r="A4823" s="2"/>
      <c r="B4823" s="2"/>
      <c r="C4823" s="1"/>
      <c r="D4823" s="2"/>
      <c r="E4823" s="2"/>
      <c r="F4823" s="2"/>
      <c r="G4823" s="2"/>
      <c r="H4823" s="2"/>
      <c r="I4823" s="2"/>
      <c r="J4823" s="2"/>
      <c r="K4823" s="2"/>
      <c r="L4823" s="2"/>
      <c r="M4823" s="2"/>
      <c r="N4823" s="2"/>
      <c r="O4823" s="2"/>
      <c r="P4823" s="2"/>
      <c r="Q4823" s="2"/>
      <c r="R4823" s="2"/>
      <c r="S4823" s="2"/>
      <c r="T4823" s="2"/>
      <c r="U4823" s="2"/>
      <c r="V4823" s="2"/>
      <c r="W4823" s="2"/>
    </row>
    <row r="4824" spans="1:23" x14ac:dyDescent="0.25">
      <c r="A4824" s="2"/>
      <c r="B4824" s="2"/>
      <c r="C4824" s="1"/>
      <c r="D4824" s="2"/>
      <c r="E4824" s="2"/>
      <c r="F4824" s="2"/>
      <c r="G4824" s="2"/>
      <c r="H4824" s="2"/>
      <c r="I4824" s="2"/>
      <c r="J4824" s="2"/>
      <c r="K4824" s="2"/>
      <c r="L4824" s="2"/>
      <c r="M4824" s="2"/>
      <c r="N4824" s="2"/>
      <c r="O4824" s="2"/>
      <c r="P4824" s="2"/>
      <c r="Q4824" s="2"/>
      <c r="R4824" s="2"/>
      <c r="S4824" s="2"/>
      <c r="T4824" s="2"/>
      <c r="U4824" s="2"/>
      <c r="V4824" s="2"/>
      <c r="W4824" s="2"/>
    </row>
    <row r="4825" spans="1:23" x14ac:dyDescent="0.25">
      <c r="A4825" s="2"/>
      <c r="B4825" s="2"/>
      <c r="C4825" s="1"/>
      <c r="D4825" s="2"/>
      <c r="E4825" s="2"/>
      <c r="F4825" s="2"/>
      <c r="G4825" s="2"/>
      <c r="H4825" s="2"/>
      <c r="I4825" s="2"/>
      <c r="J4825" s="2"/>
      <c r="K4825" s="2"/>
      <c r="L4825" s="2"/>
      <c r="M4825" s="2"/>
      <c r="N4825" s="2"/>
      <c r="O4825" s="2"/>
      <c r="P4825" s="2"/>
      <c r="Q4825" s="2"/>
      <c r="R4825" s="2"/>
      <c r="S4825" s="2"/>
      <c r="T4825" s="2"/>
      <c r="U4825" s="2"/>
      <c r="V4825" s="2"/>
      <c r="W4825" s="2"/>
    </row>
    <row r="4826" spans="1:23" x14ac:dyDescent="0.25">
      <c r="A4826" s="2"/>
      <c r="B4826" s="2"/>
      <c r="C4826" s="1"/>
      <c r="D4826" s="2"/>
      <c r="E4826" s="2"/>
      <c r="F4826" s="2"/>
      <c r="G4826" s="2"/>
      <c r="H4826" s="2"/>
      <c r="I4826" s="2"/>
      <c r="J4826" s="2"/>
      <c r="K4826" s="2"/>
      <c r="L4826" s="2"/>
      <c r="M4826" s="2"/>
      <c r="N4826" s="2"/>
      <c r="O4826" s="2"/>
      <c r="P4826" s="2"/>
      <c r="Q4826" s="2"/>
      <c r="R4826" s="2"/>
      <c r="S4826" s="2"/>
      <c r="T4826" s="2"/>
      <c r="U4826" s="2"/>
      <c r="V4826" s="2"/>
      <c r="W4826" s="2"/>
    </row>
    <row r="4827" spans="1:23" x14ac:dyDescent="0.25">
      <c r="A4827" s="2"/>
      <c r="B4827" s="2"/>
      <c r="C4827" s="1"/>
      <c r="D4827" s="2"/>
      <c r="E4827" s="2"/>
      <c r="F4827" s="2"/>
      <c r="G4827" s="2"/>
      <c r="H4827" s="2"/>
      <c r="I4827" s="2"/>
      <c r="J4827" s="2"/>
      <c r="K4827" s="2"/>
      <c r="L4827" s="2"/>
      <c r="M4827" s="2"/>
      <c r="N4827" s="2"/>
      <c r="O4827" s="2"/>
      <c r="P4827" s="2"/>
      <c r="Q4827" s="2"/>
      <c r="R4827" s="2"/>
      <c r="S4827" s="2"/>
      <c r="T4827" s="2"/>
      <c r="U4827" s="2"/>
      <c r="V4827" s="2"/>
      <c r="W4827" s="2"/>
    </row>
    <row r="4828" spans="1:23" x14ac:dyDescent="0.25">
      <c r="A4828" s="2"/>
      <c r="B4828" s="2"/>
      <c r="C4828" s="1"/>
      <c r="D4828" s="2"/>
      <c r="E4828" s="2"/>
      <c r="F4828" s="2"/>
      <c r="G4828" s="2"/>
      <c r="H4828" s="2"/>
      <c r="I4828" s="2"/>
      <c r="J4828" s="2"/>
      <c r="K4828" s="2"/>
      <c r="L4828" s="2"/>
      <c r="M4828" s="2"/>
      <c r="N4828" s="2"/>
      <c r="O4828" s="2"/>
      <c r="P4828" s="2"/>
      <c r="Q4828" s="2"/>
      <c r="R4828" s="2"/>
      <c r="S4828" s="2"/>
      <c r="T4828" s="2"/>
      <c r="U4828" s="2"/>
      <c r="V4828" s="2"/>
      <c r="W4828" s="2"/>
    </row>
    <row r="4829" spans="1:23" x14ac:dyDescent="0.25">
      <c r="A4829" s="2"/>
      <c r="B4829" s="2"/>
      <c r="C4829" s="1"/>
      <c r="D4829" s="2"/>
      <c r="E4829" s="2"/>
      <c r="F4829" s="2"/>
      <c r="G4829" s="2"/>
      <c r="H4829" s="2"/>
      <c r="I4829" s="2"/>
      <c r="J4829" s="2"/>
      <c r="K4829" s="2"/>
      <c r="L4829" s="2"/>
      <c r="M4829" s="2"/>
      <c r="N4829" s="2"/>
      <c r="O4829" s="2"/>
      <c r="P4829" s="2"/>
      <c r="Q4829" s="2"/>
      <c r="R4829" s="2"/>
      <c r="S4829" s="2"/>
      <c r="T4829" s="2"/>
      <c r="U4829" s="2"/>
      <c r="V4829" s="2"/>
      <c r="W4829" s="2"/>
    </row>
    <row r="4830" spans="1:23" x14ac:dyDescent="0.25">
      <c r="A4830" s="2"/>
      <c r="B4830" s="2"/>
      <c r="C4830" s="1"/>
      <c r="D4830" s="2"/>
      <c r="E4830" s="2"/>
      <c r="F4830" s="2"/>
      <c r="G4830" s="2"/>
      <c r="H4830" s="2"/>
      <c r="I4830" s="2"/>
      <c r="J4830" s="2"/>
      <c r="K4830" s="2"/>
      <c r="L4830" s="2"/>
      <c r="M4830" s="2"/>
      <c r="N4830" s="2"/>
      <c r="O4830" s="2"/>
      <c r="P4830" s="2"/>
      <c r="Q4830" s="2"/>
      <c r="R4830" s="2"/>
      <c r="S4830" s="2"/>
      <c r="T4830" s="2"/>
      <c r="U4830" s="2"/>
      <c r="V4830" s="2"/>
      <c r="W4830" s="2"/>
    </row>
    <row r="4831" spans="1:23" x14ac:dyDescent="0.25">
      <c r="A4831" s="2"/>
      <c r="B4831" s="2"/>
      <c r="C4831" s="1"/>
      <c r="D4831" s="2"/>
      <c r="E4831" s="2"/>
      <c r="F4831" s="2"/>
      <c r="G4831" s="2"/>
      <c r="H4831" s="2"/>
      <c r="I4831" s="2"/>
      <c r="J4831" s="2"/>
      <c r="K4831" s="2"/>
      <c r="L4831" s="2"/>
      <c r="M4831" s="2"/>
      <c r="N4831" s="2"/>
      <c r="O4831" s="2"/>
      <c r="P4831" s="2"/>
      <c r="Q4831" s="2"/>
      <c r="R4831" s="2"/>
      <c r="S4831" s="2"/>
      <c r="T4831" s="2"/>
      <c r="U4831" s="2"/>
      <c r="V4831" s="2"/>
      <c r="W4831" s="2"/>
    </row>
    <row r="4832" spans="1:23" x14ac:dyDescent="0.25">
      <c r="A4832" s="2"/>
      <c r="B4832" s="2"/>
      <c r="C4832" s="1"/>
      <c r="D4832" s="2"/>
      <c r="E4832" s="2"/>
      <c r="F4832" s="2"/>
      <c r="G4832" s="2"/>
      <c r="H4832" s="2"/>
      <c r="I4832" s="2"/>
      <c r="J4832" s="2"/>
      <c r="K4832" s="2"/>
      <c r="L4832" s="2"/>
      <c r="M4832" s="2"/>
      <c r="N4832" s="2"/>
      <c r="O4832" s="2"/>
      <c r="P4832" s="2"/>
      <c r="Q4832" s="2"/>
      <c r="R4832" s="2"/>
      <c r="S4832" s="2"/>
      <c r="T4832" s="2"/>
      <c r="U4832" s="2"/>
      <c r="V4832" s="2"/>
      <c r="W4832" s="2"/>
    </row>
    <row r="4833" spans="1:23" x14ac:dyDescent="0.25">
      <c r="A4833" s="2"/>
      <c r="B4833" s="2"/>
      <c r="C4833" s="1"/>
      <c r="D4833" s="2"/>
      <c r="E4833" s="2"/>
      <c r="F4833" s="2"/>
      <c r="G4833" s="2"/>
      <c r="H4833" s="2"/>
      <c r="I4833" s="2"/>
      <c r="J4833" s="2"/>
      <c r="K4833" s="2"/>
      <c r="L4833" s="2"/>
      <c r="M4833" s="2"/>
      <c r="N4833" s="2"/>
      <c r="O4833" s="2"/>
      <c r="P4833" s="2"/>
      <c r="Q4833" s="2"/>
      <c r="R4833" s="2"/>
      <c r="S4833" s="2"/>
      <c r="T4833" s="2"/>
      <c r="U4833" s="2"/>
      <c r="V4833" s="2"/>
      <c r="W4833" s="2"/>
    </row>
    <row r="4834" spans="1:23" x14ac:dyDescent="0.25">
      <c r="A4834" s="2"/>
      <c r="B4834" s="2"/>
      <c r="C4834" s="1"/>
      <c r="D4834" s="2"/>
      <c r="E4834" s="2"/>
      <c r="F4834" s="2"/>
      <c r="G4834" s="2"/>
      <c r="H4834" s="2"/>
      <c r="I4834" s="2"/>
      <c r="J4834" s="2"/>
      <c r="K4834" s="2"/>
      <c r="L4834" s="2"/>
      <c r="M4834" s="2"/>
      <c r="N4834" s="2"/>
      <c r="O4834" s="2"/>
      <c r="P4834" s="2"/>
      <c r="Q4834" s="2"/>
      <c r="R4834" s="2"/>
      <c r="S4834" s="2"/>
      <c r="T4834" s="2"/>
      <c r="U4834" s="2"/>
      <c r="V4834" s="2"/>
      <c r="W4834" s="2"/>
    </row>
    <row r="4835" spans="1:23" x14ac:dyDescent="0.25">
      <c r="A4835" s="2"/>
      <c r="B4835" s="2"/>
      <c r="C4835" s="1"/>
      <c r="D4835" s="2"/>
      <c r="E4835" s="2"/>
      <c r="F4835" s="2"/>
      <c r="G4835" s="2"/>
      <c r="H4835" s="2"/>
      <c r="I4835" s="2"/>
      <c r="J4835" s="2"/>
      <c r="K4835" s="2"/>
      <c r="L4835" s="2"/>
      <c r="M4835" s="2"/>
      <c r="N4835" s="2"/>
      <c r="O4835" s="2"/>
      <c r="P4835" s="2"/>
      <c r="Q4835" s="2"/>
      <c r="R4835" s="2"/>
      <c r="S4835" s="2"/>
      <c r="T4835" s="2"/>
      <c r="U4835" s="2"/>
      <c r="V4835" s="2"/>
      <c r="W4835" s="2"/>
    </row>
    <row r="4836" spans="1:23" x14ac:dyDescent="0.25">
      <c r="A4836" s="2"/>
      <c r="B4836" s="2"/>
      <c r="C4836" s="1"/>
      <c r="D4836" s="2"/>
      <c r="E4836" s="2"/>
      <c r="F4836" s="2"/>
      <c r="G4836" s="2"/>
      <c r="H4836" s="2"/>
      <c r="I4836" s="2"/>
      <c r="J4836" s="2"/>
      <c r="K4836" s="2"/>
      <c r="L4836" s="2"/>
      <c r="M4836" s="2"/>
      <c r="N4836" s="2"/>
      <c r="O4836" s="2"/>
      <c r="P4836" s="2"/>
      <c r="Q4836" s="2"/>
      <c r="R4836" s="2"/>
      <c r="S4836" s="2"/>
      <c r="T4836" s="2"/>
      <c r="U4836" s="2"/>
      <c r="V4836" s="2"/>
      <c r="W4836" s="2"/>
    </row>
    <row r="4837" spans="1:23" x14ac:dyDescent="0.25">
      <c r="A4837" s="2"/>
      <c r="B4837" s="2"/>
      <c r="C4837" s="1"/>
      <c r="D4837" s="2"/>
      <c r="E4837" s="2"/>
      <c r="F4837" s="2"/>
      <c r="G4837" s="2"/>
      <c r="H4837" s="2"/>
      <c r="I4837" s="2"/>
      <c r="J4837" s="2"/>
      <c r="K4837" s="2"/>
      <c r="L4837" s="2"/>
      <c r="M4837" s="2"/>
      <c r="N4837" s="2"/>
      <c r="O4837" s="2"/>
      <c r="P4837" s="2"/>
      <c r="Q4837" s="2"/>
      <c r="R4837" s="2"/>
      <c r="S4837" s="2"/>
      <c r="T4837" s="2"/>
      <c r="U4837" s="2"/>
      <c r="V4837" s="2"/>
      <c r="W4837" s="2"/>
    </row>
    <row r="4838" spans="1:23" x14ac:dyDescent="0.25">
      <c r="A4838" s="2"/>
      <c r="B4838" s="2"/>
      <c r="C4838" s="1"/>
      <c r="D4838" s="2"/>
      <c r="E4838" s="2"/>
      <c r="F4838" s="2"/>
      <c r="G4838" s="2"/>
      <c r="H4838" s="2"/>
      <c r="I4838" s="2"/>
      <c r="J4838" s="2"/>
      <c r="K4838" s="2"/>
      <c r="L4838" s="2"/>
      <c r="M4838" s="2"/>
      <c r="N4838" s="2"/>
      <c r="O4838" s="2"/>
      <c r="P4838" s="2"/>
      <c r="Q4838" s="2"/>
      <c r="R4838" s="2"/>
      <c r="S4838" s="2"/>
      <c r="T4838" s="2"/>
      <c r="U4838" s="2"/>
      <c r="V4838" s="2"/>
      <c r="W4838" s="2"/>
    </row>
    <row r="4839" spans="1:23" x14ac:dyDescent="0.25">
      <c r="A4839" s="2"/>
      <c r="B4839" s="2"/>
      <c r="C4839" s="1"/>
      <c r="D4839" s="2"/>
      <c r="E4839" s="2"/>
      <c r="F4839" s="2"/>
      <c r="G4839" s="2"/>
      <c r="H4839" s="2"/>
      <c r="I4839" s="2"/>
      <c r="J4839" s="2"/>
      <c r="K4839" s="2"/>
      <c r="L4839" s="2"/>
      <c r="M4839" s="2"/>
      <c r="N4839" s="2"/>
      <c r="O4839" s="2"/>
      <c r="P4839" s="2"/>
      <c r="Q4839" s="2"/>
      <c r="R4839" s="2"/>
      <c r="S4839" s="2"/>
      <c r="T4839" s="2"/>
      <c r="U4839" s="2"/>
      <c r="V4839" s="2"/>
      <c r="W4839" s="2"/>
    </row>
    <row r="4840" spans="1:23" x14ac:dyDescent="0.25">
      <c r="A4840" s="2"/>
      <c r="B4840" s="2"/>
      <c r="C4840" s="1"/>
      <c r="D4840" s="2"/>
      <c r="E4840" s="2"/>
      <c r="F4840" s="2"/>
      <c r="G4840" s="2"/>
      <c r="H4840" s="2"/>
      <c r="I4840" s="2"/>
      <c r="J4840" s="2"/>
      <c r="K4840" s="2"/>
      <c r="L4840" s="2"/>
      <c r="M4840" s="2"/>
      <c r="N4840" s="2"/>
      <c r="O4840" s="2"/>
      <c r="P4840" s="2"/>
      <c r="Q4840" s="2"/>
      <c r="R4840" s="2"/>
      <c r="S4840" s="2"/>
      <c r="T4840" s="2"/>
      <c r="U4840" s="2"/>
      <c r="V4840" s="2"/>
      <c r="W4840" s="2"/>
    </row>
    <row r="4841" spans="1:23" x14ac:dyDescent="0.25">
      <c r="A4841" s="2"/>
      <c r="B4841" s="2"/>
      <c r="C4841" s="1"/>
      <c r="D4841" s="2"/>
      <c r="E4841" s="2"/>
      <c r="F4841" s="2"/>
      <c r="G4841" s="2"/>
      <c r="H4841" s="2"/>
      <c r="I4841" s="2"/>
      <c r="J4841" s="2"/>
      <c r="K4841" s="2"/>
      <c r="L4841" s="2"/>
      <c r="M4841" s="2"/>
      <c r="N4841" s="2"/>
      <c r="O4841" s="2"/>
      <c r="P4841" s="2"/>
      <c r="Q4841" s="2"/>
      <c r="R4841" s="2"/>
      <c r="S4841" s="2"/>
      <c r="T4841" s="2"/>
      <c r="U4841" s="2"/>
      <c r="V4841" s="2"/>
      <c r="W4841" s="2"/>
    </row>
    <row r="4842" spans="1:23" x14ac:dyDescent="0.25">
      <c r="A4842" s="2"/>
      <c r="B4842" s="2"/>
      <c r="C4842" s="1"/>
      <c r="D4842" s="2"/>
      <c r="E4842" s="2"/>
      <c r="F4842" s="2"/>
      <c r="G4842" s="2"/>
      <c r="H4842" s="2"/>
      <c r="I4842" s="2"/>
      <c r="J4842" s="2"/>
      <c r="K4842" s="2"/>
      <c r="L4842" s="2"/>
      <c r="M4842" s="2"/>
      <c r="N4842" s="2"/>
      <c r="O4842" s="2"/>
      <c r="P4842" s="2"/>
      <c r="Q4842" s="2"/>
      <c r="R4842" s="2"/>
      <c r="S4842" s="2"/>
      <c r="T4842" s="2"/>
      <c r="U4842" s="2"/>
      <c r="V4842" s="2"/>
      <c r="W4842" s="2"/>
    </row>
    <row r="4843" spans="1:23" x14ac:dyDescent="0.25">
      <c r="A4843" s="2"/>
      <c r="B4843" s="2"/>
      <c r="C4843" s="1"/>
      <c r="D4843" s="2"/>
      <c r="E4843" s="2"/>
      <c r="F4843" s="2"/>
      <c r="G4843" s="2"/>
      <c r="H4843" s="2"/>
      <c r="I4843" s="2"/>
      <c r="J4843" s="2"/>
      <c r="K4843" s="2"/>
      <c r="L4843" s="2"/>
      <c r="M4843" s="2"/>
      <c r="N4843" s="2"/>
      <c r="O4843" s="2"/>
      <c r="P4843" s="2"/>
      <c r="Q4843" s="2"/>
      <c r="R4843" s="2"/>
      <c r="S4843" s="2"/>
      <c r="T4843" s="2"/>
      <c r="U4843" s="2"/>
      <c r="V4843" s="2"/>
      <c r="W4843" s="2"/>
    </row>
    <row r="4844" spans="1:23" x14ac:dyDescent="0.25">
      <c r="A4844" s="2"/>
      <c r="B4844" s="2"/>
      <c r="C4844" s="1"/>
      <c r="D4844" s="2"/>
      <c r="E4844" s="2"/>
      <c r="F4844" s="2"/>
      <c r="G4844" s="2"/>
      <c r="H4844" s="2"/>
      <c r="I4844" s="2"/>
      <c r="J4844" s="2"/>
      <c r="K4844" s="2"/>
      <c r="L4844" s="2"/>
      <c r="M4844" s="2"/>
      <c r="N4844" s="2"/>
      <c r="O4844" s="2"/>
      <c r="P4844" s="2"/>
      <c r="Q4844" s="2"/>
      <c r="R4844" s="2"/>
      <c r="S4844" s="2"/>
      <c r="T4844" s="2"/>
      <c r="U4844" s="2"/>
      <c r="V4844" s="2"/>
      <c r="W4844" s="2"/>
    </row>
    <row r="4845" spans="1:23" x14ac:dyDescent="0.25">
      <c r="A4845" s="2"/>
      <c r="B4845" s="2"/>
      <c r="C4845" s="1"/>
      <c r="D4845" s="2"/>
      <c r="E4845" s="2"/>
      <c r="F4845" s="2"/>
      <c r="G4845" s="2"/>
      <c r="H4845" s="2"/>
      <c r="I4845" s="2"/>
      <c r="J4845" s="2"/>
      <c r="K4845" s="2"/>
      <c r="L4845" s="2"/>
      <c r="M4845" s="2"/>
      <c r="N4845" s="2"/>
      <c r="O4845" s="2"/>
      <c r="P4845" s="2"/>
      <c r="Q4845" s="2"/>
      <c r="R4845" s="2"/>
      <c r="S4845" s="2"/>
      <c r="T4845" s="2"/>
      <c r="U4845" s="2"/>
      <c r="V4845" s="2"/>
      <c r="W4845" s="2"/>
    </row>
    <row r="4846" spans="1:23" x14ac:dyDescent="0.25">
      <c r="A4846" s="2"/>
      <c r="B4846" s="2"/>
      <c r="C4846" s="1"/>
      <c r="D4846" s="2"/>
      <c r="E4846" s="2"/>
      <c r="F4846" s="2"/>
      <c r="G4846" s="2"/>
      <c r="H4846" s="2"/>
      <c r="I4846" s="2"/>
      <c r="J4846" s="2"/>
      <c r="K4846" s="2"/>
      <c r="L4846" s="2"/>
      <c r="M4846" s="2"/>
      <c r="N4846" s="2"/>
      <c r="O4846" s="2"/>
      <c r="P4846" s="2"/>
      <c r="Q4846" s="2"/>
      <c r="R4846" s="2"/>
      <c r="S4846" s="2"/>
      <c r="T4846" s="2"/>
      <c r="U4846" s="2"/>
      <c r="V4846" s="2"/>
      <c r="W4846" s="2"/>
    </row>
    <row r="4847" spans="1:23" x14ac:dyDescent="0.25">
      <c r="A4847" s="2"/>
      <c r="B4847" s="2"/>
      <c r="C4847" s="1"/>
      <c r="D4847" s="2"/>
      <c r="E4847" s="2"/>
      <c r="F4847" s="2"/>
      <c r="G4847" s="2"/>
      <c r="H4847" s="2"/>
      <c r="I4847" s="2"/>
      <c r="J4847" s="2"/>
      <c r="K4847" s="2"/>
      <c r="L4847" s="2"/>
      <c r="M4847" s="2"/>
      <c r="N4847" s="2"/>
      <c r="O4847" s="2"/>
      <c r="P4847" s="2"/>
      <c r="Q4847" s="2"/>
      <c r="R4847" s="2"/>
      <c r="S4847" s="2"/>
      <c r="T4847" s="2"/>
      <c r="U4847" s="2"/>
      <c r="V4847" s="2"/>
      <c r="W4847" s="2"/>
    </row>
    <row r="4848" spans="1:23" x14ac:dyDescent="0.25">
      <c r="A4848" s="2"/>
      <c r="B4848" s="2"/>
      <c r="C4848" s="1"/>
      <c r="D4848" s="2"/>
      <c r="E4848" s="2"/>
      <c r="F4848" s="2"/>
      <c r="G4848" s="2"/>
      <c r="H4848" s="2"/>
      <c r="I4848" s="2"/>
      <c r="J4848" s="2"/>
      <c r="K4848" s="2"/>
      <c r="L4848" s="2"/>
      <c r="M4848" s="2"/>
      <c r="N4848" s="2"/>
      <c r="O4848" s="2"/>
      <c r="P4848" s="2"/>
      <c r="Q4848" s="2"/>
      <c r="R4848" s="2"/>
      <c r="S4848" s="2"/>
      <c r="T4848" s="2"/>
      <c r="U4848" s="2"/>
      <c r="V4848" s="2"/>
      <c r="W4848" s="2"/>
    </row>
    <row r="4849" spans="1:23" x14ac:dyDescent="0.25">
      <c r="A4849" s="2"/>
      <c r="B4849" s="2"/>
      <c r="C4849" s="1"/>
      <c r="D4849" s="2"/>
      <c r="E4849" s="2"/>
      <c r="F4849" s="2"/>
      <c r="G4849" s="2"/>
      <c r="H4849" s="2"/>
      <c r="I4849" s="2"/>
      <c r="J4849" s="2"/>
      <c r="K4849" s="2"/>
      <c r="L4849" s="2"/>
      <c r="M4849" s="2"/>
      <c r="N4849" s="2"/>
      <c r="O4849" s="2"/>
      <c r="P4849" s="2"/>
      <c r="Q4849" s="2"/>
      <c r="R4849" s="2"/>
      <c r="S4849" s="2"/>
      <c r="T4849" s="2"/>
      <c r="U4849" s="2"/>
      <c r="V4849" s="2"/>
      <c r="W4849" s="2"/>
    </row>
    <row r="4850" spans="1:23" x14ac:dyDescent="0.25">
      <c r="A4850" s="2"/>
      <c r="B4850" s="2"/>
      <c r="C4850" s="1"/>
      <c r="D4850" s="2"/>
      <c r="E4850" s="2"/>
      <c r="F4850" s="2"/>
      <c r="G4850" s="2"/>
      <c r="H4850" s="2"/>
      <c r="I4850" s="2"/>
      <c r="J4850" s="2"/>
      <c r="K4850" s="2"/>
      <c r="L4850" s="2"/>
      <c r="M4850" s="2"/>
      <c r="N4850" s="2"/>
      <c r="O4850" s="2"/>
      <c r="P4850" s="2"/>
      <c r="Q4850" s="2"/>
      <c r="R4850" s="2"/>
      <c r="S4850" s="2"/>
      <c r="T4850" s="2"/>
      <c r="U4850" s="2"/>
      <c r="V4850" s="2"/>
      <c r="W4850" s="2"/>
    </row>
    <row r="4851" spans="1:23" x14ac:dyDescent="0.25">
      <c r="A4851" s="2"/>
      <c r="B4851" s="2"/>
      <c r="C4851" s="1"/>
      <c r="D4851" s="2"/>
      <c r="E4851" s="2"/>
      <c r="F4851" s="2"/>
      <c r="G4851" s="2"/>
      <c r="H4851" s="2"/>
      <c r="I4851" s="2"/>
      <c r="J4851" s="2"/>
      <c r="K4851" s="2"/>
      <c r="L4851" s="2"/>
      <c r="M4851" s="2"/>
      <c r="N4851" s="2"/>
      <c r="O4851" s="2"/>
      <c r="P4851" s="2"/>
      <c r="Q4851" s="2"/>
      <c r="R4851" s="2"/>
      <c r="S4851" s="2"/>
      <c r="T4851" s="2"/>
      <c r="U4851" s="2"/>
      <c r="V4851" s="2"/>
      <c r="W4851" s="2"/>
    </row>
    <row r="4852" spans="1:23" x14ac:dyDescent="0.25">
      <c r="A4852" s="2"/>
      <c r="B4852" s="2"/>
      <c r="C4852" s="1"/>
      <c r="D4852" s="2"/>
      <c r="E4852" s="2"/>
      <c r="F4852" s="2"/>
      <c r="G4852" s="2"/>
      <c r="H4852" s="2"/>
      <c r="I4852" s="2"/>
      <c r="J4852" s="2"/>
      <c r="K4852" s="2"/>
      <c r="L4852" s="2"/>
      <c r="M4852" s="2"/>
      <c r="N4852" s="2"/>
      <c r="O4852" s="2"/>
      <c r="P4852" s="2"/>
      <c r="Q4852" s="2"/>
      <c r="R4852" s="2"/>
      <c r="S4852" s="2"/>
      <c r="T4852" s="2"/>
      <c r="U4852" s="2"/>
      <c r="V4852" s="2"/>
      <c r="W4852" s="2"/>
    </row>
    <row r="4853" spans="1:23" x14ac:dyDescent="0.25">
      <c r="A4853" s="2"/>
      <c r="B4853" s="2"/>
      <c r="C4853" s="1"/>
      <c r="D4853" s="2"/>
      <c r="E4853" s="2"/>
      <c r="F4853" s="2"/>
      <c r="G4853" s="2"/>
      <c r="H4853" s="2"/>
      <c r="I4853" s="2"/>
      <c r="J4853" s="2"/>
      <c r="K4853" s="2"/>
      <c r="L4853" s="2"/>
      <c r="M4853" s="2"/>
      <c r="N4853" s="2"/>
      <c r="O4853" s="2"/>
      <c r="P4853" s="2"/>
      <c r="Q4853" s="2"/>
      <c r="R4853" s="2"/>
      <c r="S4853" s="2"/>
      <c r="T4853" s="2"/>
      <c r="U4853" s="2"/>
      <c r="V4853" s="2"/>
      <c r="W4853" s="2"/>
    </row>
    <row r="4854" spans="1:23" x14ac:dyDescent="0.25">
      <c r="A4854" s="2"/>
      <c r="B4854" s="2"/>
      <c r="C4854" s="1"/>
      <c r="D4854" s="2"/>
      <c r="E4854" s="2"/>
      <c r="F4854" s="2"/>
      <c r="G4854" s="2"/>
      <c r="H4854" s="2"/>
      <c r="I4854" s="2"/>
      <c r="J4854" s="2"/>
      <c r="K4854" s="2"/>
      <c r="L4854" s="2"/>
      <c r="M4854" s="2"/>
      <c r="N4854" s="2"/>
      <c r="O4854" s="2"/>
      <c r="P4854" s="2"/>
      <c r="Q4854" s="2"/>
      <c r="R4854" s="2"/>
      <c r="S4854" s="2"/>
      <c r="T4854" s="2"/>
      <c r="U4854" s="2"/>
      <c r="V4854" s="2"/>
      <c r="W4854" s="2"/>
    </row>
    <row r="4855" spans="1:23" x14ac:dyDescent="0.25">
      <c r="A4855" s="2"/>
      <c r="B4855" s="2"/>
      <c r="C4855" s="1"/>
      <c r="D4855" s="2"/>
      <c r="E4855" s="2"/>
      <c r="F4855" s="2"/>
      <c r="G4855" s="2"/>
      <c r="H4855" s="2"/>
      <c r="I4855" s="2"/>
      <c r="J4855" s="2"/>
      <c r="K4855" s="2"/>
      <c r="L4855" s="2"/>
      <c r="M4855" s="2"/>
      <c r="N4855" s="2"/>
      <c r="O4855" s="2"/>
      <c r="P4855" s="2"/>
      <c r="Q4855" s="2"/>
      <c r="R4855" s="2"/>
      <c r="S4855" s="2"/>
      <c r="T4855" s="2"/>
      <c r="U4855" s="2"/>
      <c r="V4855" s="2"/>
      <c r="W4855" s="2"/>
    </row>
    <row r="4856" spans="1:23" x14ac:dyDescent="0.25">
      <c r="A4856" s="2"/>
      <c r="B4856" s="2"/>
      <c r="C4856" s="1"/>
      <c r="D4856" s="2"/>
      <c r="E4856" s="2"/>
      <c r="F4856" s="2"/>
      <c r="G4856" s="2"/>
      <c r="H4856" s="2"/>
      <c r="I4856" s="2"/>
      <c r="J4856" s="2"/>
      <c r="K4856" s="2"/>
      <c r="L4856" s="2"/>
      <c r="M4856" s="2"/>
      <c r="N4856" s="2"/>
      <c r="O4856" s="2"/>
      <c r="P4856" s="2"/>
      <c r="Q4856" s="2"/>
      <c r="R4856" s="2"/>
      <c r="S4856" s="2"/>
      <c r="T4856" s="2"/>
      <c r="U4856" s="2"/>
      <c r="V4856" s="2"/>
      <c r="W4856" s="2"/>
    </row>
    <row r="4857" spans="1:23" x14ac:dyDescent="0.25">
      <c r="A4857" s="2"/>
      <c r="B4857" s="2"/>
      <c r="C4857" s="1"/>
      <c r="D4857" s="2"/>
      <c r="E4857" s="2"/>
      <c r="F4857" s="2"/>
      <c r="G4857" s="2"/>
      <c r="H4857" s="2"/>
      <c r="I4857" s="2"/>
      <c r="J4857" s="2"/>
      <c r="K4857" s="2"/>
      <c r="L4857" s="2"/>
      <c r="M4857" s="2"/>
      <c r="N4857" s="2"/>
      <c r="O4857" s="2"/>
      <c r="P4857" s="2"/>
      <c r="Q4857" s="2"/>
      <c r="R4857" s="2"/>
      <c r="S4857" s="2"/>
      <c r="T4857" s="2"/>
      <c r="U4857" s="2"/>
      <c r="V4857" s="2"/>
      <c r="W4857" s="2"/>
    </row>
    <row r="4858" spans="1:23" x14ac:dyDescent="0.25">
      <c r="A4858" s="2"/>
      <c r="B4858" s="2"/>
      <c r="C4858" s="1"/>
      <c r="D4858" s="2"/>
      <c r="E4858" s="2"/>
      <c r="F4858" s="2"/>
      <c r="G4858" s="2"/>
      <c r="H4858" s="2"/>
      <c r="I4858" s="2"/>
      <c r="J4858" s="2"/>
      <c r="K4858" s="2"/>
      <c r="L4858" s="2"/>
      <c r="M4858" s="2"/>
      <c r="N4858" s="2"/>
      <c r="O4858" s="2"/>
      <c r="P4858" s="2"/>
      <c r="Q4858" s="2"/>
      <c r="R4858" s="2"/>
      <c r="S4858" s="2"/>
      <c r="T4858" s="2"/>
      <c r="U4858" s="2"/>
      <c r="V4858" s="2"/>
      <c r="W4858" s="2"/>
    </row>
    <row r="4859" spans="1:23" x14ac:dyDescent="0.25">
      <c r="A4859" s="2"/>
      <c r="B4859" s="2"/>
      <c r="C4859" s="1"/>
      <c r="D4859" s="2"/>
      <c r="E4859" s="2"/>
      <c r="F4859" s="2"/>
      <c r="G4859" s="2"/>
      <c r="H4859" s="2"/>
      <c r="I4859" s="2"/>
      <c r="J4859" s="2"/>
      <c r="K4859" s="2"/>
      <c r="L4859" s="2"/>
      <c r="M4859" s="2"/>
      <c r="N4859" s="2"/>
      <c r="O4859" s="2"/>
      <c r="P4859" s="2"/>
      <c r="Q4859" s="2"/>
      <c r="R4859" s="2"/>
      <c r="S4859" s="2"/>
      <c r="T4859" s="2"/>
      <c r="U4859" s="2"/>
      <c r="V4859" s="2"/>
      <c r="W4859" s="2"/>
    </row>
    <row r="4860" spans="1:23" x14ac:dyDescent="0.25">
      <c r="A4860" s="2"/>
      <c r="B4860" s="2"/>
      <c r="C4860" s="1"/>
      <c r="D4860" s="2"/>
      <c r="E4860" s="2"/>
      <c r="F4860" s="2"/>
      <c r="G4860" s="2"/>
      <c r="H4860" s="2"/>
      <c r="I4860" s="2"/>
      <c r="J4860" s="2"/>
      <c r="K4860" s="2"/>
      <c r="L4860" s="2"/>
      <c r="M4860" s="2"/>
      <c r="N4860" s="2"/>
      <c r="O4860" s="2"/>
      <c r="P4860" s="2"/>
      <c r="Q4860" s="2"/>
      <c r="R4860" s="2"/>
      <c r="S4860" s="2"/>
      <c r="T4860" s="2"/>
      <c r="U4860" s="2"/>
      <c r="V4860" s="2"/>
      <c r="W4860" s="2"/>
    </row>
    <row r="4861" spans="1:23" x14ac:dyDescent="0.25">
      <c r="A4861" s="2"/>
      <c r="B4861" s="2"/>
      <c r="C4861" s="1"/>
      <c r="D4861" s="2"/>
      <c r="E4861" s="2"/>
      <c r="F4861" s="2"/>
      <c r="G4861" s="2"/>
      <c r="H4861" s="2"/>
      <c r="I4861" s="2"/>
      <c r="J4861" s="2"/>
      <c r="K4861" s="2"/>
      <c r="L4861" s="2"/>
      <c r="M4861" s="2"/>
      <c r="N4861" s="2"/>
      <c r="O4861" s="2"/>
      <c r="P4861" s="2"/>
      <c r="Q4861" s="2"/>
      <c r="R4861" s="2"/>
      <c r="S4861" s="2"/>
      <c r="T4861" s="2"/>
      <c r="U4861" s="2"/>
      <c r="V4861" s="2"/>
      <c r="W4861" s="2"/>
    </row>
    <row r="4862" spans="1:23" x14ac:dyDescent="0.25">
      <c r="A4862" s="2"/>
      <c r="B4862" s="2"/>
      <c r="C4862" s="1"/>
      <c r="D4862" s="2"/>
      <c r="E4862" s="2"/>
      <c r="F4862" s="2"/>
      <c r="G4862" s="2"/>
      <c r="H4862" s="2"/>
      <c r="I4862" s="2"/>
      <c r="J4862" s="2"/>
      <c r="K4862" s="2"/>
      <c r="L4862" s="2"/>
      <c r="M4862" s="2"/>
      <c r="N4862" s="2"/>
      <c r="O4862" s="2"/>
      <c r="P4862" s="2"/>
      <c r="Q4862" s="2"/>
      <c r="R4862" s="2"/>
      <c r="S4862" s="2"/>
      <c r="T4862" s="2"/>
      <c r="U4862" s="2"/>
      <c r="V4862" s="2"/>
      <c r="W4862" s="2"/>
    </row>
    <row r="4863" spans="1:23" x14ac:dyDescent="0.25">
      <c r="A4863" s="2"/>
      <c r="B4863" s="2"/>
      <c r="C4863" s="1"/>
      <c r="D4863" s="2"/>
      <c r="E4863" s="2"/>
      <c r="F4863" s="2"/>
      <c r="G4863" s="2"/>
      <c r="H4863" s="2"/>
      <c r="I4863" s="2"/>
      <c r="J4863" s="2"/>
      <c r="K4863" s="2"/>
      <c r="L4863" s="2"/>
      <c r="M4863" s="2"/>
      <c r="N4863" s="2"/>
      <c r="O4863" s="2"/>
      <c r="P4863" s="2"/>
      <c r="Q4863" s="2"/>
      <c r="R4863" s="2"/>
      <c r="S4863" s="2"/>
      <c r="T4863" s="2"/>
      <c r="U4863" s="2"/>
      <c r="V4863" s="2"/>
      <c r="W4863" s="2"/>
    </row>
    <row r="4864" spans="1:23" x14ac:dyDescent="0.25">
      <c r="A4864" s="2"/>
      <c r="B4864" s="2"/>
      <c r="C4864" s="1"/>
      <c r="D4864" s="2"/>
      <c r="E4864" s="2"/>
      <c r="F4864" s="2"/>
      <c r="G4864" s="2"/>
      <c r="H4864" s="2"/>
      <c r="I4864" s="2"/>
      <c r="J4864" s="2"/>
      <c r="K4864" s="2"/>
      <c r="L4864" s="2"/>
      <c r="M4864" s="2"/>
      <c r="N4864" s="2"/>
      <c r="O4864" s="2"/>
      <c r="P4864" s="2"/>
      <c r="Q4864" s="2"/>
      <c r="R4864" s="2"/>
      <c r="S4864" s="2"/>
      <c r="T4864" s="2"/>
      <c r="U4864" s="2"/>
      <c r="V4864" s="2"/>
      <c r="W4864" s="2"/>
    </row>
    <row r="4865" spans="1:23" x14ac:dyDescent="0.25">
      <c r="A4865" s="2"/>
      <c r="B4865" s="2"/>
      <c r="C4865" s="1"/>
      <c r="D4865" s="2"/>
      <c r="E4865" s="2"/>
      <c r="F4865" s="2"/>
      <c r="G4865" s="2"/>
      <c r="H4865" s="2"/>
      <c r="I4865" s="2"/>
      <c r="J4865" s="2"/>
      <c r="K4865" s="2"/>
      <c r="L4865" s="2"/>
      <c r="M4865" s="2"/>
      <c r="N4865" s="2"/>
      <c r="O4865" s="2"/>
      <c r="P4865" s="2"/>
      <c r="Q4865" s="2"/>
      <c r="R4865" s="2"/>
      <c r="S4865" s="2"/>
      <c r="T4865" s="2"/>
      <c r="U4865" s="2"/>
      <c r="V4865" s="2"/>
      <c r="W4865" s="2"/>
    </row>
    <row r="4866" spans="1:23" x14ac:dyDescent="0.25">
      <c r="A4866" s="2"/>
      <c r="B4866" s="2"/>
      <c r="C4866" s="1"/>
      <c r="D4866" s="2"/>
      <c r="E4866" s="2"/>
      <c r="F4866" s="2"/>
      <c r="G4866" s="2"/>
      <c r="H4866" s="2"/>
      <c r="I4866" s="2"/>
      <c r="J4866" s="2"/>
      <c r="K4866" s="2"/>
      <c r="L4866" s="2"/>
      <c r="M4866" s="2"/>
      <c r="N4866" s="2"/>
      <c r="O4866" s="2"/>
      <c r="P4866" s="2"/>
      <c r="Q4866" s="2"/>
      <c r="R4866" s="2"/>
      <c r="S4866" s="2"/>
      <c r="T4866" s="2"/>
      <c r="U4866" s="2"/>
      <c r="V4866" s="2"/>
      <c r="W4866" s="2"/>
    </row>
    <row r="4867" spans="1:23" x14ac:dyDescent="0.25">
      <c r="A4867" s="2"/>
      <c r="B4867" s="2"/>
      <c r="C4867" s="1"/>
      <c r="D4867" s="2"/>
      <c r="E4867" s="2"/>
      <c r="F4867" s="2"/>
      <c r="G4867" s="2"/>
      <c r="H4867" s="2"/>
      <c r="I4867" s="2"/>
      <c r="J4867" s="2"/>
      <c r="K4867" s="2"/>
      <c r="L4867" s="2"/>
      <c r="M4867" s="2"/>
      <c r="N4867" s="2"/>
      <c r="O4867" s="2"/>
      <c r="P4867" s="2"/>
      <c r="Q4867" s="2"/>
      <c r="R4867" s="2"/>
      <c r="S4867" s="2"/>
      <c r="T4867" s="2"/>
      <c r="U4867" s="2"/>
      <c r="V4867" s="2"/>
      <c r="W4867" s="2"/>
    </row>
    <row r="4868" spans="1:23" x14ac:dyDescent="0.25">
      <c r="A4868" s="2"/>
      <c r="B4868" s="2"/>
      <c r="C4868" s="1"/>
      <c r="D4868" s="2"/>
      <c r="E4868" s="2"/>
      <c r="F4868" s="2"/>
      <c r="G4868" s="2"/>
      <c r="H4868" s="2"/>
      <c r="I4868" s="2"/>
      <c r="J4868" s="2"/>
      <c r="K4868" s="2"/>
      <c r="L4868" s="2"/>
      <c r="M4868" s="2"/>
      <c r="N4868" s="2"/>
      <c r="O4868" s="2"/>
      <c r="P4868" s="2"/>
      <c r="Q4868" s="2"/>
      <c r="R4868" s="2"/>
      <c r="S4868" s="2"/>
      <c r="T4868" s="2"/>
      <c r="U4868" s="2"/>
      <c r="V4868" s="2"/>
      <c r="W4868" s="2"/>
    </row>
    <row r="4869" spans="1:23" x14ac:dyDescent="0.25">
      <c r="A4869" s="2"/>
      <c r="B4869" s="2"/>
      <c r="C4869" s="1"/>
      <c r="D4869" s="2"/>
      <c r="E4869" s="2"/>
      <c r="F4869" s="2"/>
      <c r="G4869" s="2"/>
      <c r="H4869" s="2"/>
      <c r="I4869" s="2"/>
      <c r="J4869" s="2"/>
      <c r="K4869" s="2"/>
      <c r="L4869" s="2"/>
      <c r="M4869" s="2"/>
      <c r="N4869" s="2"/>
      <c r="O4869" s="2"/>
      <c r="P4869" s="2"/>
      <c r="Q4869" s="2"/>
      <c r="R4869" s="2"/>
      <c r="S4869" s="2"/>
      <c r="T4869" s="2"/>
      <c r="U4869" s="2"/>
      <c r="V4869" s="2"/>
      <c r="W4869" s="2"/>
    </row>
    <row r="4870" spans="1:23" x14ac:dyDescent="0.25">
      <c r="A4870" s="2"/>
      <c r="B4870" s="2"/>
      <c r="C4870" s="1"/>
      <c r="D4870" s="2"/>
      <c r="E4870" s="2"/>
      <c r="F4870" s="2"/>
      <c r="G4870" s="2"/>
      <c r="H4870" s="2"/>
      <c r="I4870" s="2"/>
      <c r="J4870" s="2"/>
      <c r="K4870" s="2"/>
      <c r="L4870" s="2"/>
      <c r="M4870" s="2"/>
      <c r="N4870" s="2"/>
      <c r="O4870" s="2"/>
      <c r="P4870" s="2"/>
      <c r="Q4870" s="2"/>
      <c r="R4870" s="2"/>
      <c r="S4870" s="2"/>
      <c r="T4870" s="2"/>
      <c r="U4870" s="2"/>
      <c r="V4870" s="2"/>
      <c r="W4870" s="2"/>
    </row>
    <row r="4871" spans="1:23" x14ac:dyDescent="0.25">
      <c r="A4871" s="2"/>
      <c r="B4871" s="2"/>
      <c r="C4871" s="1"/>
      <c r="D4871" s="2"/>
      <c r="E4871" s="2"/>
      <c r="F4871" s="2"/>
      <c r="G4871" s="2"/>
      <c r="H4871" s="2"/>
      <c r="I4871" s="2"/>
      <c r="J4871" s="2"/>
      <c r="K4871" s="2"/>
      <c r="L4871" s="2"/>
      <c r="M4871" s="2"/>
      <c r="N4871" s="2"/>
      <c r="O4871" s="2"/>
      <c r="P4871" s="2"/>
      <c r="Q4871" s="2"/>
      <c r="R4871" s="2"/>
      <c r="S4871" s="2"/>
      <c r="T4871" s="2"/>
      <c r="U4871" s="2"/>
      <c r="V4871" s="2"/>
      <c r="W4871" s="2"/>
    </row>
    <row r="4872" spans="1:23" x14ac:dyDescent="0.25">
      <c r="A4872" s="2"/>
      <c r="B4872" s="2"/>
      <c r="C4872" s="1"/>
      <c r="D4872" s="2"/>
      <c r="E4872" s="2"/>
      <c r="F4872" s="2"/>
      <c r="G4872" s="2"/>
      <c r="H4872" s="2"/>
      <c r="I4872" s="2"/>
      <c r="J4872" s="2"/>
      <c r="K4872" s="2"/>
      <c r="L4872" s="2"/>
      <c r="M4872" s="2"/>
      <c r="N4872" s="2"/>
      <c r="O4872" s="2"/>
      <c r="P4872" s="2"/>
      <c r="Q4872" s="2"/>
      <c r="R4872" s="2"/>
      <c r="S4872" s="2"/>
      <c r="T4872" s="2"/>
      <c r="U4872" s="2"/>
      <c r="V4872" s="2"/>
      <c r="W4872" s="2"/>
    </row>
    <row r="4873" spans="1:23" x14ac:dyDescent="0.25">
      <c r="A4873" s="2"/>
      <c r="B4873" s="2"/>
      <c r="C4873" s="1"/>
      <c r="D4873" s="2"/>
      <c r="E4873" s="2"/>
      <c r="F4873" s="2"/>
      <c r="G4873" s="2"/>
      <c r="H4873" s="2"/>
      <c r="I4873" s="2"/>
      <c r="J4873" s="2"/>
      <c r="K4873" s="2"/>
      <c r="L4873" s="2"/>
      <c r="M4873" s="2"/>
      <c r="N4873" s="2"/>
      <c r="O4873" s="2"/>
      <c r="P4873" s="2"/>
      <c r="Q4873" s="2"/>
      <c r="R4873" s="2"/>
      <c r="S4873" s="2"/>
      <c r="T4873" s="2"/>
      <c r="U4873" s="2"/>
      <c r="V4873" s="2"/>
      <c r="W4873" s="2"/>
    </row>
    <row r="4874" spans="1:23" x14ac:dyDescent="0.25">
      <c r="A4874" s="2"/>
      <c r="B4874" s="2"/>
      <c r="C4874" s="1"/>
      <c r="D4874" s="2"/>
      <c r="E4874" s="2"/>
      <c r="F4874" s="2"/>
      <c r="G4874" s="2"/>
      <c r="H4874" s="2"/>
      <c r="I4874" s="2"/>
      <c r="J4874" s="2"/>
      <c r="K4874" s="2"/>
      <c r="L4874" s="2"/>
      <c r="M4874" s="2"/>
      <c r="N4874" s="2"/>
      <c r="O4874" s="2"/>
      <c r="P4874" s="2"/>
      <c r="Q4874" s="2"/>
      <c r="R4874" s="2"/>
      <c r="S4874" s="2"/>
      <c r="T4874" s="2"/>
      <c r="U4874" s="2"/>
      <c r="V4874" s="2"/>
      <c r="W4874" s="2"/>
    </row>
    <row r="4875" spans="1:23" x14ac:dyDescent="0.25">
      <c r="A4875" s="2"/>
      <c r="B4875" s="2"/>
      <c r="C4875" s="1"/>
      <c r="D4875" s="2"/>
      <c r="E4875" s="2"/>
      <c r="F4875" s="2"/>
      <c r="G4875" s="2"/>
      <c r="H4875" s="2"/>
      <c r="I4875" s="2"/>
      <c r="J4875" s="2"/>
      <c r="K4875" s="2"/>
      <c r="L4875" s="2"/>
      <c r="M4875" s="2"/>
      <c r="N4875" s="2"/>
      <c r="O4875" s="2"/>
      <c r="P4875" s="2"/>
      <c r="Q4875" s="2"/>
      <c r="R4875" s="2"/>
      <c r="S4875" s="2"/>
      <c r="T4875" s="2"/>
      <c r="U4875" s="2"/>
      <c r="V4875" s="2"/>
      <c r="W4875" s="2"/>
    </row>
    <row r="4876" spans="1:23" x14ac:dyDescent="0.25">
      <c r="A4876" s="2"/>
      <c r="B4876" s="2"/>
      <c r="C4876" s="1"/>
      <c r="D4876" s="2"/>
      <c r="E4876" s="2"/>
      <c r="F4876" s="2"/>
      <c r="G4876" s="2"/>
      <c r="H4876" s="2"/>
      <c r="I4876" s="2"/>
      <c r="J4876" s="2"/>
      <c r="K4876" s="2"/>
      <c r="L4876" s="2"/>
      <c r="M4876" s="2"/>
      <c r="N4876" s="2"/>
      <c r="O4876" s="2"/>
      <c r="P4876" s="2"/>
      <c r="Q4876" s="2"/>
      <c r="R4876" s="2"/>
      <c r="S4876" s="2"/>
      <c r="T4876" s="2"/>
      <c r="U4876" s="2"/>
      <c r="V4876" s="2"/>
      <c r="W4876" s="2"/>
    </row>
    <row r="4877" spans="1:23" x14ac:dyDescent="0.25">
      <c r="A4877" s="2"/>
      <c r="B4877" s="2"/>
      <c r="C4877" s="1"/>
      <c r="D4877" s="2"/>
      <c r="E4877" s="2"/>
      <c r="F4877" s="2"/>
      <c r="G4877" s="2"/>
      <c r="H4877" s="2"/>
      <c r="I4877" s="2"/>
      <c r="J4877" s="2"/>
      <c r="K4877" s="2"/>
      <c r="L4877" s="2"/>
      <c r="M4877" s="2"/>
      <c r="N4877" s="2"/>
      <c r="O4877" s="2"/>
      <c r="P4877" s="2"/>
      <c r="Q4877" s="2"/>
      <c r="R4877" s="2"/>
      <c r="S4877" s="2"/>
      <c r="T4877" s="2"/>
      <c r="U4877" s="2"/>
      <c r="V4877" s="2"/>
      <c r="W4877" s="2"/>
    </row>
    <row r="4878" spans="1:23" x14ac:dyDescent="0.25">
      <c r="A4878" s="2"/>
      <c r="B4878" s="2"/>
      <c r="C4878" s="1"/>
      <c r="D4878" s="2"/>
      <c r="E4878" s="2"/>
      <c r="F4878" s="2"/>
      <c r="G4878" s="2"/>
      <c r="H4878" s="2"/>
      <c r="I4878" s="2"/>
      <c r="J4878" s="2"/>
      <c r="K4878" s="2"/>
      <c r="L4878" s="2"/>
      <c r="M4878" s="2"/>
      <c r="N4878" s="2"/>
      <c r="O4878" s="2"/>
      <c r="P4878" s="2"/>
      <c r="Q4878" s="2"/>
      <c r="R4878" s="2"/>
      <c r="S4878" s="2"/>
      <c r="T4878" s="2"/>
      <c r="U4878" s="2"/>
      <c r="V4878" s="2"/>
      <c r="W4878" s="2"/>
    </row>
    <row r="4879" spans="1:23" x14ac:dyDescent="0.25">
      <c r="A4879" s="2"/>
      <c r="B4879" s="2"/>
      <c r="C4879" s="1"/>
      <c r="D4879" s="2"/>
      <c r="E4879" s="2"/>
      <c r="F4879" s="2"/>
      <c r="G4879" s="2"/>
      <c r="H4879" s="2"/>
      <c r="I4879" s="2"/>
      <c r="J4879" s="2"/>
      <c r="K4879" s="2"/>
      <c r="L4879" s="2"/>
      <c r="M4879" s="2"/>
      <c r="N4879" s="2"/>
      <c r="O4879" s="2"/>
      <c r="P4879" s="2"/>
      <c r="Q4879" s="2"/>
      <c r="R4879" s="2"/>
      <c r="S4879" s="2"/>
      <c r="T4879" s="2"/>
      <c r="U4879" s="2"/>
      <c r="V4879" s="2"/>
      <c r="W4879" s="2"/>
    </row>
    <row r="4880" spans="1:23" x14ac:dyDescent="0.25">
      <c r="A4880" s="2"/>
      <c r="B4880" s="2"/>
      <c r="C4880" s="1"/>
      <c r="D4880" s="2"/>
      <c r="E4880" s="2"/>
      <c r="F4880" s="2"/>
      <c r="G4880" s="2"/>
      <c r="H4880" s="2"/>
      <c r="I4880" s="2"/>
      <c r="J4880" s="2"/>
      <c r="K4880" s="2"/>
      <c r="L4880" s="2"/>
      <c r="M4880" s="2"/>
      <c r="N4880" s="2"/>
      <c r="O4880" s="2"/>
      <c r="P4880" s="2"/>
      <c r="Q4880" s="2"/>
      <c r="R4880" s="2"/>
      <c r="S4880" s="2"/>
      <c r="T4880" s="2"/>
      <c r="U4880" s="2"/>
      <c r="V4880" s="2"/>
      <c r="W4880" s="2"/>
    </row>
    <row r="4881" spans="1:23" x14ac:dyDescent="0.25">
      <c r="A4881" s="2"/>
      <c r="B4881" s="2"/>
      <c r="C4881" s="1"/>
      <c r="D4881" s="2"/>
      <c r="E4881" s="2"/>
      <c r="F4881" s="2"/>
      <c r="G4881" s="2"/>
      <c r="H4881" s="2"/>
      <c r="I4881" s="2"/>
      <c r="J4881" s="2"/>
      <c r="K4881" s="2"/>
      <c r="L4881" s="2"/>
      <c r="M4881" s="2"/>
      <c r="N4881" s="2"/>
      <c r="O4881" s="2"/>
      <c r="P4881" s="2"/>
      <c r="Q4881" s="2"/>
      <c r="R4881" s="2"/>
      <c r="S4881" s="2"/>
      <c r="T4881" s="2"/>
      <c r="U4881" s="2"/>
      <c r="V4881" s="2"/>
      <c r="W4881" s="2"/>
    </row>
    <row r="4882" spans="1:23" x14ac:dyDescent="0.25">
      <c r="A4882" s="2"/>
      <c r="B4882" s="2"/>
      <c r="C4882" s="1"/>
      <c r="D4882" s="2"/>
      <c r="E4882" s="2"/>
      <c r="F4882" s="2"/>
      <c r="G4882" s="2"/>
      <c r="H4882" s="2"/>
      <c r="I4882" s="2"/>
      <c r="J4882" s="2"/>
      <c r="K4882" s="2"/>
      <c r="L4882" s="2"/>
      <c r="M4882" s="2"/>
      <c r="N4882" s="2"/>
      <c r="O4882" s="2"/>
      <c r="P4882" s="2"/>
      <c r="Q4882" s="2"/>
      <c r="R4882" s="2"/>
      <c r="S4882" s="2"/>
      <c r="T4882" s="2"/>
      <c r="U4882" s="2"/>
      <c r="V4882" s="2"/>
      <c r="W4882" s="2"/>
    </row>
    <row r="4883" spans="1:23" x14ac:dyDescent="0.25">
      <c r="A4883" s="2"/>
      <c r="B4883" s="2"/>
      <c r="C4883" s="1"/>
      <c r="D4883" s="2"/>
      <c r="E4883" s="2"/>
      <c r="F4883" s="2"/>
      <c r="G4883" s="2"/>
      <c r="H4883" s="2"/>
      <c r="I4883" s="2"/>
      <c r="J4883" s="2"/>
      <c r="K4883" s="2"/>
      <c r="L4883" s="2"/>
      <c r="M4883" s="2"/>
      <c r="N4883" s="2"/>
      <c r="O4883" s="2"/>
      <c r="P4883" s="2"/>
      <c r="Q4883" s="2"/>
      <c r="R4883" s="2"/>
      <c r="S4883" s="2"/>
      <c r="T4883" s="2"/>
      <c r="U4883" s="2"/>
      <c r="V4883" s="2"/>
      <c r="W4883" s="2"/>
    </row>
    <row r="4884" spans="1:23" x14ac:dyDescent="0.25">
      <c r="A4884" s="2"/>
      <c r="B4884" s="2"/>
      <c r="C4884" s="1"/>
      <c r="D4884" s="2"/>
      <c r="E4884" s="2"/>
      <c r="F4884" s="2"/>
      <c r="G4884" s="2"/>
      <c r="H4884" s="2"/>
      <c r="I4884" s="2"/>
      <c r="J4884" s="2"/>
      <c r="K4884" s="2"/>
      <c r="L4884" s="2"/>
      <c r="M4884" s="2"/>
      <c r="N4884" s="2"/>
      <c r="O4884" s="2"/>
      <c r="P4884" s="2"/>
      <c r="Q4884" s="2"/>
      <c r="R4884" s="2"/>
      <c r="S4884" s="2"/>
      <c r="T4884" s="2"/>
      <c r="U4884" s="2"/>
      <c r="V4884" s="2"/>
      <c r="W4884" s="2"/>
    </row>
    <row r="4885" spans="1:23" x14ac:dyDescent="0.25">
      <c r="A4885" s="2"/>
      <c r="B4885" s="2"/>
      <c r="C4885" s="1"/>
      <c r="D4885" s="2"/>
      <c r="E4885" s="2"/>
      <c r="F4885" s="2"/>
      <c r="G4885" s="2"/>
      <c r="H4885" s="2"/>
      <c r="I4885" s="2"/>
      <c r="J4885" s="2"/>
      <c r="K4885" s="2"/>
      <c r="L4885" s="2"/>
      <c r="M4885" s="2"/>
      <c r="N4885" s="2"/>
      <c r="O4885" s="2"/>
      <c r="P4885" s="2"/>
      <c r="Q4885" s="2"/>
      <c r="R4885" s="2"/>
      <c r="S4885" s="2"/>
      <c r="T4885" s="2"/>
      <c r="U4885" s="2"/>
      <c r="V4885" s="2"/>
      <c r="W4885" s="2"/>
    </row>
    <row r="4886" spans="1:23" x14ac:dyDescent="0.25">
      <c r="A4886" s="2"/>
      <c r="B4886" s="2"/>
      <c r="C4886" s="1"/>
      <c r="D4886" s="2"/>
      <c r="E4886" s="2"/>
      <c r="F4886" s="2"/>
      <c r="G4886" s="2"/>
      <c r="H4886" s="2"/>
      <c r="I4886" s="2"/>
      <c r="J4886" s="2"/>
      <c r="K4886" s="2"/>
      <c r="L4886" s="2"/>
      <c r="M4886" s="2"/>
      <c r="N4886" s="2"/>
      <c r="O4886" s="2"/>
      <c r="P4886" s="2"/>
      <c r="Q4886" s="2"/>
      <c r="R4886" s="2"/>
      <c r="S4886" s="2"/>
      <c r="T4886" s="2"/>
      <c r="U4886" s="2"/>
      <c r="V4886" s="2"/>
      <c r="W4886" s="2"/>
    </row>
    <row r="4887" spans="1:23" x14ac:dyDescent="0.25">
      <c r="A4887" s="2"/>
      <c r="B4887" s="2"/>
      <c r="C4887" s="1"/>
      <c r="D4887" s="2"/>
      <c r="E4887" s="2"/>
      <c r="F4887" s="2"/>
      <c r="G4887" s="2"/>
      <c r="H4887" s="2"/>
      <c r="I4887" s="2"/>
      <c r="J4887" s="2"/>
      <c r="K4887" s="2"/>
      <c r="L4887" s="2"/>
      <c r="M4887" s="2"/>
      <c r="N4887" s="2"/>
      <c r="O4887" s="2"/>
      <c r="P4887" s="2"/>
      <c r="Q4887" s="2"/>
      <c r="R4887" s="2"/>
      <c r="S4887" s="2"/>
      <c r="T4887" s="2"/>
      <c r="U4887" s="2"/>
      <c r="V4887" s="2"/>
      <c r="W4887" s="2"/>
    </row>
    <row r="4888" spans="1:23" x14ac:dyDescent="0.25">
      <c r="A4888" s="2"/>
      <c r="B4888" s="2"/>
      <c r="C4888" s="1"/>
      <c r="D4888" s="2"/>
      <c r="E4888" s="2"/>
      <c r="F4888" s="2"/>
      <c r="G4888" s="2"/>
      <c r="H4888" s="2"/>
      <c r="I4888" s="2"/>
      <c r="J4888" s="2"/>
      <c r="K4888" s="2"/>
      <c r="L4888" s="2"/>
      <c r="M4888" s="2"/>
      <c r="N4888" s="2"/>
      <c r="O4888" s="2"/>
      <c r="P4888" s="2"/>
      <c r="Q4888" s="2"/>
      <c r="R4888" s="2"/>
      <c r="S4888" s="2"/>
      <c r="T4888" s="2"/>
      <c r="U4888" s="2"/>
      <c r="V4888" s="2"/>
      <c r="W4888" s="2"/>
    </row>
    <row r="4889" spans="1:23" x14ac:dyDescent="0.25">
      <c r="A4889" s="2"/>
      <c r="B4889" s="2"/>
      <c r="C4889" s="1"/>
      <c r="D4889" s="2"/>
      <c r="E4889" s="2"/>
      <c r="F4889" s="2"/>
      <c r="G4889" s="2"/>
      <c r="H4889" s="2"/>
      <c r="I4889" s="2"/>
      <c r="J4889" s="2"/>
      <c r="K4889" s="2"/>
      <c r="L4889" s="2"/>
      <c r="M4889" s="2"/>
      <c r="N4889" s="2"/>
      <c r="O4889" s="2"/>
      <c r="P4889" s="2"/>
      <c r="Q4889" s="2"/>
      <c r="R4889" s="2"/>
      <c r="S4889" s="2"/>
      <c r="T4889" s="2"/>
      <c r="U4889" s="2"/>
      <c r="V4889" s="2"/>
      <c r="W4889" s="2"/>
    </row>
    <row r="4890" spans="1:23" x14ac:dyDescent="0.25">
      <c r="A4890" s="2"/>
      <c r="B4890" s="2"/>
      <c r="C4890" s="1"/>
      <c r="D4890" s="2"/>
      <c r="E4890" s="2"/>
      <c r="F4890" s="2"/>
      <c r="G4890" s="2"/>
      <c r="H4890" s="2"/>
      <c r="I4890" s="2"/>
      <c r="J4890" s="2"/>
      <c r="K4890" s="2"/>
      <c r="L4890" s="2"/>
      <c r="M4890" s="2"/>
      <c r="N4890" s="2"/>
      <c r="O4890" s="2"/>
      <c r="P4890" s="2"/>
      <c r="Q4890" s="2"/>
      <c r="R4890" s="2"/>
      <c r="S4890" s="2"/>
      <c r="T4890" s="2"/>
      <c r="U4890" s="2"/>
      <c r="V4890" s="2"/>
      <c r="W4890" s="2"/>
    </row>
    <row r="4891" spans="1:23" x14ac:dyDescent="0.25">
      <c r="A4891" s="2"/>
      <c r="B4891" s="2"/>
      <c r="C4891" s="1"/>
      <c r="D4891" s="2"/>
      <c r="E4891" s="2"/>
      <c r="F4891" s="2"/>
      <c r="G4891" s="2"/>
      <c r="H4891" s="2"/>
      <c r="I4891" s="2"/>
      <c r="J4891" s="2"/>
      <c r="K4891" s="2"/>
      <c r="L4891" s="2"/>
      <c r="M4891" s="2"/>
      <c r="N4891" s="2"/>
      <c r="O4891" s="2"/>
      <c r="P4891" s="2"/>
      <c r="Q4891" s="2"/>
      <c r="R4891" s="2"/>
      <c r="S4891" s="2"/>
      <c r="T4891" s="2"/>
      <c r="U4891" s="2"/>
      <c r="V4891" s="2"/>
      <c r="W4891" s="2"/>
    </row>
    <row r="4892" spans="1:23" x14ac:dyDescent="0.25">
      <c r="A4892" s="2"/>
      <c r="B4892" s="2"/>
      <c r="C4892" s="1"/>
      <c r="D4892" s="2"/>
      <c r="E4892" s="2"/>
      <c r="F4892" s="2"/>
      <c r="G4892" s="2"/>
      <c r="H4892" s="2"/>
      <c r="I4892" s="2"/>
      <c r="J4892" s="2"/>
      <c r="K4892" s="2"/>
      <c r="L4892" s="2"/>
      <c r="M4892" s="2"/>
      <c r="N4892" s="2"/>
      <c r="O4892" s="2"/>
      <c r="P4892" s="2"/>
      <c r="Q4892" s="2"/>
      <c r="R4892" s="2"/>
      <c r="S4892" s="2"/>
      <c r="T4892" s="2"/>
      <c r="U4892" s="2"/>
      <c r="V4892" s="2"/>
      <c r="W4892" s="2"/>
    </row>
    <row r="4893" spans="1:23" x14ac:dyDescent="0.25">
      <c r="A4893" s="2"/>
      <c r="B4893" s="2"/>
      <c r="C4893" s="1"/>
      <c r="D4893" s="2"/>
      <c r="E4893" s="2"/>
      <c r="F4893" s="2"/>
      <c r="G4893" s="2"/>
      <c r="H4893" s="2"/>
      <c r="I4893" s="2"/>
      <c r="J4893" s="2"/>
      <c r="K4893" s="2"/>
      <c r="L4893" s="2"/>
      <c r="M4893" s="2"/>
      <c r="N4893" s="2"/>
      <c r="O4893" s="2"/>
      <c r="P4893" s="2"/>
      <c r="Q4893" s="2"/>
      <c r="R4893" s="2"/>
      <c r="S4893" s="2"/>
      <c r="T4893" s="2"/>
      <c r="U4893" s="2"/>
      <c r="V4893" s="2"/>
      <c r="W4893" s="2"/>
    </row>
    <row r="4894" spans="1:23" x14ac:dyDescent="0.25">
      <c r="A4894" s="2"/>
      <c r="B4894" s="2"/>
      <c r="C4894" s="1"/>
      <c r="D4894" s="2"/>
      <c r="E4894" s="2"/>
      <c r="F4894" s="2"/>
      <c r="G4894" s="2"/>
      <c r="H4894" s="2"/>
      <c r="I4894" s="2"/>
      <c r="J4894" s="2"/>
      <c r="K4894" s="2"/>
      <c r="L4894" s="2"/>
      <c r="M4894" s="2"/>
      <c r="N4894" s="2"/>
      <c r="O4894" s="2"/>
      <c r="P4894" s="2"/>
      <c r="Q4894" s="2"/>
      <c r="R4894" s="2"/>
      <c r="S4894" s="2"/>
      <c r="T4894" s="2"/>
      <c r="U4894" s="2"/>
      <c r="V4894" s="2"/>
      <c r="W4894" s="2"/>
    </row>
    <row r="4895" spans="1:23" x14ac:dyDescent="0.25">
      <c r="A4895" s="2"/>
      <c r="B4895" s="2"/>
      <c r="C4895" s="1"/>
      <c r="D4895" s="2"/>
      <c r="E4895" s="2"/>
      <c r="F4895" s="2"/>
      <c r="G4895" s="2"/>
      <c r="H4895" s="2"/>
      <c r="I4895" s="2"/>
      <c r="J4895" s="2"/>
      <c r="K4895" s="2"/>
      <c r="L4895" s="2"/>
      <c r="M4895" s="2"/>
      <c r="N4895" s="2"/>
      <c r="O4895" s="2"/>
      <c r="P4895" s="2"/>
      <c r="Q4895" s="2"/>
      <c r="R4895" s="2"/>
      <c r="S4895" s="2"/>
      <c r="T4895" s="2"/>
      <c r="U4895" s="2"/>
      <c r="V4895" s="2"/>
      <c r="W4895" s="2"/>
    </row>
    <row r="4896" spans="1:23" x14ac:dyDescent="0.25">
      <c r="A4896" s="2"/>
      <c r="B4896" s="2"/>
      <c r="C4896" s="1"/>
      <c r="D4896" s="2"/>
      <c r="E4896" s="2"/>
      <c r="F4896" s="2"/>
      <c r="G4896" s="2"/>
      <c r="H4896" s="2"/>
      <c r="I4896" s="2"/>
      <c r="J4896" s="2"/>
      <c r="K4896" s="2"/>
      <c r="L4896" s="2"/>
      <c r="M4896" s="2"/>
      <c r="N4896" s="2"/>
      <c r="O4896" s="2"/>
      <c r="P4896" s="2"/>
      <c r="Q4896" s="2"/>
      <c r="R4896" s="2"/>
      <c r="S4896" s="2"/>
      <c r="T4896" s="2"/>
      <c r="U4896" s="2"/>
      <c r="V4896" s="2"/>
      <c r="W4896" s="2"/>
    </row>
    <row r="4897" spans="1:23" x14ac:dyDescent="0.25">
      <c r="A4897" s="2"/>
      <c r="B4897" s="2"/>
      <c r="C4897" s="1"/>
      <c r="D4897" s="2"/>
      <c r="E4897" s="2"/>
      <c r="F4897" s="2"/>
      <c r="G4897" s="2"/>
      <c r="H4897" s="2"/>
      <c r="I4897" s="2"/>
      <c r="J4897" s="2"/>
      <c r="K4897" s="2"/>
      <c r="L4897" s="2"/>
      <c r="M4897" s="2"/>
      <c r="N4897" s="2"/>
      <c r="O4897" s="2"/>
      <c r="P4897" s="2"/>
      <c r="Q4897" s="2"/>
      <c r="R4897" s="2"/>
      <c r="S4897" s="2"/>
      <c r="T4897" s="2"/>
      <c r="U4897" s="2"/>
      <c r="V4897" s="2"/>
      <c r="W4897" s="2"/>
    </row>
    <row r="4898" spans="1:23" x14ac:dyDescent="0.25">
      <c r="A4898" s="2"/>
      <c r="B4898" s="2"/>
      <c r="C4898" s="1"/>
      <c r="D4898" s="2"/>
      <c r="E4898" s="2"/>
      <c r="F4898" s="2"/>
      <c r="G4898" s="2"/>
      <c r="H4898" s="2"/>
      <c r="I4898" s="2"/>
      <c r="J4898" s="2"/>
      <c r="K4898" s="2"/>
      <c r="L4898" s="2"/>
      <c r="M4898" s="2"/>
      <c r="N4898" s="2"/>
      <c r="O4898" s="2"/>
      <c r="P4898" s="2"/>
      <c r="Q4898" s="2"/>
      <c r="R4898" s="2"/>
      <c r="S4898" s="2"/>
      <c r="T4898" s="2"/>
      <c r="U4898" s="2"/>
      <c r="V4898" s="2"/>
      <c r="W4898" s="2"/>
    </row>
    <row r="4899" spans="1:23" x14ac:dyDescent="0.25">
      <c r="A4899" s="2"/>
      <c r="B4899" s="2"/>
      <c r="C4899" s="1"/>
      <c r="D4899" s="2"/>
      <c r="E4899" s="2"/>
      <c r="F4899" s="2"/>
      <c r="G4899" s="2"/>
      <c r="H4899" s="2"/>
      <c r="I4899" s="2"/>
      <c r="J4899" s="2"/>
      <c r="K4899" s="2"/>
      <c r="L4899" s="2"/>
      <c r="M4899" s="2"/>
      <c r="N4899" s="2"/>
      <c r="O4899" s="2"/>
      <c r="P4899" s="2"/>
      <c r="Q4899" s="2"/>
      <c r="R4899" s="2"/>
      <c r="S4899" s="2"/>
      <c r="T4899" s="2"/>
      <c r="U4899" s="2"/>
      <c r="V4899" s="2"/>
      <c r="W4899" s="2"/>
    </row>
    <row r="4900" spans="1:23" x14ac:dyDescent="0.25">
      <c r="A4900" s="2"/>
      <c r="B4900" s="2"/>
      <c r="C4900" s="1"/>
      <c r="D4900" s="2"/>
      <c r="E4900" s="2"/>
      <c r="F4900" s="2"/>
      <c r="G4900" s="2"/>
      <c r="H4900" s="2"/>
      <c r="I4900" s="2"/>
      <c r="J4900" s="2"/>
      <c r="K4900" s="2"/>
      <c r="L4900" s="2"/>
      <c r="M4900" s="2"/>
      <c r="N4900" s="2"/>
      <c r="O4900" s="2"/>
      <c r="P4900" s="2"/>
      <c r="Q4900" s="2"/>
      <c r="R4900" s="2"/>
      <c r="S4900" s="2"/>
      <c r="T4900" s="2"/>
      <c r="U4900" s="2"/>
      <c r="V4900" s="2"/>
      <c r="W4900" s="2"/>
    </row>
    <row r="4901" spans="1:23" x14ac:dyDescent="0.25">
      <c r="A4901" s="2"/>
      <c r="B4901" s="2"/>
      <c r="C4901" s="1"/>
      <c r="D4901" s="2"/>
      <c r="E4901" s="2"/>
      <c r="F4901" s="2"/>
      <c r="G4901" s="2"/>
      <c r="H4901" s="2"/>
      <c r="I4901" s="2"/>
      <c r="J4901" s="2"/>
      <c r="K4901" s="2"/>
      <c r="L4901" s="2"/>
      <c r="M4901" s="2"/>
      <c r="N4901" s="2"/>
      <c r="O4901" s="2"/>
      <c r="P4901" s="2"/>
      <c r="Q4901" s="2"/>
      <c r="R4901" s="2"/>
      <c r="S4901" s="2"/>
      <c r="T4901" s="2"/>
      <c r="U4901" s="2"/>
      <c r="V4901" s="2"/>
      <c r="W4901" s="2"/>
    </row>
    <row r="4902" spans="1:23" x14ac:dyDescent="0.25">
      <c r="A4902" s="2"/>
      <c r="B4902" s="2"/>
      <c r="C4902" s="1"/>
      <c r="D4902" s="2"/>
      <c r="E4902" s="2"/>
      <c r="F4902" s="2"/>
      <c r="G4902" s="2"/>
      <c r="H4902" s="2"/>
      <c r="I4902" s="2"/>
      <c r="J4902" s="2"/>
      <c r="K4902" s="2"/>
      <c r="L4902" s="2"/>
      <c r="M4902" s="2"/>
      <c r="N4902" s="2"/>
      <c r="O4902" s="2"/>
      <c r="P4902" s="2"/>
      <c r="Q4902" s="2"/>
      <c r="R4902" s="2"/>
      <c r="S4902" s="2"/>
      <c r="T4902" s="2"/>
      <c r="U4902" s="2"/>
      <c r="V4902" s="2"/>
      <c r="W4902" s="2"/>
    </row>
    <row r="4903" spans="1:23" x14ac:dyDescent="0.25">
      <c r="A4903" s="2"/>
      <c r="B4903" s="2"/>
      <c r="C4903" s="1"/>
      <c r="D4903" s="2"/>
      <c r="E4903" s="2"/>
      <c r="F4903" s="2"/>
      <c r="G4903" s="2"/>
      <c r="H4903" s="2"/>
      <c r="I4903" s="2"/>
      <c r="J4903" s="2"/>
      <c r="K4903" s="2"/>
      <c r="L4903" s="2"/>
      <c r="M4903" s="2"/>
      <c r="N4903" s="2"/>
      <c r="O4903" s="2"/>
      <c r="P4903" s="2"/>
      <c r="Q4903" s="2"/>
      <c r="R4903" s="2"/>
      <c r="S4903" s="2"/>
      <c r="T4903" s="2"/>
      <c r="U4903" s="2"/>
      <c r="V4903" s="2"/>
      <c r="W4903" s="2"/>
    </row>
    <row r="4904" spans="1:23" x14ac:dyDescent="0.25">
      <c r="A4904" s="2"/>
      <c r="B4904" s="2"/>
      <c r="C4904" s="1"/>
      <c r="D4904" s="2"/>
      <c r="E4904" s="2"/>
      <c r="F4904" s="2"/>
      <c r="G4904" s="2"/>
      <c r="H4904" s="2"/>
      <c r="I4904" s="2"/>
      <c r="J4904" s="2"/>
      <c r="K4904" s="2"/>
      <c r="L4904" s="2"/>
      <c r="M4904" s="2"/>
      <c r="N4904" s="2"/>
      <c r="O4904" s="2"/>
      <c r="P4904" s="2"/>
      <c r="Q4904" s="2"/>
      <c r="R4904" s="2"/>
      <c r="S4904" s="2"/>
      <c r="T4904" s="2"/>
      <c r="U4904" s="2"/>
      <c r="V4904" s="2"/>
      <c r="W4904" s="2"/>
    </row>
    <row r="4905" spans="1:23" x14ac:dyDescent="0.25">
      <c r="A4905" s="2"/>
      <c r="B4905" s="2"/>
      <c r="C4905" s="1"/>
      <c r="D4905" s="2"/>
      <c r="E4905" s="2"/>
      <c r="F4905" s="2"/>
      <c r="G4905" s="2"/>
      <c r="H4905" s="2"/>
      <c r="I4905" s="2"/>
      <c r="J4905" s="2"/>
      <c r="K4905" s="2"/>
      <c r="L4905" s="2"/>
      <c r="M4905" s="2"/>
      <c r="N4905" s="2"/>
      <c r="O4905" s="2"/>
      <c r="P4905" s="2"/>
      <c r="Q4905" s="2"/>
      <c r="R4905" s="2"/>
      <c r="S4905" s="2"/>
      <c r="T4905" s="2"/>
      <c r="U4905" s="2"/>
      <c r="V4905" s="2"/>
      <c r="W4905" s="2"/>
    </row>
    <row r="4906" spans="1:23" x14ac:dyDescent="0.25">
      <c r="A4906" s="2"/>
      <c r="B4906" s="2"/>
      <c r="C4906" s="1"/>
      <c r="D4906" s="2"/>
      <c r="E4906" s="2"/>
      <c r="F4906" s="2"/>
      <c r="G4906" s="2"/>
      <c r="H4906" s="2"/>
      <c r="I4906" s="2"/>
      <c r="J4906" s="2"/>
      <c r="K4906" s="2"/>
      <c r="L4906" s="2"/>
      <c r="M4906" s="2"/>
      <c r="N4906" s="2"/>
      <c r="O4906" s="2"/>
      <c r="P4906" s="2"/>
      <c r="Q4906" s="2"/>
      <c r="R4906" s="2"/>
      <c r="S4906" s="2"/>
      <c r="T4906" s="2"/>
      <c r="U4906" s="2"/>
      <c r="V4906" s="2"/>
      <c r="W4906" s="2"/>
    </row>
    <row r="4907" spans="1:23" x14ac:dyDescent="0.25">
      <c r="A4907" s="2"/>
      <c r="B4907" s="2"/>
      <c r="C4907" s="1"/>
      <c r="D4907" s="2"/>
      <c r="E4907" s="2"/>
      <c r="F4907" s="2"/>
      <c r="G4907" s="2"/>
      <c r="H4907" s="2"/>
      <c r="I4907" s="2"/>
      <c r="J4907" s="2"/>
      <c r="K4907" s="2"/>
      <c r="L4907" s="2"/>
      <c r="M4907" s="2"/>
      <c r="N4907" s="2"/>
      <c r="O4907" s="2"/>
      <c r="P4907" s="2"/>
      <c r="Q4907" s="2"/>
      <c r="R4907" s="2"/>
      <c r="S4907" s="2"/>
      <c r="T4907" s="2"/>
      <c r="U4907" s="2"/>
      <c r="V4907" s="2"/>
      <c r="W4907" s="2"/>
    </row>
    <row r="4908" spans="1:23" x14ac:dyDescent="0.25">
      <c r="A4908" s="2"/>
      <c r="B4908" s="2"/>
      <c r="C4908" s="1"/>
      <c r="D4908" s="2"/>
      <c r="E4908" s="2"/>
      <c r="F4908" s="2"/>
      <c r="G4908" s="2"/>
      <c r="H4908" s="2"/>
      <c r="I4908" s="2"/>
      <c r="J4908" s="2"/>
      <c r="K4908" s="2"/>
      <c r="L4908" s="2"/>
      <c r="M4908" s="2"/>
      <c r="N4908" s="2"/>
      <c r="O4908" s="2"/>
      <c r="P4908" s="2"/>
      <c r="Q4908" s="2"/>
      <c r="R4908" s="2"/>
      <c r="S4908" s="2"/>
      <c r="T4908" s="2"/>
      <c r="U4908" s="2"/>
      <c r="V4908" s="2"/>
      <c r="W4908" s="2"/>
    </row>
    <row r="4909" spans="1:23" x14ac:dyDescent="0.25">
      <c r="A4909" s="2"/>
      <c r="B4909" s="2"/>
      <c r="C4909" s="1"/>
      <c r="D4909" s="2"/>
      <c r="E4909" s="2"/>
      <c r="F4909" s="2"/>
      <c r="G4909" s="2"/>
      <c r="H4909" s="2"/>
      <c r="I4909" s="2"/>
      <c r="J4909" s="2"/>
      <c r="K4909" s="2"/>
      <c r="L4909" s="2"/>
      <c r="M4909" s="2"/>
      <c r="N4909" s="2"/>
      <c r="O4909" s="2"/>
      <c r="P4909" s="2"/>
      <c r="Q4909" s="2"/>
      <c r="R4909" s="2"/>
      <c r="S4909" s="2"/>
      <c r="T4909" s="2"/>
      <c r="U4909" s="2"/>
      <c r="V4909" s="2"/>
      <c r="W4909" s="2"/>
    </row>
    <row r="4910" spans="1:23" x14ac:dyDescent="0.25">
      <c r="A4910" s="2"/>
      <c r="B4910" s="2"/>
      <c r="C4910" s="1"/>
      <c r="D4910" s="2"/>
      <c r="E4910" s="2"/>
      <c r="F4910" s="2"/>
      <c r="G4910" s="2"/>
      <c r="H4910" s="2"/>
      <c r="I4910" s="2"/>
      <c r="J4910" s="2"/>
      <c r="K4910" s="2"/>
      <c r="L4910" s="2"/>
      <c r="M4910" s="2"/>
      <c r="N4910" s="2"/>
      <c r="O4910" s="2"/>
      <c r="P4910" s="2"/>
      <c r="Q4910" s="2"/>
      <c r="R4910" s="2"/>
      <c r="S4910" s="2"/>
      <c r="T4910" s="2"/>
      <c r="U4910" s="2"/>
      <c r="V4910" s="2"/>
      <c r="W4910" s="2"/>
    </row>
    <row r="4911" spans="1:23" x14ac:dyDescent="0.25">
      <c r="A4911" s="2"/>
      <c r="B4911" s="2"/>
      <c r="C4911" s="1"/>
      <c r="D4911" s="2"/>
      <c r="E4911" s="2"/>
      <c r="F4911" s="2"/>
      <c r="G4911" s="2"/>
      <c r="H4911" s="2"/>
      <c r="I4911" s="2"/>
      <c r="J4911" s="2"/>
      <c r="K4911" s="2"/>
      <c r="L4911" s="2"/>
      <c r="M4911" s="2"/>
      <c r="N4911" s="2"/>
      <c r="O4911" s="2"/>
      <c r="P4911" s="2"/>
      <c r="Q4911" s="2"/>
      <c r="R4911" s="2"/>
      <c r="S4911" s="2"/>
      <c r="T4911" s="2"/>
      <c r="U4911" s="2"/>
      <c r="V4911" s="2"/>
      <c r="W4911" s="2"/>
    </row>
    <row r="4912" spans="1:23" x14ac:dyDescent="0.25">
      <c r="A4912" s="2"/>
      <c r="B4912" s="2"/>
      <c r="C4912" s="1"/>
      <c r="D4912" s="2"/>
      <c r="E4912" s="2"/>
      <c r="F4912" s="2"/>
      <c r="G4912" s="2"/>
      <c r="H4912" s="2"/>
      <c r="I4912" s="2"/>
      <c r="J4912" s="2"/>
      <c r="K4912" s="2"/>
      <c r="L4912" s="2"/>
      <c r="M4912" s="2"/>
      <c r="N4912" s="2"/>
      <c r="O4912" s="2"/>
      <c r="P4912" s="2"/>
      <c r="Q4912" s="2"/>
      <c r="R4912" s="2"/>
      <c r="S4912" s="2"/>
      <c r="T4912" s="2"/>
      <c r="U4912" s="2"/>
      <c r="V4912" s="2"/>
      <c r="W4912" s="2"/>
    </row>
    <row r="4913" spans="1:23" x14ac:dyDescent="0.25">
      <c r="A4913" s="2"/>
      <c r="B4913" s="2"/>
      <c r="C4913" s="1"/>
      <c r="D4913" s="2"/>
      <c r="E4913" s="2"/>
      <c r="F4913" s="2"/>
      <c r="G4913" s="2"/>
      <c r="H4913" s="2"/>
      <c r="I4913" s="2"/>
      <c r="J4913" s="2"/>
      <c r="K4913" s="2"/>
      <c r="L4913" s="2"/>
      <c r="M4913" s="2"/>
      <c r="N4913" s="2"/>
      <c r="O4913" s="2"/>
      <c r="P4913" s="2"/>
      <c r="Q4913" s="2"/>
      <c r="R4913" s="2"/>
      <c r="S4913" s="2"/>
      <c r="T4913" s="2"/>
      <c r="U4913" s="2"/>
      <c r="V4913" s="2"/>
      <c r="W4913" s="2"/>
    </row>
    <row r="4914" spans="1:23" x14ac:dyDescent="0.25">
      <c r="A4914" s="2"/>
      <c r="B4914" s="2"/>
      <c r="C4914" s="1"/>
      <c r="D4914" s="2"/>
      <c r="E4914" s="2"/>
      <c r="F4914" s="2"/>
      <c r="G4914" s="2"/>
      <c r="H4914" s="2"/>
      <c r="I4914" s="2"/>
      <c r="J4914" s="2"/>
      <c r="K4914" s="2"/>
      <c r="L4914" s="2"/>
      <c r="M4914" s="2"/>
      <c r="N4914" s="2"/>
      <c r="O4914" s="2"/>
      <c r="P4914" s="2"/>
      <c r="Q4914" s="2"/>
      <c r="R4914" s="2"/>
      <c r="S4914" s="2"/>
      <c r="T4914" s="2"/>
      <c r="U4914" s="2"/>
      <c r="V4914" s="2"/>
      <c r="W4914" s="2"/>
    </row>
    <row r="4915" spans="1:23" x14ac:dyDescent="0.25">
      <c r="A4915" s="2"/>
      <c r="B4915" s="2"/>
      <c r="C4915" s="1"/>
      <c r="D4915" s="2"/>
      <c r="E4915" s="2"/>
      <c r="F4915" s="2"/>
      <c r="G4915" s="2"/>
      <c r="H4915" s="2"/>
      <c r="I4915" s="2"/>
      <c r="J4915" s="2"/>
      <c r="K4915" s="2"/>
      <c r="L4915" s="2"/>
      <c r="M4915" s="2"/>
      <c r="N4915" s="2"/>
      <c r="O4915" s="2"/>
      <c r="P4915" s="2"/>
      <c r="Q4915" s="2"/>
      <c r="R4915" s="2"/>
      <c r="S4915" s="2"/>
      <c r="T4915" s="2"/>
      <c r="U4915" s="2"/>
      <c r="V4915" s="2"/>
      <c r="W4915" s="2"/>
    </row>
    <row r="4916" spans="1:23" x14ac:dyDescent="0.25">
      <c r="A4916" s="2"/>
      <c r="B4916" s="2"/>
      <c r="C4916" s="1"/>
      <c r="D4916" s="2"/>
      <c r="E4916" s="2"/>
      <c r="F4916" s="2"/>
      <c r="G4916" s="2"/>
      <c r="H4916" s="2"/>
      <c r="I4916" s="2"/>
      <c r="J4916" s="2"/>
      <c r="K4916" s="2"/>
      <c r="L4916" s="2"/>
      <c r="M4916" s="2"/>
      <c r="N4916" s="2"/>
      <c r="O4916" s="2"/>
      <c r="P4916" s="2"/>
      <c r="Q4916" s="2"/>
      <c r="R4916" s="2"/>
      <c r="S4916" s="2"/>
      <c r="T4916" s="2"/>
      <c r="U4916" s="2"/>
      <c r="V4916" s="2"/>
      <c r="W4916" s="2"/>
    </row>
    <row r="4917" spans="1:23" x14ac:dyDescent="0.25">
      <c r="A4917" s="2"/>
      <c r="B4917" s="2"/>
      <c r="C4917" s="1"/>
      <c r="D4917" s="2"/>
      <c r="E4917" s="2"/>
      <c r="F4917" s="2"/>
      <c r="G4917" s="2"/>
      <c r="H4917" s="2"/>
      <c r="I4917" s="2"/>
      <c r="J4917" s="2"/>
      <c r="K4917" s="2"/>
      <c r="L4917" s="2"/>
      <c r="M4917" s="2"/>
      <c r="N4917" s="2"/>
      <c r="O4917" s="2"/>
      <c r="P4917" s="2"/>
      <c r="Q4917" s="2"/>
      <c r="R4917" s="2"/>
      <c r="S4917" s="2"/>
      <c r="T4917" s="2"/>
      <c r="U4917" s="2"/>
      <c r="V4917" s="2"/>
      <c r="W4917" s="2"/>
    </row>
    <row r="4918" spans="1:23" x14ac:dyDescent="0.25">
      <c r="A4918" s="2"/>
      <c r="B4918" s="2"/>
      <c r="C4918" s="1"/>
      <c r="D4918" s="2"/>
      <c r="E4918" s="2"/>
      <c r="F4918" s="2"/>
      <c r="G4918" s="2"/>
      <c r="H4918" s="2"/>
      <c r="I4918" s="2"/>
      <c r="J4918" s="2"/>
      <c r="K4918" s="2"/>
      <c r="L4918" s="2"/>
      <c r="M4918" s="2"/>
      <c r="N4918" s="2"/>
      <c r="O4918" s="2"/>
      <c r="P4918" s="2"/>
      <c r="Q4918" s="2"/>
      <c r="R4918" s="2"/>
      <c r="S4918" s="2"/>
      <c r="T4918" s="2"/>
      <c r="U4918" s="2"/>
      <c r="V4918" s="2"/>
      <c r="W4918" s="2"/>
    </row>
    <row r="4919" spans="1:23" x14ac:dyDescent="0.25">
      <c r="A4919" s="2"/>
      <c r="B4919" s="2"/>
      <c r="C4919" s="1"/>
      <c r="D4919" s="2"/>
      <c r="E4919" s="2"/>
      <c r="F4919" s="2"/>
      <c r="G4919" s="2"/>
      <c r="H4919" s="2"/>
      <c r="I4919" s="2"/>
      <c r="J4919" s="2"/>
      <c r="K4919" s="2"/>
      <c r="L4919" s="2"/>
      <c r="M4919" s="2"/>
      <c r="N4919" s="2"/>
      <c r="O4919" s="2"/>
      <c r="P4919" s="2"/>
      <c r="Q4919" s="2"/>
      <c r="R4919" s="2"/>
      <c r="S4919" s="2"/>
      <c r="T4919" s="2"/>
      <c r="U4919" s="2"/>
      <c r="V4919" s="2"/>
      <c r="W4919" s="2"/>
    </row>
    <row r="4920" spans="1:23" x14ac:dyDescent="0.25">
      <c r="A4920" s="2"/>
      <c r="B4920" s="2"/>
      <c r="C4920" s="1"/>
      <c r="D4920" s="2"/>
      <c r="E4920" s="2"/>
      <c r="F4920" s="2"/>
      <c r="G4920" s="2"/>
      <c r="H4920" s="2"/>
      <c r="I4920" s="2"/>
      <c r="J4920" s="2"/>
      <c r="K4920" s="2"/>
      <c r="L4920" s="2"/>
      <c r="M4920" s="2"/>
      <c r="N4920" s="2"/>
      <c r="O4920" s="2"/>
      <c r="P4920" s="2"/>
      <c r="Q4920" s="2"/>
      <c r="R4920" s="2"/>
      <c r="S4920" s="2"/>
      <c r="T4920" s="2"/>
      <c r="U4920" s="2"/>
      <c r="V4920" s="2"/>
      <c r="W4920" s="2"/>
    </row>
    <row r="4921" spans="1:23" x14ac:dyDescent="0.25">
      <c r="A4921" s="2"/>
      <c r="B4921" s="2"/>
      <c r="C4921" s="1"/>
      <c r="D4921" s="2"/>
      <c r="E4921" s="2"/>
      <c r="F4921" s="2"/>
      <c r="G4921" s="2"/>
      <c r="H4921" s="2"/>
      <c r="I4921" s="2"/>
      <c r="J4921" s="2"/>
      <c r="K4921" s="2"/>
      <c r="L4921" s="2"/>
      <c r="M4921" s="2"/>
      <c r="N4921" s="2"/>
      <c r="O4921" s="2"/>
      <c r="P4921" s="2"/>
      <c r="Q4921" s="2"/>
      <c r="R4921" s="2"/>
      <c r="S4921" s="2"/>
      <c r="T4921" s="2"/>
      <c r="U4921" s="2"/>
      <c r="V4921" s="2"/>
      <c r="W4921" s="2"/>
    </row>
    <row r="4922" spans="1:23" x14ac:dyDescent="0.25">
      <c r="A4922" s="2"/>
      <c r="B4922" s="2"/>
      <c r="C4922" s="1"/>
      <c r="D4922" s="2"/>
      <c r="E4922" s="2"/>
      <c r="F4922" s="2"/>
      <c r="G4922" s="2"/>
      <c r="H4922" s="2"/>
      <c r="I4922" s="2"/>
      <c r="J4922" s="2"/>
      <c r="K4922" s="2"/>
      <c r="L4922" s="2"/>
      <c r="M4922" s="2"/>
      <c r="N4922" s="2"/>
      <c r="O4922" s="2"/>
      <c r="P4922" s="2"/>
      <c r="Q4922" s="2"/>
      <c r="R4922" s="2"/>
      <c r="S4922" s="2"/>
      <c r="T4922" s="2"/>
      <c r="U4922" s="2"/>
      <c r="V4922" s="2"/>
      <c r="W4922" s="2"/>
    </row>
    <row r="4923" spans="1:23" x14ac:dyDescent="0.25">
      <c r="A4923" s="2"/>
      <c r="B4923" s="2"/>
      <c r="C4923" s="1"/>
      <c r="D4923" s="2"/>
      <c r="E4923" s="2"/>
      <c r="F4923" s="2"/>
      <c r="G4923" s="2"/>
      <c r="H4923" s="2"/>
      <c r="I4923" s="2"/>
      <c r="J4923" s="2"/>
      <c r="K4923" s="2"/>
      <c r="L4923" s="2"/>
      <c r="M4923" s="2"/>
      <c r="N4923" s="2"/>
      <c r="O4923" s="2"/>
      <c r="P4923" s="2"/>
      <c r="Q4923" s="2"/>
      <c r="R4923" s="2"/>
      <c r="S4923" s="2"/>
      <c r="T4923" s="2"/>
      <c r="U4923" s="2"/>
      <c r="V4923" s="2"/>
      <c r="W4923" s="2"/>
    </row>
    <row r="4924" spans="1:23" x14ac:dyDescent="0.25">
      <c r="A4924" s="2"/>
      <c r="B4924" s="2"/>
      <c r="C4924" s="1"/>
      <c r="D4924" s="2"/>
      <c r="E4924" s="2"/>
      <c r="F4924" s="2"/>
      <c r="G4924" s="2"/>
      <c r="H4924" s="2"/>
      <c r="I4924" s="2"/>
      <c r="J4924" s="2"/>
      <c r="K4924" s="2"/>
      <c r="L4924" s="2"/>
      <c r="M4924" s="2"/>
      <c r="N4924" s="2"/>
      <c r="O4924" s="2"/>
      <c r="P4924" s="2"/>
      <c r="Q4924" s="2"/>
      <c r="R4924" s="2"/>
      <c r="S4924" s="2"/>
      <c r="T4924" s="2"/>
      <c r="U4924" s="2"/>
      <c r="V4924" s="2"/>
      <c r="W4924" s="2"/>
    </row>
    <row r="4925" spans="1:23" x14ac:dyDescent="0.25">
      <c r="A4925" s="2"/>
      <c r="B4925" s="2"/>
      <c r="C4925" s="1"/>
      <c r="D4925" s="2"/>
      <c r="E4925" s="2"/>
      <c r="F4925" s="2"/>
      <c r="G4925" s="2"/>
      <c r="H4925" s="2"/>
      <c r="I4925" s="2"/>
      <c r="J4925" s="2"/>
      <c r="K4925" s="2"/>
      <c r="L4925" s="2"/>
      <c r="M4925" s="2"/>
      <c r="N4925" s="2"/>
      <c r="O4925" s="2"/>
      <c r="P4925" s="2"/>
      <c r="Q4925" s="2"/>
      <c r="R4925" s="2"/>
      <c r="S4925" s="2"/>
      <c r="T4925" s="2"/>
      <c r="U4925" s="2"/>
      <c r="V4925" s="2"/>
      <c r="W4925" s="2"/>
    </row>
    <row r="4926" spans="1:23" x14ac:dyDescent="0.25">
      <c r="A4926" s="2"/>
      <c r="B4926" s="2"/>
      <c r="C4926" s="1"/>
      <c r="D4926" s="2"/>
      <c r="E4926" s="2"/>
      <c r="F4926" s="2"/>
      <c r="G4926" s="2"/>
      <c r="H4926" s="2"/>
      <c r="I4926" s="2"/>
      <c r="J4926" s="2"/>
      <c r="K4926" s="2"/>
      <c r="L4926" s="2"/>
      <c r="M4926" s="2"/>
      <c r="N4926" s="2"/>
      <c r="O4926" s="2"/>
      <c r="P4926" s="2"/>
      <c r="Q4926" s="2"/>
      <c r="R4926" s="2"/>
      <c r="S4926" s="2"/>
      <c r="T4926" s="2"/>
      <c r="U4926" s="2"/>
      <c r="V4926" s="2"/>
      <c r="W4926" s="2"/>
    </row>
    <row r="4927" spans="1:23" x14ac:dyDescent="0.25">
      <c r="A4927" s="2"/>
      <c r="B4927" s="2"/>
      <c r="C4927" s="1"/>
      <c r="D4927" s="2"/>
      <c r="E4927" s="2"/>
      <c r="F4927" s="2"/>
      <c r="G4927" s="2"/>
      <c r="H4927" s="2"/>
      <c r="I4927" s="2"/>
      <c r="J4927" s="2"/>
      <c r="K4927" s="2"/>
      <c r="L4927" s="2"/>
      <c r="M4927" s="2"/>
      <c r="N4927" s="2"/>
      <c r="O4927" s="2"/>
      <c r="P4927" s="2"/>
      <c r="Q4927" s="2"/>
      <c r="R4927" s="2"/>
      <c r="S4927" s="2"/>
      <c r="T4927" s="2"/>
      <c r="U4927" s="2"/>
      <c r="V4927" s="2"/>
      <c r="W4927" s="2"/>
    </row>
    <row r="4928" spans="1:23" x14ac:dyDescent="0.25">
      <c r="A4928" s="2"/>
      <c r="B4928" s="2"/>
      <c r="C4928" s="1"/>
      <c r="D4928" s="2"/>
      <c r="E4928" s="2"/>
      <c r="F4928" s="2"/>
      <c r="G4928" s="2"/>
      <c r="H4928" s="2"/>
      <c r="I4928" s="2"/>
      <c r="J4928" s="2"/>
      <c r="K4928" s="2"/>
      <c r="L4928" s="2"/>
      <c r="M4928" s="2"/>
      <c r="N4928" s="2"/>
      <c r="O4928" s="2"/>
      <c r="P4928" s="2"/>
      <c r="Q4928" s="2"/>
      <c r="R4928" s="2"/>
      <c r="S4928" s="2"/>
      <c r="T4928" s="2"/>
      <c r="U4928" s="2"/>
      <c r="V4928" s="2"/>
      <c r="W4928" s="2"/>
    </row>
    <row r="4929" spans="1:23" x14ac:dyDescent="0.25">
      <c r="A4929" s="2"/>
      <c r="B4929" s="2"/>
      <c r="C4929" s="1"/>
      <c r="D4929" s="2"/>
      <c r="E4929" s="2"/>
      <c r="F4929" s="2"/>
      <c r="G4929" s="2"/>
      <c r="H4929" s="2"/>
      <c r="I4929" s="2"/>
      <c r="J4929" s="2"/>
      <c r="K4929" s="2"/>
      <c r="L4929" s="2"/>
      <c r="M4929" s="2"/>
      <c r="N4929" s="2"/>
      <c r="O4929" s="2"/>
      <c r="P4929" s="2"/>
      <c r="Q4929" s="2"/>
      <c r="R4929" s="2"/>
      <c r="S4929" s="2"/>
      <c r="T4929" s="2"/>
      <c r="U4929" s="2"/>
      <c r="V4929" s="2"/>
      <c r="W4929" s="2"/>
    </row>
    <row r="4930" spans="1:23" x14ac:dyDescent="0.25">
      <c r="A4930" s="2"/>
      <c r="B4930" s="2"/>
      <c r="C4930" s="1"/>
      <c r="D4930" s="2"/>
      <c r="E4930" s="2"/>
      <c r="F4930" s="2"/>
      <c r="G4930" s="2"/>
      <c r="H4930" s="2"/>
      <c r="I4930" s="2"/>
      <c r="J4930" s="2"/>
      <c r="K4930" s="2"/>
      <c r="L4930" s="2"/>
      <c r="M4930" s="2"/>
      <c r="N4930" s="2"/>
      <c r="O4930" s="2"/>
      <c r="P4930" s="2"/>
      <c r="Q4930" s="2"/>
      <c r="R4930" s="2"/>
      <c r="S4930" s="2"/>
      <c r="T4930" s="2"/>
      <c r="U4930" s="2"/>
      <c r="V4930" s="2"/>
      <c r="W4930" s="2"/>
    </row>
    <row r="4931" spans="1:23" x14ac:dyDescent="0.25">
      <c r="A4931" s="2"/>
      <c r="B4931" s="2"/>
      <c r="C4931" s="1"/>
      <c r="D4931" s="2"/>
      <c r="E4931" s="2"/>
      <c r="F4931" s="2"/>
      <c r="G4931" s="2"/>
      <c r="H4931" s="2"/>
      <c r="I4931" s="2"/>
      <c r="J4931" s="2"/>
      <c r="K4931" s="2"/>
      <c r="L4931" s="2"/>
      <c r="M4931" s="2"/>
      <c r="N4931" s="2"/>
      <c r="O4931" s="2"/>
      <c r="P4931" s="2"/>
      <c r="Q4931" s="2"/>
      <c r="R4931" s="2"/>
      <c r="S4931" s="2"/>
      <c r="T4931" s="2"/>
      <c r="U4931" s="2"/>
      <c r="V4931" s="2"/>
      <c r="W4931" s="2"/>
    </row>
    <row r="4932" spans="1:23" x14ac:dyDescent="0.25">
      <c r="A4932" s="2"/>
      <c r="B4932" s="2"/>
      <c r="C4932" s="1"/>
      <c r="D4932" s="2"/>
      <c r="E4932" s="2"/>
      <c r="F4932" s="2"/>
      <c r="G4932" s="2"/>
      <c r="H4932" s="2"/>
      <c r="I4932" s="2"/>
      <c r="J4932" s="2"/>
      <c r="K4932" s="2"/>
      <c r="L4932" s="2"/>
      <c r="M4932" s="2"/>
      <c r="N4932" s="2"/>
      <c r="O4932" s="2"/>
      <c r="P4932" s="2"/>
      <c r="Q4932" s="2"/>
      <c r="R4932" s="2"/>
      <c r="S4932" s="2"/>
      <c r="T4932" s="2"/>
      <c r="U4932" s="2"/>
      <c r="V4932" s="2"/>
      <c r="W4932" s="2"/>
    </row>
    <row r="4933" spans="1:23" x14ac:dyDescent="0.25">
      <c r="A4933" s="2"/>
      <c r="B4933" s="2"/>
      <c r="C4933" s="1"/>
      <c r="D4933" s="2"/>
      <c r="E4933" s="2"/>
      <c r="F4933" s="2"/>
      <c r="G4933" s="2"/>
      <c r="H4933" s="2"/>
      <c r="I4933" s="2"/>
      <c r="J4933" s="2"/>
      <c r="K4933" s="2"/>
      <c r="L4933" s="2"/>
      <c r="M4933" s="2"/>
      <c r="N4933" s="2"/>
      <c r="O4933" s="2"/>
      <c r="P4933" s="2"/>
      <c r="Q4933" s="2"/>
      <c r="R4933" s="2"/>
      <c r="S4933" s="2"/>
      <c r="T4933" s="2"/>
      <c r="U4933" s="2"/>
      <c r="V4933" s="2"/>
      <c r="W4933" s="2"/>
    </row>
    <row r="4934" spans="1:23" x14ac:dyDescent="0.25">
      <c r="A4934" s="2"/>
      <c r="B4934" s="2"/>
      <c r="C4934" s="1"/>
      <c r="D4934" s="2"/>
      <c r="E4934" s="2"/>
      <c r="F4934" s="2"/>
      <c r="G4934" s="2"/>
      <c r="H4934" s="2"/>
      <c r="I4934" s="2"/>
      <c r="J4934" s="2"/>
      <c r="K4934" s="2"/>
      <c r="L4934" s="2"/>
      <c r="M4934" s="2"/>
      <c r="N4934" s="2"/>
      <c r="O4934" s="2"/>
      <c r="P4934" s="2"/>
      <c r="Q4934" s="2"/>
      <c r="R4934" s="2"/>
      <c r="S4934" s="2"/>
      <c r="T4934" s="2"/>
      <c r="U4934" s="2"/>
      <c r="V4934" s="2"/>
      <c r="W4934" s="2"/>
    </row>
    <row r="4935" spans="1:23" x14ac:dyDescent="0.25">
      <c r="A4935" s="2"/>
      <c r="B4935" s="2"/>
      <c r="C4935" s="1"/>
      <c r="D4935" s="2"/>
      <c r="E4935" s="2"/>
      <c r="F4935" s="2"/>
      <c r="G4935" s="2"/>
      <c r="H4935" s="2"/>
      <c r="I4935" s="2"/>
      <c r="J4935" s="2"/>
      <c r="K4935" s="2"/>
      <c r="L4935" s="2"/>
      <c r="M4935" s="2"/>
      <c r="N4935" s="2"/>
      <c r="O4935" s="2"/>
      <c r="P4935" s="2"/>
      <c r="Q4935" s="2"/>
      <c r="R4935" s="2"/>
      <c r="S4935" s="2"/>
      <c r="T4935" s="2"/>
      <c r="U4935" s="2"/>
      <c r="V4935" s="2"/>
      <c r="W4935" s="2"/>
    </row>
    <row r="4936" spans="1:23" x14ac:dyDescent="0.25">
      <c r="A4936" s="2"/>
      <c r="B4936" s="2"/>
      <c r="C4936" s="1"/>
      <c r="D4936" s="2"/>
      <c r="E4936" s="2"/>
      <c r="F4936" s="2"/>
      <c r="G4936" s="2"/>
      <c r="H4936" s="2"/>
      <c r="I4936" s="2"/>
      <c r="J4936" s="2"/>
      <c r="K4936" s="2"/>
      <c r="L4936" s="2"/>
      <c r="M4936" s="2"/>
      <c r="N4936" s="2"/>
      <c r="O4936" s="2"/>
      <c r="P4936" s="2"/>
      <c r="Q4936" s="2"/>
      <c r="R4936" s="2"/>
      <c r="S4936" s="2"/>
      <c r="T4936" s="2"/>
      <c r="U4936" s="2"/>
      <c r="V4936" s="2"/>
      <c r="W4936" s="2"/>
    </row>
    <row r="4937" spans="1:23" x14ac:dyDescent="0.25">
      <c r="A4937" s="2"/>
      <c r="B4937" s="2"/>
      <c r="C4937" s="1"/>
      <c r="D4937" s="2"/>
      <c r="E4937" s="2"/>
      <c r="F4937" s="2"/>
      <c r="G4937" s="2"/>
      <c r="H4937" s="2"/>
      <c r="I4937" s="2"/>
      <c r="J4937" s="2"/>
      <c r="K4937" s="2"/>
      <c r="L4937" s="2"/>
      <c r="M4937" s="2"/>
      <c r="N4937" s="2"/>
      <c r="O4937" s="2"/>
      <c r="P4937" s="2"/>
      <c r="Q4937" s="2"/>
      <c r="R4937" s="2"/>
      <c r="S4937" s="2"/>
      <c r="T4937" s="2"/>
      <c r="U4937" s="2"/>
      <c r="V4937" s="2"/>
      <c r="W4937" s="2"/>
    </row>
    <row r="4938" spans="1:23" x14ac:dyDescent="0.25">
      <c r="A4938" s="2"/>
      <c r="B4938" s="2"/>
      <c r="C4938" s="1"/>
      <c r="D4938" s="2"/>
      <c r="E4938" s="2"/>
      <c r="F4938" s="2"/>
      <c r="G4938" s="2"/>
      <c r="H4938" s="2"/>
      <c r="I4938" s="2"/>
      <c r="J4938" s="2"/>
      <c r="K4938" s="2"/>
      <c r="L4938" s="2"/>
      <c r="M4938" s="2"/>
      <c r="N4938" s="2"/>
      <c r="O4938" s="2"/>
      <c r="P4938" s="2"/>
      <c r="Q4938" s="2"/>
      <c r="R4938" s="2"/>
      <c r="S4938" s="2"/>
      <c r="T4938" s="2"/>
      <c r="U4938" s="2"/>
      <c r="V4938" s="2"/>
      <c r="W4938" s="2"/>
    </row>
    <row r="4939" spans="1:23" x14ac:dyDescent="0.25">
      <c r="A4939" s="2"/>
      <c r="B4939" s="2"/>
      <c r="C4939" s="1"/>
      <c r="D4939" s="2"/>
      <c r="E4939" s="2"/>
      <c r="F4939" s="2"/>
      <c r="G4939" s="2"/>
      <c r="H4939" s="2"/>
      <c r="I4939" s="2"/>
      <c r="J4939" s="2"/>
      <c r="K4939" s="2"/>
      <c r="L4939" s="2"/>
      <c r="M4939" s="2"/>
      <c r="N4939" s="2"/>
      <c r="O4939" s="2"/>
      <c r="P4939" s="2"/>
      <c r="Q4939" s="2"/>
      <c r="R4939" s="2"/>
      <c r="S4939" s="2"/>
      <c r="T4939" s="2"/>
      <c r="U4939" s="2"/>
      <c r="V4939" s="2"/>
      <c r="W4939" s="2"/>
    </row>
    <row r="4940" spans="1:23" x14ac:dyDescent="0.25">
      <c r="A4940" s="2"/>
      <c r="B4940" s="2"/>
      <c r="C4940" s="1"/>
      <c r="D4940" s="2"/>
      <c r="E4940" s="2"/>
      <c r="F4940" s="2"/>
      <c r="G4940" s="2"/>
      <c r="H4940" s="2"/>
      <c r="I4940" s="2"/>
      <c r="J4940" s="2"/>
      <c r="K4940" s="2"/>
      <c r="L4940" s="2"/>
      <c r="M4940" s="2"/>
      <c r="N4940" s="2"/>
      <c r="O4940" s="2"/>
      <c r="P4940" s="2"/>
      <c r="Q4940" s="2"/>
      <c r="R4940" s="2"/>
      <c r="S4940" s="2"/>
      <c r="T4940" s="2"/>
      <c r="U4940" s="2"/>
      <c r="V4940" s="2"/>
      <c r="W4940" s="2"/>
    </row>
    <row r="4941" spans="1:23" x14ac:dyDescent="0.25">
      <c r="A4941" s="2"/>
      <c r="B4941" s="2"/>
      <c r="C4941" s="1"/>
      <c r="D4941" s="2"/>
      <c r="E4941" s="2"/>
      <c r="F4941" s="2"/>
      <c r="G4941" s="2"/>
      <c r="H4941" s="2"/>
      <c r="I4941" s="2"/>
      <c r="J4941" s="2"/>
      <c r="K4941" s="2"/>
      <c r="L4941" s="2"/>
      <c r="M4941" s="2"/>
      <c r="N4941" s="2"/>
      <c r="O4941" s="2"/>
      <c r="P4941" s="2"/>
      <c r="Q4941" s="2"/>
      <c r="R4941" s="2"/>
      <c r="S4941" s="2"/>
      <c r="T4941" s="2"/>
      <c r="U4941" s="2"/>
      <c r="V4941" s="2"/>
      <c r="W4941" s="2"/>
    </row>
    <row r="4942" spans="1:23" x14ac:dyDescent="0.25">
      <c r="A4942" s="2"/>
      <c r="B4942" s="2"/>
      <c r="C4942" s="1"/>
      <c r="D4942" s="2"/>
      <c r="E4942" s="2"/>
      <c r="F4942" s="2"/>
      <c r="G4942" s="2"/>
      <c r="H4942" s="2"/>
      <c r="I4942" s="2"/>
      <c r="J4942" s="2"/>
      <c r="K4942" s="2"/>
      <c r="L4942" s="2"/>
      <c r="M4942" s="2"/>
      <c r="N4942" s="2"/>
      <c r="O4942" s="2"/>
      <c r="P4942" s="2"/>
      <c r="Q4942" s="2"/>
      <c r="R4942" s="2"/>
      <c r="S4942" s="2"/>
      <c r="T4942" s="2"/>
      <c r="U4942" s="2"/>
      <c r="V4942" s="2"/>
      <c r="W4942" s="2"/>
    </row>
    <row r="4943" spans="1:23" x14ac:dyDescent="0.25">
      <c r="A4943" s="2"/>
      <c r="B4943" s="2"/>
      <c r="C4943" s="1"/>
      <c r="D4943" s="2"/>
      <c r="E4943" s="2"/>
      <c r="F4943" s="2"/>
      <c r="G4943" s="2"/>
      <c r="H4943" s="2"/>
      <c r="I4943" s="2"/>
      <c r="J4943" s="2"/>
      <c r="K4943" s="2"/>
      <c r="L4943" s="2"/>
      <c r="M4943" s="2"/>
      <c r="N4943" s="2"/>
      <c r="O4943" s="2"/>
      <c r="P4943" s="2"/>
      <c r="Q4943" s="2"/>
      <c r="R4943" s="2"/>
      <c r="S4943" s="2"/>
      <c r="T4943" s="2"/>
      <c r="U4943" s="2"/>
      <c r="V4943" s="2"/>
      <c r="W4943" s="2"/>
    </row>
    <row r="4944" spans="1:23" x14ac:dyDescent="0.25">
      <c r="A4944" s="2"/>
      <c r="B4944" s="2"/>
      <c r="C4944" s="1"/>
      <c r="D4944" s="2"/>
      <c r="E4944" s="2"/>
      <c r="F4944" s="2"/>
      <c r="G4944" s="2"/>
      <c r="H4944" s="2"/>
      <c r="I4944" s="2"/>
      <c r="J4944" s="2"/>
      <c r="K4944" s="2"/>
      <c r="L4944" s="2"/>
      <c r="M4944" s="2"/>
      <c r="N4944" s="2"/>
      <c r="O4944" s="2"/>
      <c r="P4944" s="2"/>
      <c r="Q4944" s="2"/>
      <c r="R4944" s="2"/>
      <c r="S4944" s="2"/>
      <c r="T4944" s="2"/>
      <c r="U4944" s="2"/>
      <c r="V4944" s="2"/>
      <c r="W4944" s="2"/>
    </row>
    <row r="4945" spans="1:23" x14ac:dyDescent="0.25">
      <c r="A4945" s="2"/>
      <c r="B4945" s="2"/>
      <c r="C4945" s="1"/>
      <c r="D4945" s="2"/>
      <c r="E4945" s="2"/>
      <c r="F4945" s="2"/>
      <c r="G4945" s="2"/>
      <c r="H4945" s="2"/>
      <c r="I4945" s="2"/>
      <c r="J4945" s="2"/>
      <c r="K4945" s="2"/>
      <c r="L4945" s="2"/>
      <c r="M4945" s="2"/>
      <c r="N4945" s="2"/>
      <c r="O4945" s="2"/>
      <c r="P4945" s="2"/>
      <c r="Q4945" s="2"/>
      <c r="R4945" s="2"/>
      <c r="S4945" s="2"/>
      <c r="T4945" s="2"/>
      <c r="U4945" s="2"/>
      <c r="V4945" s="2"/>
      <c r="W4945" s="2"/>
    </row>
    <row r="4946" spans="1:23" x14ac:dyDescent="0.25">
      <c r="A4946" s="2"/>
      <c r="B4946" s="2"/>
      <c r="C4946" s="1"/>
      <c r="D4946" s="2"/>
      <c r="E4946" s="2"/>
      <c r="F4946" s="2"/>
      <c r="G4946" s="2"/>
      <c r="H4946" s="2"/>
      <c r="I4946" s="2"/>
      <c r="J4946" s="2"/>
      <c r="K4946" s="2"/>
      <c r="L4946" s="2"/>
      <c r="M4946" s="2"/>
      <c r="N4946" s="2"/>
      <c r="O4946" s="2"/>
      <c r="P4946" s="2"/>
      <c r="Q4946" s="2"/>
      <c r="R4946" s="2"/>
      <c r="S4946" s="2"/>
      <c r="T4946" s="2"/>
      <c r="U4946" s="2"/>
      <c r="V4946" s="2"/>
      <c r="W4946" s="2"/>
    </row>
    <row r="4947" spans="1:23" x14ac:dyDescent="0.25">
      <c r="A4947" s="2"/>
      <c r="B4947" s="2"/>
      <c r="C4947" s="1"/>
      <c r="D4947" s="2"/>
      <c r="E4947" s="2"/>
      <c r="F4947" s="2"/>
      <c r="G4947" s="2"/>
      <c r="H4947" s="2"/>
      <c r="I4947" s="2"/>
      <c r="J4947" s="2"/>
      <c r="K4947" s="2"/>
      <c r="L4947" s="2"/>
      <c r="M4947" s="2"/>
      <c r="N4947" s="2"/>
      <c r="O4947" s="2"/>
      <c r="P4947" s="2"/>
      <c r="Q4947" s="2"/>
      <c r="R4947" s="2"/>
      <c r="S4947" s="2"/>
      <c r="T4947" s="2"/>
      <c r="U4947" s="2"/>
      <c r="V4947" s="2"/>
      <c r="W4947" s="2"/>
    </row>
    <row r="4948" spans="1:23" x14ac:dyDescent="0.25">
      <c r="A4948" s="2"/>
      <c r="B4948" s="2"/>
      <c r="C4948" s="1"/>
      <c r="D4948" s="2"/>
      <c r="E4948" s="2"/>
      <c r="F4948" s="2"/>
      <c r="G4948" s="2"/>
      <c r="H4948" s="2"/>
      <c r="I4948" s="2"/>
      <c r="J4948" s="2"/>
      <c r="K4948" s="2"/>
      <c r="L4948" s="2"/>
      <c r="M4948" s="2"/>
      <c r="N4948" s="2"/>
      <c r="O4948" s="2"/>
      <c r="P4948" s="2"/>
      <c r="Q4948" s="2"/>
      <c r="R4948" s="2"/>
      <c r="S4948" s="2"/>
      <c r="T4948" s="2"/>
      <c r="U4948" s="2"/>
      <c r="V4948" s="2"/>
      <c r="W4948" s="2"/>
    </row>
    <row r="4949" spans="1:23" x14ac:dyDescent="0.25">
      <c r="A4949" s="2"/>
      <c r="B4949" s="2"/>
      <c r="C4949" s="1"/>
      <c r="D4949" s="2"/>
      <c r="E4949" s="2"/>
      <c r="F4949" s="2"/>
      <c r="G4949" s="2"/>
      <c r="H4949" s="2"/>
      <c r="I4949" s="2"/>
      <c r="J4949" s="2"/>
      <c r="K4949" s="2"/>
      <c r="L4949" s="2"/>
      <c r="M4949" s="2"/>
      <c r="N4949" s="2"/>
      <c r="O4949" s="2"/>
      <c r="P4949" s="2"/>
      <c r="Q4949" s="2"/>
      <c r="R4949" s="2"/>
      <c r="S4949" s="2"/>
      <c r="T4949" s="2"/>
      <c r="U4949" s="2"/>
      <c r="V4949" s="2"/>
      <c r="W4949" s="2"/>
    </row>
    <row r="4950" spans="1:23" x14ac:dyDescent="0.25">
      <c r="A4950" s="2"/>
      <c r="B4950" s="2"/>
      <c r="C4950" s="1"/>
      <c r="D4950" s="2"/>
      <c r="E4950" s="2"/>
      <c r="F4950" s="2"/>
      <c r="G4950" s="2"/>
      <c r="H4950" s="2"/>
      <c r="I4950" s="2"/>
      <c r="J4950" s="2"/>
      <c r="K4950" s="2"/>
      <c r="L4950" s="2"/>
      <c r="M4950" s="2"/>
      <c r="N4950" s="2"/>
      <c r="O4950" s="2"/>
      <c r="P4950" s="2"/>
      <c r="Q4950" s="2"/>
      <c r="R4950" s="2"/>
      <c r="S4950" s="2"/>
      <c r="T4950" s="2"/>
      <c r="U4950" s="2"/>
      <c r="V4950" s="2"/>
      <c r="W4950" s="2"/>
    </row>
    <row r="4951" spans="1:23" x14ac:dyDescent="0.25">
      <c r="A4951" s="2"/>
      <c r="B4951" s="2"/>
      <c r="C4951" s="1"/>
      <c r="D4951" s="2"/>
      <c r="E4951" s="2"/>
      <c r="F4951" s="2"/>
      <c r="G4951" s="2"/>
      <c r="H4951" s="2"/>
      <c r="I4951" s="2"/>
      <c r="J4951" s="2"/>
      <c r="K4951" s="2"/>
      <c r="L4951" s="2"/>
      <c r="M4951" s="2"/>
      <c r="N4951" s="2"/>
      <c r="O4951" s="2"/>
      <c r="P4951" s="2"/>
      <c r="Q4951" s="2"/>
      <c r="R4951" s="2"/>
      <c r="S4951" s="2"/>
      <c r="T4951" s="2"/>
      <c r="U4951" s="2"/>
      <c r="V4951" s="2"/>
      <c r="W4951" s="2"/>
    </row>
    <row r="4952" spans="1:23" x14ac:dyDescent="0.25">
      <c r="A4952" s="2"/>
      <c r="B4952" s="2"/>
      <c r="C4952" s="1"/>
      <c r="D4952" s="2"/>
      <c r="E4952" s="2"/>
      <c r="F4952" s="2"/>
      <c r="G4952" s="2"/>
      <c r="H4952" s="2"/>
      <c r="I4952" s="2"/>
      <c r="J4952" s="2"/>
      <c r="K4952" s="2"/>
      <c r="L4952" s="2"/>
      <c r="M4952" s="2"/>
      <c r="N4952" s="2"/>
      <c r="O4952" s="2"/>
      <c r="P4952" s="2"/>
      <c r="Q4952" s="2"/>
      <c r="R4952" s="2"/>
      <c r="S4952" s="2"/>
      <c r="T4952" s="2"/>
      <c r="U4952" s="2"/>
      <c r="V4952" s="2"/>
      <c r="W4952" s="2"/>
    </row>
    <row r="4953" spans="1:23" x14ac:dyDescent="0.25">
      <c r="A4953" s="2"/>
      <c r="B4953" s="2"/>
      <c r="C4953" s="1"/>
      <c r="D4953" s="2"/>
      <c r="E4953" s="2"/>
      <c r="F4953" s="2"/>
      <c r="G4953" s="2"/>
      <c r="H4953" s="2"/>
      <c r="I4953" s="2"/>
      <c r="J4953" s="2"/>
      <c r="K4953" s="2"/>
      <c r="L4953" s="2"/>
      <c r="M4953" s="2"/>
      <c r="N4953" s="2"/>
      <c r="O4953" s="2"/>
      <c r="P4953" s="2"/>
      <c r="Q4953" s="2"/>
      <c r="R4953" s="2"/>
      <c r="S4953" s="2"/>
      <c r="T4953" s="2"/>
      <c r="U4953" s="2"/>
      <c r="V4953" s="2"/>
      <c r="W4953" s="2"/>
    </row>
    <row r="4954" spans="1:23" x14ac:dyDescent="0.25">
      <c r="A4954" s="2"/>
      <c r="B4954" s="2"/>
      <c r="C4954" s="1"/>
      <c r="D4954" s="2"/>
      <c r="E4954" s="2"/>
      <c r="F4954" s="2"/>
      <c r="G4954" s="2"/>
      <c r="H4954" s="2"/>
      <c r="I4954" s="2"/>
      <c r="J4954" s="2"/>
      <c r="K4954" s="2"/>
      <c r="L4954" s="2"/>
      <c r="M4954" s="2"/>
      <c r="N4954" s="2"/>
      <c r="O4954" s="2"/>
      <c r="P4954" s="2"/>
      <c r="Q4954" s="2"/>
      <c r="R4954" s="2"/>
      <c r="S4954" s="2"/>
      <c r="T4954" s="2"/>
      <c r="U4954" s="2"/>
      <c r="V4954" s="2"/>
      <c r="W4954" s="2"/>
    </row>
    <row r="4955" spans="1:23" x14ac:dyDescent="0.25">
      <c r="A4955" s="2"/>
      <c r="B4955" s="2"/>
      <c r="C4955" s="1"/>
      <c r="D4955" s="2"/>
      <c r="E4955" s="2"/>
      <c r="F4955" s="2"/>
      <c r="G4955" s="2"/>
      <c r="H4955" s="2"/>
      <c r="I4955" s="2"/>
      <c r="J4955" s="2"/>
      <c r="K4955" s="2"/>
      <c r="L4955" s="2"/>
      <c r="M4955" s="2"/>
      <c r="N4955" s="2"/>
      <c r="O4955" s="2"/>
      <c r="P4955" s="2"/>
      <c r="Q4955" s="2"/>
      <c r="R4955" s="2"/>
      <c r="S4955" s="2"/>
      <c r="T4955" s="2"/>
      <c r="U4955" s="2"/>
      <c r="V4955" s="2"/>
      <c r="W4955" s="2"/>
    </row>
    <row r="4956" spans="1:23" x14ac:dyDescent="0.25">
      <c r="A4956" s="2"/>
      <c r="B4956" s="2"/>
      <c r="C4956" s="1"/>
      <c r="D4956" s="2"/>
      <c r="E4956" s="2"/>
      <c r="F4956" s="2"/>
      <c r="G4956" s="2"/>
      <c r="H4956" s="2"/>
      <c r="I4956" s="2"/>
      <c r="J4956" s="2"/>
      <c r="K4956" s="2"/>
      <c r="L4956" s="2"/>
      <c r="M4956" s="2"/>
      <c r="N4956" s="2"/>
      <c r="O4956" s="2"/>
      <c r="P4956" s="2"/>
      <c r="Q4956" s="2"/>
      <c r="R4956" s="2"/>
      <c r="S4956" s="2"/>
      <c r="T4956" s="2"/>
      <c r="U4956" s="2"/>
      <c r="V4956" s="2"/>
      <c r="W4956" s="2"/>
    </row>
    <row r="4957" spans="1:23" x14ac:dyDescent="0.25">
      <c r="A4957" s="2"/>
      <c r="B4957" s="2"/>
      <c r="C4957" s="1"/>
      <c r="D4957" s="2"/>
      <c r="E4957" s="2"/>
      <c r="F4957" s="2"/>
      <c r="G4957" s="2"/>
      <c r="H4957" s="2"/>
      <c r="I4957" s="2"/>
      <c r="J4957" s="2"/>
      <c r="K4957" s="2"/>
      <c r="L4957" s="2"/>
      <c r="M4957" s="2"/>
      <c r="N4957" s="2"/>
      <c r="O4957" s="2"/>
      <c r="P4957" s="2"/>
      <c r="Q4957" s="2"/>
      <c r="R4957" s="2"/>
      <c r="S4957" s="2"/>
      <c r="T4957" s="2"/>
      <c r="U4957" s="2"/>
      <c r="V4957" s="2"/>
      <c r="W4957" s="2"/>
    </row>
    <row r="4958" spans="1:23" x14ac:dyDescent="0.25">
      <c r="A4958" s="2"/>
      <c r="B4958" s="2"/>
      <c r="C4958" s="1"/>
      <c r="D4958" s="2"/>
      <c r="E4958" s="2"/>
      <c r="F4958" s="2"/>
      <c r="G4958" s="2"/>
      <c r="H4958" s="2"/>
      <c r="I4958" s="2"/>
      <c r="J4958" s="2"/>
      <c r="K4958" s="2"/>
      <c r="L4958" s="2"/>
      <c r="M4958" s="2"/>
      <c r="N4958" s="2"/>
      <c r="O4958" s="2"/>
      <c r="P4958" s="2"/>
      <c r="Q4958" s="2"/>
      <c r="R4958" s="2"/>
      <c r="S4958" s="2"/>
      <c r="T4958" s="2"/>
      <c r="U4958" s="2"/>
      <c r="V4958" s="2"/>
      <c r="W4958" s="2"/>
    </row>
    <row r="4959" spans="1:23" x14ac:dyDescent="0.25">
      <c r="A4959" s="2"/>
      <c r="B4959" s="2"/>
      <c r="C4959" s="1"/>
      <c r="D4959" s="2"/>
      <c r="E4959" s="2"/>
      <c r="F4959" s="2"/>
      <c r="G4959" s="2"/>
      <c r="H4959" s="2"/>
      <c r="I4959" s="2"/>
      <c r="J4959" s="2"/>
      <c r="K4959" s="2"/>
      <c r="L4959" s="2"/>
      <c r="M4959" s="2"/>
      <c r="N4959" s="2"/>
      <c r="O4959" s="2"/>
      <c r="P4959" s="2"/>
      <c r="Q4959" s="2"/>
      <c r="R4959" s="2"/>
      <c r="S4959" s="2"/>
      <c r="T4959" s="2"/>
      <c r="U4959" s="2"/>
      <c r="V4959" s="2"/>
      <c r="W4959" s="2"/>
    </row>
    <row r="4960" spans="1:23" x14ac:dyDescent="0.25">
      <c r="A4960" s="2"/>
      <c r="B4960" s="2"/>
      <c r="C4960" s="1"/>
      <c r="D4960" s="2"/>
      <c r="E4960" s="2"/>
      <c r="F4960" s="2"/>
      <c r="G4960" s="2"/>
      <c r="H4960" s="2"/>
      <c r="I4960" s="2"/>
      <c r="J4960" s="2"/>
      <c r="K4960" s="2"/>
      <c r="L4960" s="2"/>
      <c r="M4960" s="2"/>
      <c r="N4960" s="2"/>
      <c r="O4960" s="2"/>
      <c r="P4960" s="2"/>
      <c r="Q4960" s="2"/>
      <c r="R4960" s="2"/>
      <c r="S4960" s="2"/>
      <c r="T4960" s="2"/>
      <c r="U4960" s="2"/>
      <c r="V4960" s="2"/>
      <c r="W4960" s="2"/>
    </row>
    <row r="4961" spans="1:23" x14ac:dyDescent="0.25">
      <c r="A4961" s="2"/>
      <c r="B4961" s="2"/>
      <c r="C4961" s="1"/>
      <c r="D4961" s="2"/>
      <c r="E4961" s="2"/>
      <c r="F4961" s="2"/>
      <c r="G4961" s="2"/>
      <c r="H4961" s="2"/>
      <c r="I4961" s="2"/>
      <c r="J4961" s="2"/>
      <c r="K4961" s="2"/>
      <c r="L4961" s="2"/>
      <c r="M4961" s="2"/>
      <c r="N4961" s="2"/>
      <c r="O4961" s="2"/>
      <c r="P4961" s="2"/>
      <c r="Q4961" s="2"/>
      <c r="R4961" s="2"/>
      <c r="S4961" s="2"/>
      <c r="T4961" s="2"/>
      <c r="U4961" s="2"/>
      <c r="V4961" s="2"/>
      <c r="W4961" s="2"/>
    </row>
    <row r="4962" spans="1:23" x14ac:dyDescent="0.25">
      <c r="A4962" s="2"/>
      <c r="B4962" s="2"/>
      <c r="C4962" s="1"/>
      <c r="D4962" s="2"/>
      <c r="E4962" s="2"/>
      <c r="F4962" s="2"/>
      <c r="G4962" s="2"/>
      <c r="H4962" s="2"/>
      <c r="I4962" s="2"/>
      <c r="J4962" s="2"/>
      <c r="K4962" s="2"/>
      <c r="L4962" s="2"/>
      <c r="M4962" s="2"/>
      <c r="N4962" s="2"/>
      <c r="O4962" s="2"/>
      <c r="P4962" s="2"/>
      <c r="Q4962" s="2"/>
      <c r="R4962" s="2"/>
      <c r="S4962" s="2"/>
      <c r="T4962" s="2"/>
      <c r="U4962" s="2"/>
      <c r="V4962" s="2"/>
      <c r="W4962" s="2"/>
    </row>
    <row r="4963" spans="1:23" x14ac:dyDescent="0.25">
      <c r="A4963" s="2"/>
      <c r="B4963" s="2"/>
      <c r="C4963" s="1"/>
      <c r="D4963" s="2"/>
      <c r="E4963" s="2"/>
      <c r="F4963" s="2"/>
      <c r="G4963" s="2"/>
      <c r="H4963" s="2"/>
      <c r="I4963" s="2"/>
      <c r="J4963" s="2"/>
      <c r="K4963" s="2"/>
      <c r="L4963" s="2"/>
      <c r="M4963" s="2"/>
      <c r="N4963" s="2"/>
      <c r="O4963" s="2"/>
      <c r="P4963" s="2"/>
      <c r="Q4963" s="2"/>
      <c r="R4963" s="2"/>
      <c r="S4963" s="2"/>
      <c r="T4963" s="2"/>
      <c r="U4963" s="2"/>
      <c r="V4963" s="2"/>
      <c r="W4963" s="2"/>
    </row>
    <row r="4964" spans="1:23" x14ac:dyDescent="0.25">
      <c r="A4964" s="2"/>
      <c r="B4964" s="2"/>
      <c r="C4964" s="1"/>
      <c r="D4964" s="2"/>
      <c r="E4964" s="2"/>
      <c r="F4964" s="2"/>
      <c r="G4964" s="2"/>
      <c r="H4964" s="2"/>
      <c r="I4964" s="2"/>
      <c r="J4964" s="2"/>
      <c r="K4964" s="2"/>
      <c r="L4964" s="2"/>
      <c r="M4964" s="2"/>
      <c r="N4964" s="2"/>
      <c r="O4964" s="2"/>
      <c r="P4964" s="2"/>
      <c r="Q4964" s="2"/>
      <c r="R4964" s="2"/>
      <c r="S4964" s="2"/>
      <c r="T4964" s="2"/>
      <c r="U4964" s="2"/>
      <c r="V4964" s="2"/>
      <c r="W4964" s="2"/>
    </row>
    <row r="4965" spans="1:23" x14ac:dyDescent="0.25">
      <c r="A4965" s="2"/>
      <c r="B4965" s="2"/>
      <c r="C4965" s="1"/>
      <c r="D4965" s="2"/>
      <c r="E4965" s="2"/>
      <c r="F4965" s="2"/>
      <c r="G4965" s="2"/>
      <c r="H4965" s="2"/>
      <c r="I4965" s="2"/>
      <c r="J4965" s="2"/>
      <c r="K4965" s="2"/>
      <c r="L4965" s="2"/>
      <c r="M4965" s="2"/>
      <c r="N4965" s="2"/>
      <c r="O4965" s="2"/>
      <c r="P4965" s="2"/>
      <c r="Q4965" s="2"/>
      <c r="R4965" s="2"/>
      <c r="S4965" s="2"/>
      <c r="T4965" s="2"/>
      <c r="U4965" s="2"/>
      <c r="V4965" s="2"/>
      <c r="W4965" s="2"/>
    </row>
    <row r="4966" spans="1:23" x14ac:dyDescent="0.25">
      <c r="A4966" s="2"/>
      <c r="B4966" s="2"/>
      <c r="C4966" s="1"/>
      <c r="D4966" s="2"/>
      <c r="E4966" s="2"/>
      <c r="F4966" s="2"/>
      <c r="G4966" s="2"/>
      <c r="H4966" s="2"/>
      <c r="I4966" s="2"/>
      <c r="J4966" s="2"/>
      <c r="K4966" s="2"/>
      <c r="L4966" s="2"/>
      <c r="M4966" s="2"/>
      <c r="N4966" s="2"/>
      <c r="O4966" s="2"/>
      <c r="P4966" s="2"/>
      <c r="Q4966" s="2"/>
      <c r="R4966" s="2"/>
      <c r="S4966" s="2"/>
      <c r="T4966" s="2"/>
      <c r="U4966" s="2"/>
      <c r="V4966" s="2"/>
      <c r="W4966" s="2"/>
    </row>
    <row r="4967" spans="1:23" x14ac:dyDescent="0.25">
      <c r="A4967" s="2"/>
      <c r="B4967" s="2"/>
      <c r="C4967" s="1"/>
      <c r="D4967" s="2"/>
      <c r="E4967" s="2"/>
      <c r="F4967" s="2"/>
      <c r="G4967" s="2"/>
      <c r="H4967" s="2"/>
      <c r="I4967" s="2"/>
      <c r="J4967" s="2"/>
      <c r="K4967" s="2"/>
      <c r="L4967" s="2"/>
      <c r="M4967" s="2"/>
      <c r="N4967" s="2"/>
      <c r="O4967" s="2"/>
      <c r="P4967" s="2"/>
      <c r="Q4967" s="2"/>
      <c r="R4967" s="2"/>
      <c r="S4967" s="2"/>
      <c r="T4967" s="2"/>
      <c r="U4967" s="2"/>
      <c r="V4967" s="2"/>
      <c r="W4967" s="2"/>
    </row>
    <row r="4968" spans="1:23" x14ac:dyDescent="0.25">
      <c r="A4968" s="2"/>
      <c r="B4968" s="2"/>
      <c r="C4968" s="1"/>
      <c r="D4968" s="2"/>
      <c r="E4968" s="2"/>
      <c r="F4968" s="2"/>
      <c r="G4968" s="2"/>
      <c r="H4968" s="2"/>
      <c r="I4968" s="2"/>
      <c r="J4968" s="2"/>
      <c r="K4968" s="2"/>
      <c r="L4968" s="2"/>
      <c r="M4968" s="2"/>
      <c r="N4968" s="2"/>
      <c r="O4968" s="2"/>
      <c r="P4968" s="2"/>
      <c r="Q4968" s="2"/>
      <c r="R4968" s="2"/>
      <c r="S4968" s="2"/>
      <c r="T4968" s="2"/>
      <c r="U4968" s="2"/>
      <c r="V4968" s="2"/>
      <c r="W4968" s="2"/>
    </row>
    <row r="4969" spans="1:23" x14ac:dyDescent="0.25">
      <c r="A4969" s="2"/>
      <c r="B4969" s="2"/>
      <c r="C4969" s="1"/>
      <c r="D4969" s="2"/>
      <c r="E4969" s="2"/>
      <c r="F4969" s="2"/>
      <c r="G4969" s="2"/>
      <c r="H4969" s="2"/>
      <c r="I4969" s="2"/>
      <c r="J4969" s="2"/>
      <c r="K4969" s="2"/>
      <c r="L4969" s="2"/>
      <c r="M4969" s="2"/>
      <c r="N4969" s="2"/>
      <c r="O4969" s="2"/>
      <c r="P4969" s="2"/>
      <c r="Q4969" s="2"/>
      <c r="R4969" s="2"/>
      <c r="S4969" s="2"/>
      <c r="T4969" s="2"/>
      <c r="U4969" s="2"/>
      <c r="V4969" s="2"/>
      <c r="W4969" s="2"/>
    </row>
    <row r="4970" spans="1:23" x14ac:dyDescent="0.25">
      <c r="A4970" s="2"/>
      <c r="B4970" s="2"/>
      <c r="C4970" s="1"/>
      <c r="D4970" s="2"/>
      <c r="E4970" s="2"/>
      <c r="F4970" s="2"/>
      <c r="G4970" s="2"/>
      <c r="H4970" s="2"/>
      <c r="I4970" s="2"/>
      <c r="J4970" s="2"/>
      <c r="K4970" s="2"/>
      <c r="L4970" s="2"/>
      <c r="M4970" s="2"/>
      <c r="N4970" s="2"/>
      <c r="O4970" s="2"/>
      <c r="P4970" s="2"/>
      <c r="Q4970" s="2"/>
      <c r="R4970" s="2"/>
      <c r="S4970" s="2"/>
      <c r="T4970" s="2"/>
      <c r="U4970" s="2"/>
      <c r="V4970" s="2"/>
      <c r="W4970" s="2"/>
    </row>
    <row r="4971" spans="1:23" x14ac:dyDescent="0.25">
      <c r="A4971" s="2"/>
      <c r="B4971" s="2"/>
      <c r="C4971" s="1"/>
      <c r="D4971" s="2"/>
      <c r="E4971" s="2"/>
      <c r="F4971" s="2"/>
      <c r="G4971" s="2"/>
      <c r="H4971" s="2"/>
      <c r="I4971" s="2"/>
      <c r="J4971" s="2"/>
      <c r="K4971" s="2"/>
      <c r="L4971" s="2"/>
      <c r="M4971" s="2"/>
      <c r="N4971" s="2"/>
      <c r="O4971" s="2"/>
      <c r="P4971" s="2"/>
      <c r="Q4971" s="2"/>
      <c r="R4971" s="2"/>
      <c r="S4971" s="2"/>
      <c r="T4971" s="2"/>
      <c r="U4971" s="2"/>
      <c r="V4971" s="2"/>
      <c r="W4971" s="2"/>
    </row>
    <row r="4972" spans="1:23" x14ac:dyDescent="0.25">
      <c r="A4972" s="2"/>
      <c r="B4972" s="2"/>
      <c r="C4972" s="1"/>
      <c r="D4972" s="2"/>
      <c r="E4972" s="2"/>
      <c r="F4972" s="2"/>
      <c r="G4972" s="2"/>
      <c r="H4972" s="2"/>
      <c r="I4972" s="2"/>
      <c r="J4972" s="2"/>
      <c r="K4972" s="2"/>
      <c r="L4972" s="2"/>
      <c r="M4972" s="2"/>
      <c r="N4972" s="2"/>
      <c r="O4972" s="2"/>
      <c r="P4972" s="2"/>
      <c r="Q4972" s="2"/>
      <c r="R4972" s="2"/>
      <c r="S4972" s="2"/>
      <c r="T4972" s="2"/>
      <c r="U4972" s="2"/>
      <c r="V4972" s="2"/>
      <c r="W4972" s="2"/>
    </row>
    <row r="4973" spans="1:23" x14ac:dyDescent="0.25">
      <c r="A4973" s="2"/>
      <c r="B4973" s="2"/>
      <c r="C4973" s="1"/>
      <c r="D4973" s="2"/>
      <c r="E4973" s="2"/>
      <c r="F4973" s="2"/>
      <c r="G4973" s="2"/>
      <c r="H4973" s="2"/>
      <c r="I4973" s="2"/>
      <c r="J4973" s="2"/>
      <c r="K4973" s="2"/>
      <c r="L4973" s="2"/>
      <c r="M4973" s="2"/>
      <c r="N4973" s="2"/>
      <c r="O4973" s="2"/>
      <c r="P4973" s="2"/>
      <c r="Q4973" s="2"/>
      <c r="R4973" s="2"/>
      <c r="S4973" s="2"/>
      <c r="T4973" s="2"/>
      <c r="U4973" s="2"/>
      <c r="V4973" s="2"/>
      <c r="W4973" s="2"/>
    </row>
    <row r="4974" spans="1:23" x14ac:dyDescent="0.25">
      <c r="A4974" s="2"/>
      <c r="B4974" s="2"/>
      <c r="C4974" s="1"/>
      <c r="D4974" s="2"/>
      <c r="E4974" s="2"/>
      <c r="F4974" s="2"/>
      <c r="G4974" s="2"/>
      <c r="H4974" s="2"/>
      <c r="I4974" s="2"/>
      <c r="J4974" s="2"/>
      <c r="K4974" s="2"/>
      <c r="L4974" s="2"/>
      <c r="M4974" s="2"/>
      <c r="N4974" s="2"/>
      <c r="O4974" s="2"/>
      <c r="P4974" s="2"/>
      <c r="Q4974" s="2"/>
      <c r="R4974" s="2"/>
      <c r="S4974" s="2"/>
      <c r="T4974" s="2"/>
      <c r="U4974" s="2"/>
      <c r="V4974" s="2"/>
      <c r="W4974" s="2"/>
    </row>
    <row r="4975" spans="1:23" x14ac:dyDescent="0.25">
      <c r="A4975" s="2"/>
      <c r="B4975" s="2"/>
      <c r="C4975" s="1"/>
      <c r="D4975" s="2"/>
      <c r="E4975" s="2"/>
      <c r="F4975" s="2"/>
      <c r="G4975" s="2"/>
      <c r="H4975" s="2"/>
      <c r="I4975" s="2"/>
      <c r="J4975" s="2"/>
      <c r="K4975" s="2"/>
      <c r="L4975" s="2"/>
      <c r="M4975" s="2"/>
      <c r="N4975" s="2"/>
      <c r="O4975" s="2"/>
      <c r="P4975" s="2"/>
      <c r="Q4975" s="2"/>
      <c r="R4975" s="2"/>
      <c r="S4975" s="2"/>
      <c r="T4975" s="2"/>
      <c r="U4975" s="2"/>
      <c r="V4975" s="2"/>
      <c r="W4975" s="2"/>
    </row>
    <row r="4976" spans="1:23" x14ac:dyDescent="0.25">
      <c r="A4976" s="2"/>
      <c r="B4976" s="2"/>
      <c r="C4976" s="1"/>
      <c r="D4976" s="2"/>
      <c r="E4976" s="2"/>
      <c r="F4976" s="2"/>
      <c r="G4976" s="2"/>
      <c r="H4976" s="2"/>
      <c r="I4976" s="2"/>
      <c r="J4976" s="2"/>
      <c r="K4976" s="2"/>
      <c r="L4976" s="2"/>
      <c r="M4976" s="2"/>
      <c r="N4976" s="2"/>
      <c r="O4976" s="2"/>
      <c r="P4976" s="2"/>
      <c r="Q4976" s="2"/>
      <c r="R4976" s="2"/>
      <c r="S4976" s="2"/>
      <c r="T4976" s="2"/>
      <c r="U4976" s="2"/>
      <c r="V4976" s="2"/>
      <c r="W4976" s="2"/>
    </row>
    <row r="4977" spans="1:23" x14ac:dyDescent="0.25">
      <c r="A4977" s="2"/>
      <c r="B4977" s="2"/>
      <c r="C4977" s="1"/>
      <c r="D4977" s="2"/>
      <c r="E4977" s="2"/>
      <c r="F4977" s="2"/>
      <c r="G4977" s="2"/>
      <c r="H4977" s="2"/>
      <c r="I4977" s="2"/>
      <c r="J4977" s="2"/>
      <c r="K4977" s="2"/>
      <c r="L4977" s="2"/>
      <c r="M4977" s="2"/>
      <c r="N4977" s="2"/>
      <c r="O4977" s="2"/>
      <c r="P4977" s="2"/>
      <c r="Q4977" s="2"/>
      <c r="R4977" s="2"/>
      <c r="S4977" s="2"/>
      <c r="T4977" s="2"/>
      <c r="U4977" s="2"/>
      <c r="V4977" s="2"/>
      <c r="W4977" s="2"/>
    </row>
    <row r="4978" spans="1:23" x14ac:dyDescent="0.25">
      <c r="A4978" s="2"/>
      <c r="B4978" s="2"/>
      <c r="C4978" s="1"/>
      <c r="D4978" s="2"/>
      <c r="E4978" s="2"/>
      <c r="F4978" s="2"/>
      <c r="G4978" s="2"/>
      <c r="H4978" s="2"/>
      <c r="I4978" s="2"/>
      <c r="J4978" s="2"/>
      <c r="K4978" s="2"/>
      <c r="L4978" s="2"/>
      <c r="M4978" s="2"/>
      <c r="N4978" s="2"/>
      <c r="O4978" s="2"/>
      <c r="P4978" s="2"/>
      <c r="Q4978" s="2"/>
      <c r="R4978" s="2"/>
      <c r="S4978" s="2"/>
      <c r="T4978" s="2"/>
      <c r="U4978" s="2"/>
      <c r="V4978" s="2"/>
      <c r="W4978" s="2"/>
    </row>
    <row r="4979" spans="1:23" x14ac:dyDescent="0.25">
      <c r="A4979" s="2"/>
      <c r="B4979" s="2"/>
      <c r="C4979" s="1"/>
      <c r="D4979" s="2"/>
      <c r="E4979" s="2"/>
      <c r="F4979" s="2"/>
      <c r="G4979" s="2"/>
      <c r="H4979" s="2"/>
      <c r="I4979" s="2"/>
      <c r="J4979" s="2"/>
      <c r="K4979" s="2"/>
      <c r="L4979" s="2"/>
      <c r="M4979" s="2"/>
      <c r="N4979" s="2"/>
      <c r="O4979" s="2"/>
      <c r="P4979" s="2"/>
      <c r="Q4979" s="2"/>
      <c r="R4979" s="2"/>
      <c r="S4979" s="2"/>
      <c r="T4979" s="2"/>
      <c r="U4979" s="2"/>
      <c r="V4979" s="2"/>
      <c r="W4979" s="2"/>
    </row>
    <row r="4980" spans="1:23" x14ac:dyDescent="0.25">
      <c r="A4980" s="2"/>
      <c r="B4980" s="2"/>
      <c r="C4980" s="1"/>
      <c r="D4980" s="2"/>
      <c r="E4980" s="2"/>
      <c r="F4980" s="2"/>
      <c r="G4980" s="2"/>
      <c r="H4980" s="2"/>
      <c r="I4980" s="2"/>
      <c r="J4980" s="2"/>
      <c r="K4980" s="2"/>
      <c r="L4980" s="2"/>
      <c r="M4980" s="2"/>
      <c r="N4980" s="2"/>
      <c r="O4980" s="2"/>
      <c r="P4980" s="2"/>
      <c r="Q4980" s="2"/>
      <c r="R4980" s="2"/>
      <c r="S4980" s="2"/>
      <c r="T4980" s="2"/>
      <c r="U4980" s="2"/>
      <c r="V4980" s="2"/>
      <c r="W4980" s="2"/>
    </row>
    <row r="4981" spans="1:23" x14ac:dyDescent="0.25">
      <c r="A4981" s="2"/>
      <c r="B4981" s="2"/>
      <c r="C4981" s="1"/>
      <c r="D4981" s="2"/>
      <c r="E4981" s="2"/>
      <c r="F4981" s="2"/>
      <c r="G4981" s="2"/>
      <c r="H4981" s="2"/>
      <c r="I4981" s="2"/>
      <c r="J4981" s="2"/>
      <c r="K4981" s="2"/>
      <c r="L4981" s="2"/>
      <c r="M4981" s="2"/>
      <c r="N4981" s="2"/>
      <c r="O4981" s="2"/>
      <c r="P4981" s="2"/>
      <c r="Q4981" s="2"/>
      <c r="R4981" s="2"/>
      <c r="S4981" s="2"/>
      <c r="T4981" s="2"/>
      <c r="U4981" s="2"/>
      <c r="V4981" s="2"/>
      <c r="W4981" s="2"/>
    </row>
    <row r="4982" spans="1:23" x14ac:dyDescent="0.25">
      <c r="A4982" s="2"/>
      <c r="B4982" s="2"/>
      <c r="C4982" s="1"/>
      <c r="D4982" s="2"/>
      <c r="E4982" s="2"/>
      <c r="F4982" s="2"/>
      <c r="G4982" s="2"/>
      <c r="H4982" s="2"/>
      <c r="I4982" s="2"/>
      <c r="J4982" s="2"/>
      <c r="K4982" s="2"/>
      <c r="L4982" s="2"/>
      <c r="M4982" s="2"/>
      <c r="N4982" s="2"/>
      <c r="O4982" s="2"/>
      <c r="P4982" s="2"/>
      <c r="Q4982" s="2"/>
      <c r="R4982" s="2"/>
      <c r="S4982" s="2"/>
      <c r="T4982" s="2"/>
      <c r="U4982" s="2"/>
      <c r="V4982" s="2"/>
      <c r="W4982" s="2"/>
    </row>
    <row r="4983" spans="1:23" x14ac:dyDescent="0.25">
      <c r="A4983" s="2"/>
      <c r="B4983" s="2"/>
      <c r="C4983" s="1"/>
      <c r="D4983" s="2"/>
      <c r="E4983" s="2"/>
      <c r="F4983" s="2"/>
      <c r="G4983" s="2"/>
      <c r="H4983" s="2"/>
      <c r="I4983" s="2"/>
      <c r="J4983" s="2"/>
      <c r="K4983" s="2"/>
      <c r="L4983" s="2"/>
      <c r="M4983" s="2"/>
      <c r="N4983" s="2"/>
      <c r="O4983" s="2"/>
      <c r="P4983" s="2"/>
      <c r="Q4983" s="2"/>
      <c r="R4983" s="2"/>
      <c r="S4983" s="2"/>
      <c r="T4983" s="2"/>
      <c r="U4983" s="2"/>
      <c r="V4983" s="2"/>
      <c r="W4983" s="2"/>
    </row>
    <row r="4984" spans="1:23" x14ac:dyDescent="0.25">
      <c r="A4984" s="2"/>
      <c r="B4984" s="2"/>
      <c r="C4984" s="1"/>
      <c r="D4984" s="2"/>
      <c r="E4984" s="2"/>
      <c r="F4984" s="2"/>
      <c r="G4984" s="2"/>
      <c r="H4984" s="2"/>
      <c r="I4984" s="2"/>
      <c r="J4984" s="2"/>
      <c r="K4984" s="2"/>
      <c r="L4984" s="2"/>
      <c r="M4984" s="2"/>
      <c r="N4984" s="2"/>
      <c r="O4984" s="2"/>
      <c r="P4984" s="2"/>
      <c r="Q4984" s="2"/>
      <c r="R4984" s="2"/>
      <c r="S4984" s="2"/>
      <c r="T4984" s="2"/>
      <c r="U4984" s="2"/>
      <c r="V4984" s="2"/>
      <c r="W4984" s="2"/>
    </row>
    <row r="4985" spans="1:23" x14ac:dyDescent="0.25">
      <c r="A4985" s="2"/>
      <c r="B4985" s="2"/>
      <c r="C4985" s="1"/>
      <c r="D4985" s="2"/>
      <c r="E4985" s="2"/>
      <c r="F4985" s="2"/>
      <c r="G4985" s="2"/>
      <c r="H4985" s="2"/>
      <c r="I4985" s="2"/>
      <c r="J4985" s="2"/>
      <c r="K4985" s="2"/>
      <c r="L4985" s="2"/>
      <c r="M4985" s="2"/>
      <c r="N4985" s="2"/>
      <c r="O4985" s="2"/>
      <c r="P4985" s="2"/>
      <c r="Q4985" s="2"/>
      <c r="R4985" s="2"/>
      <c r="S4985" s="2"/>
      <c r="T4985" s="2"/>
      <c r="U4985" s="2"/>
      <c r="V4985" s="2"/>
      <c r="W4985" s="2"/>
    </row>
    <row r="4986" spans="1:23" x14ac:dyDescent="0.25">
      <c r="A4986" s="2"/>
      <c r="B4986" s="2"/>
      <c r="C4986" s="1"/>
      <c r="D4986" s="2"/>
      <c r="E4986" s="2"/>
      <c r="F4986" s="2"/>
      <c r="G4986" s="2"/>
      <c r="H4986" s="2"/>
      <c r="I4986" s="2"/>
      <c r="J4986" s="2"/>
      <c r="K4986" s="2"/>
      <c r="L4986" s="2"/>
      <c r="M4986" s="2"/>
      <c r="N4986" s="2"/>
      <c r="O4986" s="2"/>
      <c r="P4986" s="2"/>
      <c r="Q4986" s="2"/>
      <c r="R4986" s="2"/>
      <c r="S4986" s="2"/>
      <c r="T4986" s="2"/>
      <c r="U4986" s="2"/>
      <c r="V4986" s="2"/>
      <c r="W4986" s="2"/>
    </row>
    <row r="4987" spans="1:23" x14ac:dyDescent="0.25">
      <c r="A4987" s="2"/>
      <c r="B4987" s="2"/>
      <c r="C4987" s="1"/>
      <c r="D4987" s="2"/>
      <c r="E4987" s="2"/>
      <c r="F4987" s="2"/>
      <c r="G4987" s="2"/>
      <c r="H4987" s="2"/>
      <c r="I4987" s="2"/>
      <c r="J4987" s="2"/>
      <c r="K4987" s="2"/>
      <c r="L4987" s="2"/>
      <c r="M4987" s="2"/>
      <c r="N4987" s="2"/>
      <c r="O4987" s="2"/>
      <c r="P4987" s="2"/>
      <c r="Q4987" s="2"/>
      <c r="R4987" s="2"/>
      <c r="S4987" s="2"/>
      <c r="T4987" s="2"/>
      <c r="U4987" s="2"/>
      <c r="V4987" s="2"/>
      <c r="W4987" s="2"/>
    </row>
    <row r="4988" spans="1:23" x14ac:dyDescent="0.25">
      <c r="A4988" s="2"/>
      <c r="B4988" s="2"/>
      <c r="C4988" s="1"/>
      <c r="D4988" s="2"/>
      <c r="E4988" s="2"/>
      <c r="F4988" s="2"/>
      <c r="G4988" s="2"/>
      <c r="H4988" s="2"/>
      <c r="I4988" s="2"/>
      <c r="J4988" s="2"/>
      <c r="K4988" s="2"/>
      <c r="L4988" s="2"/>
      <c r="M4988" s="2"/>
      <c r="N4988" s="2"/>
      <c r="O4988" s="2"/>
      <c r="P4988" s="2"/>
      <c r="Q4988" s="2"/>
      <c r="R4988" s="2"/>
      <c r="S4988" s="2"/>
      <c r="T4988" s="2"/>
      <c r="U4988" s="2"/>
      <c r="V4988" s="2"/>
      <c r="W4988" s="2"/>
    </row>
    <row r="4989" spans="1:23" x14ac:dyDescent="0.25">
      <c r="A4989" s="2"/>
      <c r="B4989" s="2"/>
      <c r="C4989" s="1"/>
      <c r="D4989" s="2"/>
      <c r="E4989" s="2"/>
      <c r="F4989" s="2"/>
      <c r="G4989" s="2"/>
      <c r="H4989" s="2"/>
      <c r="I4989" s="2"/>
      <c r="J4989" s="2"/>
      <c r="K4989" s="2"/>
      <c r="L4989" s="2"/>
      <c r="M4989" s="2"/>
      <c r="N4989" s="2"/>
      <c r="O4989" s="2"/>
      <c r="P4989" s="2"/>
      <c r="Q4989" s="2"/>
      <c r="R4989" s="2"/>
      <c r="S4989" s="2"/>
      <c r="T4989" s="2"/>
      <c r="U4989" s="2"/>
      <c r="V4989" s="2"/>
      <c r="W4989" s="2"/>
    </row>
    <row r="4990" spans="1:23" x14ac:dyDescent="0.25">
      <c r="A4990" s="2"/>
      <c r="B4990" s="2"/>
      <c r="C4990" s="1"/>
      <c r="D4990" s="2"/>
      <c r="E4990" s="2"/>
      <c r="F4990" s="2"/>
      <c r="G4990" s="2"/>
      <c r="H4990" s="2"/>
      <c r="I4990" s="2"/>
      <c r="J4990" s="2"/>
      <c r="K4990" s="2"/>
      <c r="L4990" s="2"/>
      <c r="M4990" s="2"/>
      <c r="N4990" s="2"/>
      <c r="O4990" s="2"/>
      <c r="P4990" s="2"/>
      <c r="Q4990" s="2"/>
      <c r="R4990" s="2"/>
      <c r="S4990" s="2"/>
      <c r="T4990" s="2"/>
      <c r="U4990" s="2"/>
      <c r="V4990" s="2"/>
      <c r="W4990" s="2"/>
    </row>
    <row r="4991" spans="1:23" x14ac:dyDescent="0.25">
      <c r="A4991" s="2"/>
      <c r="B4991" s="2"/>
      <c r="C4991" s="1"/>
      <c r="D4991" s="2"/>
      <c r="E4991" s="2"/>
      <c r="F4991" s="2"/>
      <c r="G4991" s="2"/>
      <c r="H4991" s="2"/>
      <c r="I4991" s="2"/>
      <c r="J4991" s="2"/>
      <c r="K4991" s="2"/>
      <c r="L4991" s="2"/>
      <c r="M4991" s="2"/>
      <c r="N4991" s="2"/>
      <c r="O4991" s="2"/>
      <c r="P4991" s="2"/>
      <c r="Q4991" s="2"/>
      <c r="R4991" s="2"/>
      <c r="S4991" s="2"/>
      <c r="T4991" s="2"/>
      <c r="U4991" s="2"/>
      <c r="V4991" s="2"/>
      <c r="W4991" s="2"/>
    </row>
    <row r="4992" spans="1:23" x14ac:dyDescent="0.25">
      <c r="A4992" s="2"/>
      <c r="B4992" s="2"/>
      <c r="C4992" s="1"/>
      <c r="D4992" s="2"/>
      <c r="E4992" s="2"/>
      <c r="F4992" s="2"/>
      <c r="G4992" s="2"/>
      <c r="H4992" s="2"/>
      <c r="I4992" s="2"/>
      <c r="J4992" s="2"/>
      <c r="K4992" s="2"/>
      <c r="L4992" s="2"/>
      <c r="M4992" s="2"/>
      <c r="N4992" s="2"/>
      <c r="O4992" s="2"/>
      <c r="P4992" s="2"/>
      <c r="Q4992" s="2"/>
      <c r="R4992" s="2"/>
      <c r="S4992" s="2"/>
      <c r="T4992" s="2"/>
      <c r="U4992" s="2"/>
      <c r="V4992" s="2"/>
      <c r="W4992" s="2"/>
    </row>
    <row r="4993" spans="1:23" x14ac:dyDescent="0.25">
      <c r="A4993" s="2"/>
      <c r="B4993" s="2"/>
      <c r="C4993" s="1"/>
      <c r="D4993" s="2"/>
      <c r="E4993" s="2"/>
      <c r="F4993" s="2"/>
      <c r="G4993" s="2"/>
      <c r="H4993" s="2"/>
      <c r="I4993" s="2"/>
      <c r="J4993" s="2"/>
      <c r="K4993" s="2"/>
      <c r="L4993" s="2"/>
      <c r="M4993" s="2"/>
      <c r="N4993" s="2"/>
      <c r="O4993" s="2"/>
      <c r="P4993" s="2"/>
      <c r="Q4993" s="2"/>
      <c r="R4993" s="2"/>
      <c r="S4993" s="2"/>
      <c r="T4993" s="2"/>
      <c r="U4993" s="2"/>
      <c r="V4993" s="2"/>
      <c r="W4993" s="2"/>
    </row>
    <row r="4994" spans="1:23" x14ac:dyDescent="0.25">
      <c r="A4994" s="2"/>
      <c r="B4994" s="2"/>
      <c r="C4994" s="1"/>
      <c r="D4994" s="2"/>
      <c r="E4994" s="2"/>
      <c r="F4994" s="2"/>
      <c r="G4994" s="2"/>
      <c r="H4994" s="2"/>
      <c r="I4994" s="2"/>
      <c r="J4994" s="2"/>
      <c r="K4994" s="2"/>
      <c r="L4994" s="2"/>
      <c r="M4994" s="2"/>
      <c r="N4994" s="2"/>
      <c r="O4994" s="2"/>
      <c r="P4994" s="2"/>
      <c r="Q4994" s="2"/>
      <c r="R4994" s="2"/>
      <c r="S4994" s="2"/>
      <c r="T4994" s="2"/>
      <c r="U4994" s="2"/>
      <c r="V4994" s="2"/>
      <c r="W4994" s="2"/>
    </row>
    <row r="4995" spans="1:23" x14ac:dyDescent="0.25">
      <c r="A4995" s="2"/>
      <c r="B4995" s="2"/>
      <c r="C4995" s="1"/>
      <c r="D4995" s="2"/>
      <c r="E4995" s="2"/>
      <c r="F4995" s="2"/>
      <c r="G4995" s="2"/>
      <c r="H4995" s="2"/>
      <c r="I4995" s="2"/>
      <c r="J4995" s="2"/>
      <c r="K4995" s="2"/>
      <c r="L4995" s="2"/>
      <c r="M4995" s="2"/>
      <c r="N4995" s="2"/>
      <c r="O4995" s="2"/>
      <c r="P4995" s="2"/>
      <c r="Q4995" s="2"/>
      <c r="R4995" s="2"/>
      <c r="S4995" s="2"/>
      <c r="T4995" s="2"/>
      <c r="U4995" s="2"/>
      <c r="V4995" s="2"/>
      <c r="W4995" s="2"/>
    </row>
    <row r="4996" spans="1:23" x14ac:dyDescent="0.25">
      <c r="A4996" s="2"/>
      <c r="B4996" s="2"/>
      <c r="C4996" s="1"/>
      <c r="D4996" s="2"/>
      <c r="E4996" s="2"/>
      <c r="F4996" s="2"/>
      <c r="G4996" s="2"/>
      <c r="H4996" s="2"/>
      <c r="I4996" s="2"/>
      <c r="J4996" s="2"/>
      <c r="K4996" s="2"/>
      <c r="L4996" s="2"/>
      <c r="M4996" s="2"/>
      <c r="N4996" s="2"/>
      <c r="O4996" s="2"/>
      <c r="P4996" s="2"/>
      <c r="Q4996" s="2"/>
      <c r="R4996" s="2"/>
      <c r="S4996" s="2"/>
      <c r="T4996" s="2"/>
      <c r="U4996" s="2"/>
      <c r="V4996" s="2"/>
      <c r="W4996" s="2"/>
    </row>
    <row r="4997" spans="1:23" x14ac:dyDescent="0.25">
      <c r="A4997" s="2"/>
      <c r="B4997" s="2"/>
      <c r="C4997" s="1"/>
      <c r="D4997" s="2"/>
      <c r="E4997" s="2"/>
      <c r="F4997" s="2"/>
      <c r="G4997" s="2"/>
      <c r="H4997" s="2"/>
      <c r="I4997" s="2"/>
      <c r="J4997" s="2"/>
      <c r="K4997" s="2"/>
      <c r="L4997" s="2"/>
      <c r="M4997" s="2"/>
      <c r="N4997" s="2"/>
      <c r="O4997" s="2"/>
      <c r="P4997" s="2"/>
      <c r="Q4997" s="2"/>
      <c r="R4997" s="2"/>
      <c r="S4997" s="2"/>
      <c r="T4997" s="2"/>
      <c r="U4997" s="2"/>
      <c r="V4997" s="2"/>
      <c r="W4997" s="2"/>
    </row>
    <row r="4998" spans="1:23" x14ac:dyDescent="0.25">
      <c r="A4998" s="2"/>
      <c r="B4998" s="2"/>
      <c r="C4998" s="1"/>
      <c r="D4998" s="2"/>
      <c r="E4998" s="2"/>
      <c r="F4998" s="2"/>
      <c r="G4998" s="2"/>
      <c r="H4998" s="2"/>
      <c r="I4998" s="2"/>
      <c r="J4998" s="2"/>
      <c r="K4998" s="2"/>
      <c r="L4998" s="2"/>
      <c r="M4998" s="2"/>
      <c r="N4998" s="2"/>
      <c r="O4998" s="2"/>
      <c r="P4998" s="2"/>
      <c r="Q4998" s="2"/>
      <c r="R4998" s="2"/>
      <c r="S4998" s="2"/>
      <c r="T4998" s="2"/>
      <c r="U4998" s="2"/>
      <c r="V4998" s="2"/>
      <c r="W4998" s="2"/>
    </row>
    <row r="4999" spans="1:23" x14ac:dyDescent="0.25">
      <c r="A4999" s="2"/>
      <c r="B4999" s="2"/>
      <c r="C4999" s="1"/>
      <c r="D4999" s="2"/>
      <c r="E4999" s="2"/>
      <c r="F4999" s="2"/>
      <c r="G4999" s="2"/>
      <c r="H4999" s="2"/>
      <c r="I4999" s="2"/>
      <c r="J4999" s="2"/>
      <c r="K4999" s="2"/>
      <c r="L4999" s="2"/>
      <c r="M4999" s="2"/>
      <c r="N4999" s="2"/>
      <c r="O4999" s="2"/>
      <c r="P4999" s="2"/>
      <c r="Q4999" s="2"/>
      <c r="R4999" s="2"/>
      <c r="S4999" s="2"/>
      <c r="T4999" s="2"/>
      <c r="U4999" s="2"/>
      <c r="V4999" s="2"/>
      <c r="W4999" s="2"/>
    </row>
    <row r="5000" spans="1:23" x14ac:dyDescent="0.25">
      <c r="A5000" s="2"/>
      <c r="B5000" s="2"/>
      <c r="C5000" s="1"/>
      <c r="D5000" s="2"/>
      <c r="E5000" s="2"/>
      <c r="F5000" s="2"/>
      <c r="G5000" s="2"/>
      <c r="H5000" s="2"/>
      <c r="I5000" s="2"/>
      <c r="J5000" s="2"/>
      <c r="K5000" s="2"/>
      <c r="L5000" s="2"/>
      <c r="M5000" s="2"/>
      <c r="N5000" s="2"/>
      <c r="O5000" s="2"/>
      <c r="P5000" s="2"/>
      <c r="Q5000" s="2"/>
      <c r="R5000" s="2"/>
      <c r="S5000" s="2"/>
      <c r="T5000" s="2"/>
      <c r="U5000" s="2"/>
      <c r="V5000" s="2"/>
      <c r="W5000" s="2"/>
    </row>
    <row r="5001" spans="1:23" x14ac:dyDescent="0.25">
      <c r="A5001" s="2"/>
      <c r="B5001" s="2"/>
      <c r="C5001" s="1"/>
      <c r="D5001" s="2"/>
      <c r="E5001" s="2"/>
      <c r="F5001" s="2"/>
      <c r="G5001" s="2"/>
      <c r="H5001" s="2"/>
      <c r="I5001" s="2"/>
      <c r="J5001" s="2"/>
      <c r="K5001" s="2"/>
      <c r="L5001" s="2"/>
      <c r="M5001" s="2"/>
      <c r="N5001" s="2"/>
      <c r="O5001" s="2"/>
      <c r="P5001" s="2"/>
      <c r="Q5001" s="2"/>
      <c r="R5001" s="2"/>
      <c r="S5001" s="2"/>
      <c r="T5001" s="2"/>
      <c r="U5001" s="2"/>
      <c r="V5001" s="2"/>
      <c r="W5001" s="2"/>
    </row>
    <row r="5002" spans="1:23" x14ac:dyDescent="0.25">
      <c r="A5002" s="2"/>
      <c r="B5002" s="2"/>
      <c r="C5002" s="1"/>
      <c r="D5002" s="2"/>
      <c r="E5002" s="2"/>
      <c r="F5002" s="2"/>
      <c r="G5002" s="2"/>
      <c r="H5002" s="2"/>
      <c r="I5002" s="2"/>
      <c r="J5002" s="2"/>
      <c r="K5002" s="2"/>
      <c r="L5002" s="2"/>
      <c r="M5002" s="2"/>
      <c r="N5002" s="2"/>
      <c r="O5002" s="2"/>
      <c r="P5002" s="2"/>
      <c r="Q5002" s="2"/>
      <c r="R5002" s="2"/>
      <c r="S5002" s="2"/>
      <c r="T5002" s="2"/>
      <c r="U5002" s="2"/>
      <c r="V5002" s="2"/>
      <c r="W5002" s="2"/>
    </row>
    <row r="5003" spans="1:23" x14ac:dyDescent="0.25">
      <c r="A5003" s="2"/>
      <c r="B5003" s="2"/>
      <c r="C5003" s="1"/>
      <c r="D5003" s="2"/>
      <c r="E5003" s="2"/>
      <c r="F5003" s="2"/>
      <c r="G5003" s="2"/>
      <c r="H5003" s="2"/>
      <c r="I5003" s="2"/>
      <c r="J5003" s="2"/>
      <c r="K5003" s="2"/>
      <c r="L5003" s="2"/>
      <c r="M5003" s="2"/>
      <c r="N5003" s="2"/>
      <c r="O5003" s="2"/>
      <c r="P5003" s="2"/>
      <c r="Q5003" s="2"/>
      <c r="R5003" s="2"/>
      <c r="S5003" s="2"/>
      <c r="T5003" s="2"/>
      <c r="U5003" s="2"/>
      <c r="V5003" s="2"/>
      <c r="W5003" s="2"/>
    </row>
    <row r="5004" spans="1:23" x14ac:dyDescent="0.25">
      <c r="A5004" s="2"/>
      <c r="B5004" s="2"/>
      <c r="C5004" s="1"/>
      <c r="D5004" s="2"/>
      <c r="E5004" s="2"/>
      <c r="F5004" s="2"/>
      <c r="G5004" s="2"/>
      <c r="H5004" s="2"/>
      <c r="I5004" s="2"/>
      <c r="J5004" s="2"/>
      <c r="K5004" s="2"/>
      <c r="L5004" s="2"/>
      <c r="M5004" s="2"/>
      <c r="N5004" s="2"/>
      <c r="O5004" s="2"/>
      <c r="P5004" s="2"/>
      <c r="Q5004" s="2"/>
      <c r="R5004" s="2"/>
      <c r="S5004" s="2"/>
      <c r="T5004" s="2"/>
      <c r="U5004" s="2"/>
      <c r="V5004" s="2"/>
      <c r="W5004" s="2"/>
    </row>
    <row r="5005" spans="1:23" x14ac:dyDescent="0.25">
      <c r="A5005" s="2"/>
      <c r="B5005" s="2"/>
      <c r="C5005" s="1"/>
      <c r="D5005" s="2"/>
      <c r="E5005" s="2"/>
      <c r="F5005" s="2"/>
      <c r="G5005" s="2"/>
      <c r="H5005" s="2"/>
      <c r="I5005" s="2"/>
      <c r="J5005" s="2"/>
      <c r="K5005" s="2"/>
      <c r="L5005" s="2"/>
      <c r="M5005" s="2"/>
      <c r="N5005" s="2"/>
      <c r="O5005" s="2"/>
      <c r="P5005" s="2"/>
      <c r="Q5005" s="2"/>
      <c r="R5005" s="2"/>
      <c r="S5005" s="2"/>
      <c r="T5005" s="2"/>
      <c r="U5005" s="2"/>
      <c r="V5005" s="2"/>
      <c r="W5005" s="2"/>
    </row>
    <row r="5006" spans="1:23" x14ac:dyDescent="0.25">
      <c r="A5006" s="2"/>
      <c r="B5006" s="2"/>
      <c r="C5006" s="1"/>
      <c r="D5006" s="2"/>
      <c r="E5006" s="2"/>
      <c r="F5006" s="2"/>
      <c r="G5006" s="2"/>
      <c r="H5006" s="2"/>
      <c r="I5006" s="2"/>
      <c r="J5006" s="2"/>
      <c r="K5006" s="2"/>
      <c r="L5006" s="2"/>
      <c r="M5006" s="2"/>
      <c r="N5006" s="2"/>
      <c r="O5006" s="2"/>
      <c r="P5006" s="2"/>
      <c r="Q5006" s="2"/>
      <c r="R5006" s="2"/>
      <c r="S5006" s="2"/>
      <c r="T5006" s="2"/>
      <c r="U5006" s="2"/>
      <c r="V5006" s="2"/>
      <c r="W5006" s="2"/>
    </row>
    <row r="5007" spans="1:23" x14ac:dyDescent="0.25">
      <c r="A5007" s="2"/>
      <c r="B5007" s="2"/>
      <c r="C5007" s="1"/>
      <c r="D5007" s="2"/>
      <c r="E5007" s="2"/>
      <c r="F5007" s="2"/>
      <c r="G5007" s="2"/>
      <c r="H5007" s="2"/>
      <c r="I5007" s="2"/>
      <c r="J5007" s="2"/>
      <c r="K5007" s="2"/>
      <c r="L5007" s="2"/>
      <c r="M5007" s="2"/>
      <c r="N5007" s="2"/>
      <c r="O5007" s="2"/>
      <c r="P5007" s="2"/>
      <c r="Q5007" s="2"/>
      <c r="R5007" s="2"/>
      <c r="S5007" s="2"/>
      <c r="T5007" s="2"/>
      <c r="U5007" s="2"/>
      <c r="V5007" s="2"/>
      <c r="W5007" s="2"/>
    </row>
    <row r="5008" spans="1:23" x14ac:dyDescent="0.25">
      <c r="A5008" s="2"/>
      <c r="B5008" s="2"/>
      <c r="C5008" s="1"/>
      <c r="D5008" s="2"/>
      <c r="E5008" s="2"/>
      <c r="F5008" s="2"/>
      <c r="G5008" s="2"/>
      <c r="H5008" s="2"/>
      <c r="I5008" s="2"/>
      <c r="J5008" s="2"/>
      <c r="K5008" s="2"/>
      <c r="L5008" s="2"/>
      <c r="M5008" s="2"/>
      <c r="N5008" s="2"/>
      <c r="O5008" s="2"/>
      <c r="P5008" s="2"/>
      <c r="Q5008" s="2"/>
      <c r="R5008" s="2"/>
      <c r="S5008" s="2"/>
      <c r="T5008" s="2"/>
      <c r="U5008" s="2"/>
      <c r="V5008" s="2"/>
      <c r="W5008" s="2"/>
    </row>
    <row r="5009" spans="1:23" x14ac:dyDescent="0.25">
      <c r="A5009" s="2"/>
      <c r="B5009" s="2"/>
      <c r="C5009" s="1"/>
      <c r="D5009" s="2"/>
      <c r="E5009" s="2"/>
      <c r="F5009" s="2"/>
      <c r="G5009" s="2"/>
      <c r="H5009" s="2"/>
      <c r="I5009" s="2"/>
      <c r="J5009" s="2"/>
      <c r="K5009" s="2"/>
      <c r="L5009" s="2"/>
      <c r="M5009" s="2"/>
      <c r="N5009" s="2"/>
      <c r="O5009" s="2"/>
      <c r="P5009" s="2"/>
      <c r="Q5009" s="2"/>
      <c r="R5009" s="2"/>
      <c r="S5009" s="2"/>
      <c r="T5009" s="2"/>
      <c r="U5009" s="2"/>
      <c r="V5009" s="2"/>
      <c r="W5009" s="2"/>
    </row>
    <row r="5010" spans="1:23" x14ac:dyDescent="0.25">
      <c r="A5010" s="2"/>
      <c r="B5010" s="2"/>
      <c r="C5010" s="1"/>
      <c r="D5010" s="2"/>
      <c r="E5010" s="2"/>
      <c r="F5010" s="2"/>
      <c r="G5010" s="2"/>
      <c r="H5010" s="2"/>
      <c r="I5010" s="2"/>
      <c r="J5010" s="2"/>
      <c r="K5010" s="2"/>
      <c r="L5010" s="2"/>
      <c r="M5010" s="2"/>
      <c r="N5010" s="2"/>
      <c r="O5010" s="2"/>
      <c r="P5010" s="2"/>
      <c r="Q5010" s="2"/>
      <c r="R5010" s="2"/>
      <c r="S5010" s="2"/>
      <c r="T5010" s="2"/>
      <c r="U5010" s="2"/>
      <c r="V5010" s="2"/>
      <c r="W5010" s="2"/>
    </row>
    <row r="5011" spans="1:23" x14ac:dyDescent="0.25">
      <c r="A5011" s="2"/>
      <c r="B5011" s="2"/>
      <c r="C5011" s="1"/>
      <c r="D5011" s="2"/>
      <c r="E5011" s="2"/>
      <c r="F5011" s="2"/>
      <c r="G5011" s="2"/>
      <c r="H5011" s="2"/>
      <c r="I5011" s="2"/>
      <c r="J5011" s="2"/>
      <c r="K5011" s="2"/>
      <c r="L5011" s="2"/>
      <c r="M5011" s="2"/>
      <c r="N5011" s="2"/>
      <c r="O5011" s="2"/>
      <c r="P5011" s="2"/>
      <c r="Q5011" s="2"/>
      <c r="R5011" s="2"/>
      <c r="S5011" s="2"/>
      <c r="T5011" s="2"/>
      <c r="U5011" s="2"/>
      <c r="V5011" s="2"/>
      <c r="W5011" s="2"/>
    </row>
    <row r="5012" spans="1:23" x14ac:dyDescent="0.25">
      <c r="A5012" s="2"/>
      <c r="B5012" s="2"/>
      <c r="C5012" s="1"/>
      <c r="D5012" s="2"/>
      <c r="E5012" s="2"/>
      <c r="F5012" s="2"/>
      <c r="G5012" s="2"/>
      <c r="H5012" s="2"/>
      <c r="I5012" s="2"/>
      <c r="J5012" s="2"/>
      <c r="K5012" s="2"/>
      <c r="L5012" s="2"/>
      <c r="M5012" s="2"/>
      <c r="N5012" s="2"/>
      <c r="O5012" s="2"/>
      <c r="P5012" s="2"/>
      <c r="Q5012" s="2"/>
      <c r="R5012" s="2"/>
      <c r="S5012" s="2"/>
      <c r="T5012" s="2"/>
      <c r="U5012" s="2"/>
      <c r="V5012" s="2"/>
      <c r="W5012" s="2"/>
    </row>
    <row r="5013" spans="1:23" x14ac:dyDescent="0.25">
      <c r="A5013" s="2"/>
      <c r="B5013" s="2"/>
      <c r="C5013" s="1"/>
      <c r="D5013" s="2"/>
      <c r="E5013" s="2"/>
      <c r="F5013" s="2"/>
      <c r="G5013" s="2"/>
      <c r="H5013" s="2"/>
      <c r="I5013" s="2"/>
      <c r="J5013" s="2"/>
      <c r="K5013" s="2"/>
      <c r="L5013" s="2"/>
      <c r="M5013" s="2"/>
      <c r="N5013" s="2"/>
      <c r="O5013" s="2"/>
      <c r="P5013" s="2"/>
      <c r="Q5013" s="2"/>
      <c r="R5013" s="2"/>
      <c r="S5013" s="2"/>
      <c r="T5013" s="2"/>
      <c r="U5013" s="2"/>
      <c r="V5013" s="2"/>
      <c r="W5013" s="2"/>
    </row>
    <row r="5014" spans="1:23" x14ac:dyDescent="0.25">
      <c r="A5014" s="2"/>
      <c r="B5014" s="2"/>
      <c r="C5014" s="1"/>
      <c r="D5014" s="2"/>
      <c r="E5014" s="2"/>
      <c r="F5014" s="2"/>
      <c r="G5014" s="2"/>
      <c r="H5014" s="2"/>
      <c r="I5014" s="2"/>
      <c r="J5014" s="2"/>
      <c r="K5014" s="2"/>
      <c r="L5014" s="2"/>
      <c r="M5014" s="2"/>
      <c r="N5014" s="2"/>
      <c r="O5014" s="2"/>
      <c r="P5014" s="2"/>
      <c r="Q5014" s="2"/>
      <c r="R5014" s="2"/>
      <c r="S5014" s="2"/>
      <c r="T5014" s="2"/>
      <c r="U5014" s="2"/>
      <c r="V5014" s="2"/>
      <c r="W5014" s="2"/>
    </row>
    <row r="5015" spans="1:23" x14ac:dyDescent="0.25">
      <c r="A5015" s="2"/>
      <c r="B5015" s="2"/>
      <c r="C5015" s="1"/>
      <c r="D5015" s="2"/>
      <c r="E5015" s="2"/>
      <c r="F5015" s="2"/>
      <c r="G5015" s="2"/>
      <c r="H5015" s="2"/>
      <c r="I5015" s="2"/>
      <c r="J5015" s="2"/>
      <c r="K5015" s="2"/>
      <c r="L5015" s="2"/>
      <c r="M5015" s="2"/>
      <c r="N5015" s="2"/>
      <c r="O5015" s="2"/>
      <c r="P5015" s="2"/>
      <c r="Q5015" s="2"/>
      <c r="R5015" s="2"/>
      <c r="S5015" s="2"/>
      <c r="T5015" s="2"/>
      <c r="U5015" s="2"/>
      <c r="V5015" s="2"/>
      <c r="W5015" s="2"/>
    </row>
    <row r="5016" spans="1:23" x14ac:dyDescent="0.25">
      <c r="A5016" s="2"/>
      <c r="B5016" s="2"/>
      <c r="C5016" s="1"/>
      <c r="D5016" s="2"/>
      <c r="E5016" s="2"/>
      <c r="F5016" s="2"/>
      <c r="G5016" s="2"/>
      <c r="H5016" s="2"/>
      <c r="I5016" s="2"/>
      <c r="J5016" s="2"/>
      <c r="K5016" s="2"/>
      <c r="L5016" s="2"/>
      <c r="M5016" s="2"/>
      <c r="N5016" s="2"/>
      <c r="O5016" s="2"/>
      <c r="P5016" s="2"/>
      <c r="Q5016" s="2"/>
      <c r="R5016" s="2"/>
      <c r="S5016" s="2"/>
      <c r="T5016" s="2"/>
      <c r="U5016" s="2"/>
      <c r="V5016" s="2"/>
      <c r="W5016" s="2"/>
    </row>
    <row r="5017" spans="1:23" x14ac:dyDescent="0.25">
      <c r="A5017" s="2"/>
      <c r="B5017" s="2"/>
      <c r="C5017" s="1"/>
      <c r="D5017" s="2"/>
      <c r="E5017" s="2"/>
      <c r="F5017" s="2"/>
      <c r="G5017" s="2"/>
      <c r="H5017" s="2"/>
      <c r="I5017" s="2"/>
      <c r="J5017" s="2"/>
      <c r="K5017" s="2"/>
      <c r="L5017" s="2"/>
      <c r="M5017" s="2"/>
      <c r="N5017" s="2"/>
      <c r="O5017" s="2"/>
      <c r="P5017" s="2"/>
      <c r="Q5017" s="2"/>
      <c r="R5017" s="2"/>
      <c r="S5017" s="2"/>
      <c r="T5017" s="2"/>
      <c r="U5017" s="2"/>
      <c r="V5017" s="2"/>
      <c r="W5017" s="2"/>
    </row>
    <row r="5018" spans="1:23" x14ac:dyDescent="0.25">
      <c r="A5018" s="2"/>
      <c r="B5018" s="2"/>
      <c r="C5018" s="1"/>
      <c r="D5018" s="2"/>
      <c r="E5018" s="2"/>
      <c r="F5018" s="2"/>
      <c r="G5018" s="2"/>
      <c r="H5018" s="2"/>
      <c r="I5018" s="2"/>
      <c r="J5018" s="2"/>
      <c r="K5018" s="2"/>
      <c r="L5018" s="2"/>
      <c r="M5018" s="2"/>
      <c r="N5018" s="2"/>
      <c r="O5018" s="2"/>
      <c r="P5018" s="2"/>
      <c r="Q5018" s="2"/>
      <c r="R5018" s="2"/>
      <c r="S5018" s="2"/>
      <c r="T5018" s="2"/>
      <c r="U5018" s="2"/>
      <c r="V5018" s="2"/>
      <c r="W5018" s="2"/>
    </row>
    <row r="5019" spans="1:23" x14ac:dyDescent="0.25">
      <c r="A5019" s="2"/>
      <c r="B5019" s="2"/>
      <c r="C5019" s="1"/>
      <c r="D5019" s="2"/>
      <c r="E5019" s="2"/>
      <c r="F5019" s="2"/>
      <c r="G5019" s="2"/>
      <c r="H5019" s="2"/>
      <c r="I5019" s="2"/>
      <c r="J5019" s="2"/>
      <c r="K5019" s="2"/>
      <c r="L5019" s="2"/>
      <c r="M5019" s="2"/>
      <c r="N5019" s="2"/>
      <c r="O5019" s="2"/>
      <c r="P5019" s="2"/>
      <c r="Q5019" s="2"/>
      <c r="R5019" s="2"/>
      <c r="S5019" s="2"/>
      <c r="T5019" s="2"/>
      <c r="U5019" s="2"/>
      <c r="V5019" s="2"/>
      <c r="W5019" s="2"/>
    </row>
    <row r="5020" spans="1:23" x14ac:dyDescent="0.25">
      <c r="A5020" s="2"/>
      <c r="B5020" s="2"/>
      <c r="C5020" s="1"/>
      <c r="D5020" s="2"/>
      <c r="E5020" s="2"/>
      <c r="F5020" s="2"/>
      <c r="G5020" s="2"/>
      <c r="H5020" s="2"/>
      <c r="I5020" s="2"/>
      <c r="J5020" s="2"/>
      <c r="K5020" s="2"/>
      <c r="L5020" s="2"/>
      <c r="M5020" s="2"/>
      <c r="N5020" s="2"/>
      <c r="O5020" s="2"/>
      <c r="P5020" s="2"/>
      <c r="Q5020" s="2"/>
      <c r="R5020" s="2"/>
      <c r="S5020" s="2"/>
      <c r="T5020" s="2"/>
      <c r="U5020" s="2"/>
      <c r="V5020" s="2"/>
      <c r="W5020" s="2"/>
    </row>
    <row r="5021" spans="1:23" x14ac:dyDescent="0.25">
      <c r="A5021" s="2"/>
      <c r="B5021" s="2"/>
      <c r="C5021" s="1"/>
      <c r="D5021" s="2"/>
      <c r="E5021" s="2"/>
      <c r="F5021" s="2"/>
      <c r="G5021" s="2"/>
      <c r="H5021" s="2"/>
      <c r="I5021" s="2"/>
      <c r="J5021" s="2"/>
      <c r="K5021" s="2"/>
      <c r="L5021" s="2"/>
      <c r="M5021" s="2"/>
      <c r="N5021" s="2"/>
      <c r="O5021" s="2"/>
      <c r="P5021" s="2"/>
      <c r="Q5021" s="2"/>
      <c r="R5021" s="2"/>
      <c r="S5021" s="2"/>
      <c r="T5021" s="2"/>
      <c r="U5021" s="2"/>
      <c r="V5021" s="2"/>
      <c r="W5021" s="2"/>
    </row>
    <row r="5022" spans="1:23" x14ac:dyDescent="0.25">
      <c r="A5022" s="2"/>
      <c r="B5022" s="2"/>
      <c r="C5022" s="1"/>
      <c r="D5022" s="2"/>
      <c r="E5022" s="2"/>
      <c r="F5022" s="2"/>
      <c r="G5022" s="2"/>
      <c r="H5022" s="2"/>
      <c r="I5022" s="2"/>
      <c r="J5022" s="2"/>
      <c r="K5022" s="2"/>
      <c r="L5022" s="2"/>
      <c r="M5022" s="2"/>
      <c r="N5022" s="2"/>
      <c r="O5022" s="2"/>
      <c r="P5022" s="2"/>
      <c r="Q5022" s="2"/>
      <c r="R5022" s="2"/>
      <c r="S5022" s="2"/>
      <c r="T5022" s="2"/>
      <c r="U5022" s="2"/>
      <c r="V5022" s="2"/>
      <c r="W5022" s="2"/>
    </row>
    <row r="5023" spans="1:23" x14ac:dyDescent="0.25">
      <c r="A5023" s="2"/>
      <c r="B5023" s="2"/>
      <c r="C5023" s="1"/>
      <c r="D5023" s="2"/>
      <c r="E5023" s="2"/>
      <c r="F5023" s="2"/>
      <c r="G5023" s="2"/>
      <c r="H5023" s="2"/>
      <c r="I5023" s="2"/>
      <c r="J5023" s="2"/>
      <c r="K5023" s="2"/>
      <c r="L5023" s="2"/>
      <c r="M5023" s="2"/>
      <c r="N5023" s="2"/>
      <c r="O5023" s="2"/>
      <c r="P5023" s="2"/>
      <c r="Q5023" s="2"/>
      <c r="R5023" s="2"/>
      <c r="S5023" s="2"/>
      <c r="T5023" s="2"/>
      <c r="U5023" s="2"/>
      <c r="V5023" s="2"/>
      <c r="W5023" s="2"/>
    </row>
    <row r="5024" spans="1:23" x14ac:dyDescent="0.25">
      <c r="A5024" s="2"/>
      <c r="B5024" s="2"/>
      <c r="C5024" s="1"/>
      <c r="D5024" s="2"/>
      <c r="E5024" s="2"/>
      <c r="F5024" s="2"/>
      <c r="G5024" s="2"/>
      <c r="H5024" s="2"/>
      <c r="I5024" s="2"/>
      <c r="J5024" s="2"/>
      <c r="K5024" s="2"/>
      <c r="L5024" s="2"/>
      <c r="M5024" s="2"/>
      <c r="N5024" s="2"/>
      <c r="O5024" s="2"/>
      <c r="P5024" s="2"/>
      <c r="Q5024" s="2"/>
      <c r="R5024" s="2"/>
      <c r="S5024" s="2"/>
      <c r="T5024" s="2"/>
      <c r="U5024" s="2"/>
      <c r="V5024" s="2"/>
      <c r="W5024" s="2"/>
    </row>
    <row r="5025" spans="1:23" x14ac:dyDescent="0.25">
      <c r="A5025" s="2"/>
      <c r="B5025" s="2"/>
      <c r="C5025" s="1"/>
      <c r="D5025" s="2"/>
      <c r="E5025" s="2"/>
      <c r="F5025" s="2"/>
      <c r="G5025" s="2"/>
      <c r="H5025" s="2"/>
      <c r="I5025" s="2"/>
      <c r="J5025" s="2"/>
      <c r="K5025" s="2"/>
      <c r="L5025" s="2"/>
      <c r="M5025" s="2"/>
      <c r="N5025" s="2"/>
      <c r="O5025" s="2"/>
      <c r="P5025" s="2"/>
      <c r="Q5025" s="2"/>
      <c r="R5025" s="2"/>
      <c r="S5025" s="2"/>
      <c r="T5025" s="2"/>
      <c r="U5025" s="2"/>
      <c r="V5025" s="2"/>
      <c r="W5025" s="2"/>
    </row>
    <row r="5026" spans="1:23" x14ac:dyDescent="0.25">
      <c r="A5026" s="2"/>
      <c r="B5026" s="2"/>
      <c r="C5026" s="1"/>
      <c r="D5026" s="2"/>
      <c r="E5026" s="2"/>
      <c r="F5026" s="2"/>
      <c r="G5026" s="2"/>
      <c r="H5026" s="2"/>
      <c r="I5026" s="2"/>
      <c r="J5026" s="2"/>
      <c r="K5026" s="2"/>
      <c r="L5026" s="2"/>
      <c r="M5026" s="2"/>
      <c r="N5026" s="2"/>
      <c r="O5026" s="2"/>
      <c r="P5026" s="2"/>
      <c r="Q5026" s="2"/>
      <c r="R5026" s="2"/>
      <c r="S5026" s="2"/>
      <c r="T5026" s="2"/>
      <c r="U5026" s="2"/>
      <c r="V5026" s="2"/>
      <c r="W5026" s="2"/>
    </row>
    <row r="5027" spans="1:23" x14ac:dyDescent="0.25">
      <c r="A5027" s="2"/>
      <c r="B5027" s="2"/>
      <c r="C5027" s="1"/>
      <c r="D5027" s="2"/>
      <c r="E5027" s="2"/>
      <c r="F5027" s="2"/>
      <c r="G5027" s="2"/>
      <c r="H5027" s="2"/>
      <c r="I5027" s="2"/>
      <c r="J5027" s="2"/>
      <c r="K5027" s="2"/>
      <c r="L5027" s="2"/>
      <c r="M5027" s="2"/>
      <c r="N5027" s="2"/>
      <c r="O5027" s="2"/>
      <c r="P5027" s="2"/>
      <c r="Q5027" s="2"/>
      <c r="R5027" s="2"/>
      <c r="S5027" s="2"/>
      <c r="T5027" s="2"/>
      <c r="U5027" s="2"/>
      <c r="V5027" s="2"/>
      <c r="W5027" s="2"/>
    </row>
    <row r="5028" spans="1:23" x14ac:dyDescent="0.25">
      <c r="A5028" s="2"/>
      <c r="B5028" s="2"/>
      <c r="C5028" s="1"/>
      <c r="D5028" s="2"/>
      <c r="E5028" s="2"/>
      <c r="F5028" s="2"/>
      <c r="G5028" s="2"/>
      <c r="H5028" s="2"/>
      <c r="I5028" s="2"/>
      <c r="J5028" s="2"/>
      <c r="K5028" s="2"/>
      <c r="L5028" s="2"/>
      <c r="M5028" s="2"/>
      <c r="N5028" s="2"/>
      <c r="O5028" s="2"/>
      <c r="P5028" s="2"/>
      <c r="Q5028" s="2"/>
      <c r="R5028" s="2"/>
      <c r="S5028" s="2"/>
      <c r="T5028" s="2"/>
      <c r="U5028" s="2"/>
      <c r="V5028" s="2"/>
      <c r="W5028" s="2"/>
    </row>
    <row r="5029" spans="1:23" x14ac:dyDescent="0.25">
      <c r="A5029" s="2"/>
      <c r="B5029" s="2"/>
      <c r="C5029" s="1"/>
      <c r="D5029" s="2"/>
      <c r="E5029" s="2"/>
      <c r="F5029" s="2"/>
      <c r="G5029" s="2"/>
      <c r="H5029" s="2"/>
      <c r="I5029" s="2"/>
      <c r="J5029" s="2"/>
      <c r="K5029" s="2"/>
      <c r="L5029" s="2"/>
      <c r="M5029" s="2"/>
      <c r="N5029" s="2"/>
      <c r="O5029" s="2"/>
      <c r="P5029" s="2"/>
      <c r="Q5029" s="2"/>
      <c r="R5029" s="2"/>
      <c r="S5029" s="2"/>
      <c r="T5029" s="2"/>
      <c r="U5029" s="2"/>
      <c r="V5029" s="2"/>
      <c r="W5029" s="2"/>
    </row>
    <row r="5030" spans="1:23" x14ac:dyDescent="0.25">
      <c r="A5030" s="2"/>
      <c r="B5030" s="2"/>
      <c r="C5030" s="1"/>
      <c r="D5030" s="2"/>
      <c r="E5030" s="2"/>
      <c r="F5030" s="2"/>
      <c r="G5030" s="2"/>
      <c r="H5030" s="2"/>
      <c r="I5030" s="2"/>
      <c r="J5030" s="2"/>
      <c r="K5030" s="2"/>
      <c r="L5030" s="2"/>
      <c r="M5030" s="2"/>
      <c r="N5030" s="2"/>
      <c r="O5030" s="2"/>
      <c r="P5030" s="2"/>
      <c r="Q5030" s="2"/>
      <c r="R5030" s="2"/>
      <c r="S5030" s="2"/>
      <c r="T5030" s="2"/>
      <c r="U5030" s="2"/>
      <c r="V5030" s="2"/>
      <c r="W5030" s="2"/>
    </row>
    <row r="5031" spans="1:23" x14ac:dyDescent="0.25">
      <c r="A5031" s="2"/>
      <c r="B5031" s="2"/>
      <c r="C5031" s="1"/>
      <c r="D5031" s="2"/>
      <c r="E5031" s="2"/>
      <c r="F5031" s="2"/>
      <c r="G5031" s="2"/>
      <c r="H5031" s="2"/>
      <c r="I5031" s="2"/>
      <c r="J5031" s="2"/>
      <c r="K5031" s="2"/>
      <c r="L5031" s="2"/>
      <c r="M5031" s="2"/>
      <c r="N5031" s="2"/>
      <c r="O5031" s="2"/>
      <c r="P5031" s="2"/>
      <c r="Q5031" s="2"/>
      <c r="R5031" s="2"/>
      <c r="S5031" s="2"/>
      <c r="T5031" s="2"/>
      <c r="U5031" s="2"/>
      <c r="V5031" s="2"/>
      <c r="W5031" s="2"/>
    </row>
    <row r="5032" spans="1:23" x14ac:dyDescent="0.25">
      <c r="A5032" s="2"/>
      <c r="B5032" s="2"/>
      <c r="C5032" s="1"/>
      <c r="D5032" s="2"/>
      <c r="E5032" s="2"/>
      <c r="F5032" s="2"/>
      <c r="G5032" s="2"/>
      <c r="H5032" s="2"/>
      <c r="I5032" s="2"/>
      <c r="J5032" s="2"/>
      <c r="K5032" s="2"/>
      <c r="L5032" s="2"/>
      <c r="M5032" s="2"/>
      <c r="N5032" s="2"/>
      <c r="O5032" s="2"/>
      <c r="P5032" s="2"/>
      <c r="Q5032" s="2"/>
      <c r="R5032" s="2"/>
      <c r="S5032" s="2"/>
      <c r="T5032" s="2"/>
      <c r="U5032" s="2"/>
      <c r="V5032" s="2"/>
      <c r="W5032" s="2"/>
    </row>
    <row r="5033" spans="1:23" x14ac:dyDescent="0.25">
      <c r="A5033" s="2"/>
      <c r="B5033" s="2"/>
      <c r="C5033" s="1"/>
      <c r="D5033" s="2"/>
      <c r="E5033" s="2"/>
      <c r="F5033" s="2"/>
      <c r="G5033" s="2"/>
      <c r="H5033" s="2"/>
      <c r="I5033" s="2"/>
      <c r="J5033" s="2"/>
      <c r="K5033" s="2"/>
      <c r="L5033" s="2"/>
      <c r="M5033" s="2"/>
      <c r="N5033" s="2"/>
      <c r="O5033" s="2"/>
      <c r="P5033" s="2"/>
      <c r="Q5033" s="2"/>
      <c r="R5033" s="2"/>
      <c r="S5033" s="2"/>
      <c r="T5033" s="2"/>
      <c r="U5033" s="2"/>
      <c r="V5033" s="2"/>
      <c r="W5033" s="2"/>
    </row>
    <row r="5034" spans="1:23" x14ac:dyDescent="0.25">
      <c r="A5034" s="2"/>
      <c r="B5034" s="2"/>
      <c r="C5034" s="1"/>
      <c r="D5034" s="2"/>
      <c r="E5034" s="2"/>
      <c r="F5034" s="2"/>
      <c r="G5034" s="2"/>
      <c r="H5034" s="2"/>
      <c r="I5034" s="2"/>
      <c r="J5034" s="2"/>
      <c r="K5034" s="2"/>
      <c r="L5034" s="2"/>
      <c r="M5034" s="2"/>
      <c r="N5034" s="2"/>
      <c r="O5034" s="2"/>
      <c r="P5034" s="2"/>
      <c r="Q5034" s="2"/>
      <c r="R5034" s="2"/>
      <c r="S5034" s="2"/>
      <c r="T5034" s="2"/>
      <c r="U5034" s="2"/>
      <c r="V5034" s="2"/>
      <c r="W5034" s="2"/>
    </row>
    <row r="5035" spans="1:23" x14ac:dyDescent="0.25">
      <c r="A5035" s="2"/>
      <c r="B5035" s="2"/>
      <c r="C5035" s="1"/>
      <c r="D5035" s="2"/>
      <c r="E5035" s="2"/>
      <c r="F5035" s="2"/>
      <c r="G5035" s="2"/>
      <c r="H5035" s="2"/>
      <c r="I5035" s="2"/>
      <c r="J5035" s="2"/>
      <c r="K5035" s="2"/>
      <c r="L5035" s="2"/>
      <c r="M5035" s="2"/>
      <c r="N5035" s="2"/>
      <c r="O5035" s="2"/>
      <c r="P5035" s="2"/>
      <c r="Q5035" s="2"/>
      <c r="R5035" s="2"/>
      <c r="S5035" s="2"/>
      <c r="T5035" s="2"/>
      <c r="U5035" s="2"/>
      <c r="V5035" s="2"/>
      <c r="W5035" s="2"/>
    </row>
    <row r="5036" spans="1:23" x14ac:dyDescent="0.25">
      <c r="A5036" s="2"/>
      <c r="B5036" s="2"/>
      <c r="C5036" s="1"/>
      <c r="D5036" s="2"/>
      <c r="E5036" s="2"/>
      <c r="F5036" s="2"/>
      <c r="G5036" s="2"/>
      <c r="H5036" s="2"/>
      <c r="I5036" s="2"/>
      <c r="J5036" s="2"/>
      <c r="K5036" s="2"/>
      <c r="L5036" s="2"/>
      <c r="M5036" s="2"/>
      <c r="N5036" s="2"/>
      <c r="O5036" s="2"/>
      <c r="P5036" s="2"/>
      <c r="Q5036" s="2"/>
      <c r="R5036" s="2"/>
      <c r="S5036" s="2"/>
      <c r="T5036" s="2"/>
      <c r="U5036" s="2"/>
      <c r="V5036" s="2"/>
      <c r="W5036" s="2"/>
    </row>
    <row r="5037" spans="1:23" x14ac:dyDescent="0.25">
      <c r="A5037" s="2"/>
      <c r="B5037" s="2"/>
      <c r="C5037" s="1"/>
      <c r="D5037" s="2"/>
      <c r="E5037" s="2"/>
      <c r="F5037" s="2"/>
      <c r="G5037" s="2"/>
      <c r="H5037" s="2"/>
      <c r="I5037" s="2"/>
      <c r="J5037" s="2"/>
      <c r="K5037" s="2"/>
      <c r="L5037" s="2"/>
      <c r="M5037" s="2"/>
      <c r="N5037" s="2"/>
      <c r="O5037" s="2"/>
      <c r="P5037" s="2"/>
      <c r="Q5037" s="2"/>
      <c r="R5037" s="2"/>
      <c r="S5037" s="2"/>
      <c r="T5037" s="2"/>
      <c r="U5037" s="2"/>
      <c r="V5037" s="2"/>
      <c r="W5037" s="2"/>
    </row>
    <row r="5038" spans="1:23" x14ac:dyDescent="0.25">
      <c r="A5038" s="2"/>
      <c r="B5038" s="2"/>
      <c r="C5038" s="1"/>
      <c r="D5038" s="2"/>
      <c r="E5038" s="2"/>
      <c r="F5038" s="2"/>
      <c r="G5038" s="2"/>
      <c r="H5038" s="2"/>
      <c r="I5038" s="2"/>
      <c r="J5038" s="2"/>
      <c r="K5038" s="2"/>
      <c r="L5038" s="2"/>
      <c r="M5038" s="2"/>
      <c r="N5038" s="2"/>
      <c r="O5038" s="2"/>
      <c r="P5038" s="2"/>
      <c r="Q5038" s="2"/>
      <c r="R5038" s="2"/>
      <c r="S5038" s="2"/>
      <c r="T5038" s="2"/>
      <c r="U5038" s="2"/>
      <c r="V5038" s="2"/>
      <c r="W5038" s="2"/>
    </row>
    <row r="5039" spans="1:23" x14ac:dyDescent="0.25">
      <c r="A5039" s="2"/>
      <c r="B5039" s="2"/>
      <c r="C5039" s="1"/>
      <c r="D5039" s="2"/>
      <c r="E5039" s="2"/>
      <c r="F5039" s="2"/>
      <c r="G5039" s="2"/>
      <c r="H5039" s="2"/>
      <c r="I5039" s="2"/>
      <c r="J5039" s="2"/>
      <c r="K5039" s="2"/>
      <c r="L5039" s="2"/>
      <c r="M5039" s="2"/>
      <c r="N5039" s="2"/>
      <c r="O5039" s="2"/>
      <c r="P5039" s="2"/>
      <c r="Q5039" s="2"/>
      <c r="R5039" s="2"/>
      <c r="S5039" s="2"/>
      <c r="T5039" s="2"/>
      <c r="U5039" s="2"/>
      <c r="V5039" s="2"/>
      <c r="W5039" s="2"/>
    </row>
    <row r="5040" spans="1:23" x14ac:dyDescent="0.25">
      <c r="A5040" s="2"/>
      <c r="B5040" s="2"/>
      <c r="C5040" s="1"/>
      <c r="D5040" s="2"/>
      <c r="E5040" s="2"/>
      <c r="F5040" s="2"/>
      <c r="G5040" s="2"/>
      <c r="H5040" s="2"/>
      <c r="I5040" s="2"/>
      <c r="J5040" s="2"/>
      <c r="K5040" s="2"/>
      <c r="L5040" s="2"/>
      <c r="M5040" s="2"/>
      <c r="N5040" s="2"/>
      <c r="O5040" s="2"/>
      <c r="P5040" s="2"/>
      <c r="Q5040" s="2"/>
      <c r="R5040" s="2"/>
      <c r="S5040" s="2"/>
      <c r="T5040" s="2"/>
      <c r="U5040" s="2"/>
      <c r="V5040" s="2"/>
      <c r="W5040" s="2"/>
    </row>
    <row r="5041" spans="1:23" x14ac:dyDescent="0.25">
      <c r="A5041" s="2"/>
      <c r="B5041" s="2"/>
      <c r="C5041" s="1"/>
      <c r="D5041" s="2"/>
      <c r="E5041" s="2"/>
      <c r="F5041" s="2"/>
      <c r="G5041" s="2"/>
      <c r="H5041" s="2"/>
      <c r="I5041" s="2"/>
      <c r="J5041" s="2"/>
      <c r="K5041" s="2"/>
      <c r="L5041" s="2"/>
      <c r="M5041" s="2"/>
      <c r="N5041" s="2"/>
      <c r="O5041" s="2"/>
      <c r="P5041" s="2"/>
      <c r="Q5041" s="2"/>
      <c r="R5041" s="2"/>
      <c r="S5041" s="2"/>
      <c r="T5041" s="2"/>
      <c r="U5041" s="2"/>
      <c r="V5041" s="2"/>
      <c r="W5041" s="2"/>
    </row>
    <row r="5042" spans="1:23" x14ac:dyDescent="0.25">
      <c r="A5042" s="2"/>
      <c r="B5042" s="2"/>
      <c r="C5042" s="1"/>
      <c r="D5042" s="2"/>
      <c r="E5042" s="2"/>
      <c r="F5042" s="2"/>
      <c r="G5042" s="2"/>
      <c r="H5042" s="2"/>
      <c r="I5042" s="2"/>
      <c r="J5042" s="2"/>
      <c r="K5042" s="2"/>
      <c r="L5042" s="2"/>
      <c r="M5042" s="2"/>
      <c r="N5042" s="2"/>
      <c r="O5042" s="2"/>
      <c r="P5042" s="2"/>
      <c r="Q5042" s="2"/>
      <c r="R5042" s="2"/>
      <c r="S5042" s="2"/>
      <c r="T5042" s="2"/>
      <c r="U5042" s="2"/>
      <c r="V5042" s="2"/>
      <c r="W5042" s="2"/>
    </row>
    <row r="5043" spans="1:23" x14ac:dyDescent="0.25">
      <c r="A5043" s="2"/>
      <c r="B5043" s="2"/>
      <c r="C5043" s="1"/>
      <c r="D5043" s="2"/>
      <c r="E5043" s="2"/>
      <c r="F5043" s="2"/>
      <c r="G5043" s="2"/>
      <c r="H5043" s="2"/>
      <c r="I5043" s="2"/>
      <c r="J5043" s="2"/>
      <c r="K5043" s="2"/>
      <c r="L5043" s="2"/>
      <c r="M5043" s="2"/>
      <c r="N5043" s="2"/>
      <c r="O5043" s="2"/>
      <c r="P5043" s="2"/>
      <c r="Q5043" s="2"/>
      <c r="R5043" s="2"/>
      <c r="S5043" s="2"/>
      <c r="T5043" s="2"/>
      <c r="U5043" s="2"/>
      <c r="V5043" s="2"/>
      <c r="W5043" s="2"/>
    </row>
    <row r="5044" spans="1:23" x14ac:dyDescent="0.25">
      <c r="A5044" s="2"/>
      <c r="B5044" s="2"/>
      <c r="C5044" s="1"/>
      <c r="D5044" s="2"/>
      <c r="E5044" s="2"/>
      <c r="F5044" s="2"/>
      <c r="G5044" s="2"/>
      <c r="H5044" s="2"/>
      <c r="I5044" s="2"/>
      <c r="J5044" s="2"/>
      <c r="K5044" s="2"/>
      <c r="L5044" s="2"/>
      <c r="M5044" s="2"/>
      <c r="N5044" s="2"/>
      <c r="O5044" s="2"/>
      <c r="P5044" s="2"/>
      <c r="Q5044" s="2"/>
      <c r="R5044" s="2"/>
      <c r="S5044" s="2"/>
      <c r="T5044" s="2"/>
      <c r="U5044" s="2"/>
      <c r="V5044" s="2"/>
      <c r="W5044" s="2"/>
    </row>
    <row r="5045" spans="1:23" x14ac:dyDescent="0.25">
      <c r="A5045" s="2"/>
      <c r="B5045" s="2"/>
      <c r="C5045" s="1"/>
      <c r="D5045" s="2"/>
      <c r="E5045" s="2"/>
      <c r="F5045" s="2"/>
      <c r="G5045" s="2"/>
      <c r="H5045" s="2"/>
      <c r="I5045" s="2"/>
      <c r="J5045" s="2"/>
      <c r="K5045" s="2"/>
      <c r="L5045" s="2"/>
      <c r="M5045" s="2"/>
      <c r="N5045" s="2"/>
      <c r="O5045" s="2"/>
      <c r="P5045" s="2"/>
      <c r="Q5045" s="2"/>
      <c r="R5045" s="2"/>
      <c r="S5045" s="2"/>
      <c r="T5045" s="2"/>
      <c r="U5045" s="2"/>
      <c r="V5045" s="2"/>
      <c r="W5045" s="2"/>
    </row>
    <row r="5046" spans="1:23" x14ac:dyDescent="0.25">
      <c r="A5046" s="2"/>
      <c r="B5046" s="2"/>
      <c r="C5046" s="1"/>
      <c r="D5046" s="2"/>
      <c r="E5046" s="2"/>
      <c r="F5046" s="2"/>
      <c r="G5046" s="2"/>
      <c r="H5046" s="2"/>
      <c r="I5046" s="2"/>
      <c r="J5046" s="2"/>
      <c r="K5046" s="2"/>
      <c r="L5046" s="2"/>
      <c r="M5046" s="2"/>
      <c r="N5046" s="2"/>
      <c r="O5046" s="2"/>
      <c r="P5046" s="2"/>
      <c r="Q5046" s="2"/>
      <c r="R5046" s="2"/>
      <c r="S5046" s="2"/>
      <c r="T5046" s="2"/>
      <c r="U5046" s="2"/>
      <c r="V5046" s="2"/>
      <c r="W5046" s="2"/>
    </row>
    <row r="5047" spans="1:23" x14ac:dyDescent="0.25">
      <c r="A5047" s="2"/>
      <c r="B5047" s="2"/>
      <c r="C5047" s="1"/>
      <c r="D5047" s="2"/>
      <c r="E5047" s="2"/>
      <c r="F5047" s="2"/>
      <c r="G5047" s="2"/>
      <c r="H5047" s="2"/>
      <c r="I5047" s="2"/>
      <c r="J5047" s="2"/>
      <c r="K5047" s="2"/>
      <c r="L5047" s="2"/>
      <c r="M5047" s="2"/>
      <c r="N5047" s="2"/>
      <c r="O5047" s="2"/>
      <c r="P5047" s="2"/>
      <c r="Q5047" s="2"/>
      <c r="R5047" s="2"/>
      <c r="S5047" s="2"/>
      <c r="T5047" s="2"/>
      <c r="U5047" s="2"/>
      <c r="V5047" s="2"/>
      <c r="W5047" s="2"/>
    </row>
    <row r="5048" spans="1:23" x14ac:dyDescent="0.25">
      <c r="A5048" s="2"/>
      <c r="B5048" s="2"/>
      <c r="C5048" s="1"/>
      <c r="D5048" s="2"/>
      <c r="E5048" s="2"/>
      <c r="F5048" s="2"/>
      <c r="G5048" s="2"/>
      <c r="H5048" s="2"/>
      <c r="I5048" s="2"/>
      <c r="J5048" s="2"/>
      <c r="K5048" s="2"/>
      <c r="L5048" s="2"/>
      <c r="M5048" s="2"/>
      <c r="N5048" s="2"/>
      <c r="O5048" s="2"/>
      <c r="P5048" s="2"/>
      <c r="Q5048" s="2"/>
      <c r="R5048" s="2"/>
      <c r="S5048" s="2"/>
      <c r="T5048" s="2"/>
      <c r="U5048" s="2"/>
      <c r="V5048" s="2"/>
      <c r="W5048" s="2"/>
    </row>
    <row r="5049" spans="1:23" x14ac:dyDescent="0.25">
      <c r="A5049" s="2"/>
      <c r="B5049" s="2"/>
      <c r="C5049" s="1"/>
      <c r="D5049" s="2"/>
      <c r="E5049" s="2"/>
      <c r="F5049" s="2"/>
      <c r="G5049" s="2"/>
      <c r="H5049" s="2"/>
      <c r="I5049" s="2"/>
      <c r="J5049" s="2"/>
      <c r="K5049" s="2"/>
      <c r="L5049" s="2"/>
      <c r="M5049" s="2"/>
      <c r="N5049" s="2"/>
      <c r="O5049" s="2"/>
      <c r="P5049" s="2"/>
      <c r="Q5049" s="2"/>
      <c r="R5049" s="2"/>
      <c r="S5049" s="2"/>
      <c r="T5049" s="2"/>
      <c r="U5049" s="2"/>
      <c r="V5049" s="2"/>
      <c r="W5049" s="2"/>
    </row>
    <row r="5050" spans="1:23" x14ac:dyDescent="0.25">
      <c r="A5050" s="2"/>
      <c r="B5050" s="2"/>
      <c r="C5050" s="1"/>
      <c r="D5050" s="2"/>
      <c r="E5050" s="2"/>
      <c r="F5050" s="2"/>
      <c r="G5050" s="2"/>
      <c r="H5050" s="2"/>
      <c r="I5050" s="2"/>
      <c r="J5050" s="2"/>
      <c r="K5050" s="2"/>
      <c r="L5050" s="2"/>
      <c r="M5050" s="2"/>
      <c r="N5050" s="2"/>
      <c r="O5050" s="2"/>
      <c r="P5050" s="2"/>
      <c r="Q5050" s="2"/>
      <c r="R5050" s="2"/>
      <c r="S5050" s="2"/>
      <c r="T5050" s="2"/>
      <c r="U5050" s="2"/>
      <c r="V5050" s="2"/>
      <c r="W5050" s="2"/>
    </row>
    <row r="5051" spans="1:23" x14ac:dyDescent="0.25">
      <c r="A5051" s="2"/>
      <c r="B5051" s="2"/>
      <c r="C5051" s="1"/>
      <c r="D5051" s="2"/>
      <c r="E5051" s="2"/>
      <c r="F5051" s="2"/>
      <c r="G5051" s="2"/>
      <c r="H5051" s="2"/>
      <c r="I5051" s="2"/>
      <c r="J5051" s="2"/>
      <c r="K5051" s="2"/>
      <c r="L5051" s="2"/>
      <c r="M5051" s="2"/>
      <c r="N5051" s="2"/>
      <c r="O5051" s="2"/>
      <c r="P5051" s="2"/>
      <c r="Q5051" s="2"/>
      <c r="R5051" s="2"/>
      <c r="S5051" s="2"/>
      <c r="T5051" s="2"/>
      <c r="U5051" s="2"/>
      <c r="V5051" s="2"/>
      <c r="W5051" s="2"/>
    </row>
    <row r="5052" spans="1:23" x14ac:dyDescent="0.25">
      <c r="A5052" s="2"/>
      <c r="B5052" s="2"/>
      <c r="C5052" s="1"/>
      <c r="D5052" s="2"/>
      <c r="E5052" s="2"/>
      <c r="F5052" s="2"/>
      <c r="G5052" s="2"/>
      <c r="H5052" s="2"/>
      <c r="I5052" s="2"/>
      <c r="J5052" s="2"/>
      <c r="K5052" s="2"/>
      <c r="L5052" s="2"/>
      <c r="M5052" s="2"/>
      <c r="N5052" s="2"/>
      <c r="O5052" s="2"/>
      <c r="P5052" s="2"/>
      <c r="Q5052" s="2"/>
      <c r="R5052" s="2"/>
      <c r="S5052" s="2"/>
      <c r="T5052" s="2"/>
      <c r="U5052" s="2"/>
      <c r="V5052" s="2"/>
      <c r="W5052" s="2"/>
    </row>
    <row r="5053" spans="1:23" x14ac:dyDescent="0.25">
      <c r="A5053" s="2"/>
      <c r="B5053" s="2"/>
      <c r="C5053" s="1"/>
      <c r="D5053" s="2"/>
      <c r="E5053" s="2"/>
      <c r="F5053" s="2"/>
      <c r="G5053" s="2"/>
      <c r="H5053" s="2"/>
      <c r="I5053" s="2"/>
      <c r="J5053" s="2"/>
      <c r="K5053" s="2"/>
      <c r="L5053" s="2"/>
      <c r="M5053" s="2"/>
      <c r="N5053" s="2"/>
      <c r="O5053" s="2"/>
      <c r="P5053" s="2"/>
      <c r="Q5053" s="2"/>
      <c r="R5053" s="2"/>
      <c r="S5053" s="2"/>
      <c r="T5053" s="2"/>
      <c r="U5053" s="2"/>
      <c r="V5053" s="2"/>
      <c r="W5053" s="2"/>
    </row>
    <row r="5054" spans="1:23" x14ac:dyDescent="0.25">
      <c r="A5054" s="2"/>
      <c r="B5054" s="2"/>
      <c r="C5054" s="1"/>
      <c r="D5054" s="2"/>
      <c r="E5054" s="2"/>
      <c r="F5054" s="2"/>
      <c r="G5054" s="2"/>
      <c r="H5054" s="2"/>
      <c r="I5054" s="2"/>
      <c r="J5054" s="2"/>
      <c r="K5054" s="2"/>
      <c r="L5054" s="2"/>
      <c r="M5054" s="2"/>
      <c r="N5054" s="2"/>
      <c r="O5054" s="2"/>
      <c r="P5054" s="2"/>
      <c r="Q5054" s="2"/>
      <c r="R5054" s="2"/>
      <c r="S5054" s="2"/>
      <c r="T5054" s="2"/>
      <c r="U5054" s="2"/>
      <c r="V5054" s="2"/>
      <c r="W5054" s="2"/>
    </row>
    <row r="5055" spans="1:23" x14ac:dyDescent="0.25">
      <c r="A5055" s="2"/>
      <c r="B5055" s="2"/>
      <c r="C5055" s="1"/>
      <c r="D5055" s="2"/>
      <c r="E5055" s="2"/>
      <c r="F5055" s="2"/>
      <c r="G5055" s="2"/>
      <c r="H5055" s="2"/>
      <c r="I5055" s="2"/>
      <c r="J5055" s="2"/>
      <c r="K5055" s="2"/>
      <c r="L5055" s="2"/>
      <c r="M5055" s="2"/>
      <c r="N5055" s="2"/>
      <c r="O5055" s="2"/>
      <c r="P5055" s="2"/>
      <c r="Q5055" s="2"/>
      <c r="R5055" s="2"/>
      <c r="S5055" s="2"/>
      <c r="T5055" s="2"/>
      <c r="U5055" s="2"/>
      <c r="V5055" s="2"/>
      <c r="W5055" s="2"/>
    </row>
    <row r="5056" spans="1:23" x14ac:dyDescent="0.25">
      <c r="A5056" s="2"/>
      <c r="B5056" s="2"/>
      <c r="C5056" s="1"/>
      <c r="D5056" s="2"/>
      <c r="E5056" s="2"/>
      <c r="F5056" s="2"/>
      <c r="G5056" s="2"/>
      <c r="H5056" s="2"/>
      <c r="I5056" s="2"/>
      <c r="J5056" s="2"/>
      <c r="K5056" s="2"/>
      <c r="L5056" s="2"/>
      <c r="M5056" s="2"/>
      <c r="N5056" s="2"/>
      <c r="O5056" s="2"/>
      <c r="P5056" s="2"/>
      <c r="Q5056" s="2"/>
      <c r="R5056" s="2"/>
      <c r="S5056" s="2"/>
      <c r="T5056" s="2"/>
      <c r="U5056" s="2"/>
      <c r="V5056" s="2"/>
      <c r="W5056" s="2"/>
    </row>
    <row r="5057" spans="1:23" x14ac:dyDescent="0.25">
      <c r="A5057" s="2"/>
      <c r="B5057" s="2"/>
      <c r="C5057" s="1"/>
      <c r="D5057" s="2"/>
      <c r="E5057" s="2"/>
      <c r="F5057" s="2"/>
      <c r="G5057" s="2"/>
      <c r="H5057" s="2"/>
      <c r="I5057" s="2"/>
      <c r="J5057" s="2"/>
      <c r="K5057" s="2"/>
      <c r="L5057" s="2"/>
      <c r="M5057" s="2"/>
      <c r="N5057" s="2"/>
      <c r="O5057" s="2"/>
      <c r="P5057" s="2"/>
      <c r="Q5057" s="2"/>
      <c r="R5057" s="2"/>
      <c r="S5057" s="2"/>
      <c r="T5057" s="2"/>
      <c r="U5057" s="2"/>
      <c r="V5057" s="2"/>
      <c r="W5057" s="2"/>
    </row>
    <row r="5058" spans="1:23" x14ac:dyDescent="0.25">
      <c r="A5058" s="2"/>
      <c r="B5058" s="2"/>
      <c r="C5058" s="1"/>
      <c r="D5058" s="2"/>
      <c r="E5058" s="2"/>
      <c r="F5058" s="2"/>
      <c r="G5058" s="2"/>
      <c r="H5058" s="2"/>
      <c r="I5058" s="2"/>
      <c r="J5058" s="2"/>
      <c r="K5058" s="2"/>
      <c r="L5058" s="2"/>
      <c r="M5058" s="2"/>
      <c r="N5058" s="2"/>
      <c r="O5058" s="2"/>
      <c r="P5058" s="2"/>
      <c r="Q5058" s="2"/>
      <c r="R5058" s="2"/>
      <c r="S5058" s="2"/>
      <c r="T5058" s="2"/>
      <c r="U5058" s="2"/>
      <c r="V5058" s="2"/>
      <c r="W5058" s="2"/>
    </row>
    <row r="5059" spans="1:23" x14ac:dyDescent="0.25">
      <c r="A5059" s="2"/>
      <c r="B5059" s="2"/>
      <c r="C5059" s="1"/>
      <c r="D5059" s="2"/>
      <c r="E5059" s="2"/>
      <c r="F5059" s="2"/>
      <c r="G5059" s="2"/>
      <c r="H5059" s="2"/>
      <c r="I5059" s="2"/>
      <c r="J5059" s="2"/>
      <c r="K5059" s="2"/>
      <c r="L5059" s="2"/>
      <c r="M5059" s="2"/>
      <c r="N5059" s="2"/>
      <c r="O5059" s="2"/>
      <c r="P5059" s="2"/>
      <c r="Q5059" s="2"/>
      <c r="R5059" s="2"/>
      <c r="S5059" s="2"/>
      <c r="T5059" s="2"/>
      <c r="U5059" s="2"/>
      <c r="V5059" s="2"/>
      <c r="W5059" s="2"/>
    </row>
    <row r="5060" spans="1:23" x14ac:dyDescent="0.25">
      <c r="A5060" s="2"/>
      <c r="B5060" s="2"/>
      <c r="C5060" s="1"/>
      <c r="D5060" s="2"/>
      <c r="E5060" s="2"/>
      <c r="F5060" s="2"/>
      <c r="G5060" s="2"/>
      <c r="H5060" s="2"/>
      <c r="I5060" s="2"/>
      <c r="J5060" s="2"/>
      <c r="K5060" s="2"/>
      <c r="L5060" s="2"/>
      <c r="M5060" s="2"/>
      <c r="N5060" s="2"/>
      <c r="O5060" s="2"/>
      <c r="P5060" s="2"/>
      <c r="Q5060" s="2"/>
      <c r="R5060" s="2"/>
      <c r="S5060" s="2"/>
      <c r="T5060" s="2"/>
      <c r="U5060" s="2"/>
      <c r="V5060" s="2"/>
      <c r="W5060" s="2"/>
    </row>
    <row r="5061" spans="1:23" x14ac:dyDescent="0.25">
      <c r="A5061" s="2"/>
      <c r="B5061" s="2"/>
      <c r="C5061" s="1"/>
      <c r="D5061" s="2"/>
      <c r="E5061" s="2"/>
      <c r="F5061" s="2"/>
      <c r="G5061" s="2"/>
      <c r="H5061" s="2"/>
      <c r="I5061" s="2"/>
      <c r="J5061" s="2"/>
      <c r="K5061" s="2"/>
      <c r="L5061" s="2"/>
      <c r="M5061" s="2"/>
      <c r="N5061" s="2"/>
      <c r="O5061" s="2"/>
      <c r="P5061" s="2"/>
      <c r="Q5061" s="2"/>
      <c r="R5061" s="2"/>
      <c r="S5061" s="2"/>
      <c r="T5061" s="2"/>
      <c r="U5061" s="2"/>
      <c r="V5061" s="2"/>
      <c r="W5061" s="2"/>
    </row>
    <row r="5062" spans="1:23" x14ac:dyDescent="0.25">
      <c r="A5062" s="2"/>
      <c r="B5062" s="2"/>
      <c r="C5062" s="1"/>
      <c r="D5062" s="2"/>
      <c r="E5062" s="2"/>
      <c r="F5062" s="2"/>
      <c r="G5062" s="2"/>
      <c r="H5062" s="2"/>
      <c r="I5062" s="2"/>
      <c r="J5062" s="2"/>
      <c r="K5062" s="2"/>
      <c r="L5062" s="2"/>
      <c r="M5062" s="2"/>
      <c r="N5062" s="2"/>
      <c r="O5062" s="2"/>
      <c r="P5062" s="2"/>
      <c r="Q5062" s="2"/>
      <c r="R5062" s="2"/>
      <c r="S5062" s="2"/>
      <c r="T5062" s="2"/>
      <c r="U5062" s="2"/>
      <c r="V5062" s="2"/>
      <c r="W5062" s="2"/>
    </row>
    <row r="5063" spans="1:23" x14ac:dyDescent="0.25">
      <c r="A5063" s="2"/>
      <c r="B5063" s="2"/>
      <c r="C5063" s="1"/>
      <c r="D5063" s="2"/>
      <c r="E5063" s="2"/>
      <c r="F5063" s="2"/>
      <c r="G5063" s="2"/>
      <c r="H5063" s="2"/>
      <c r="I5063" s="2"/>
      <c r="J5063" s="2"/>
      <c r="K5063" s="2"/>
      <c r="L5063" s="2"/>
      <c r="M5063" s="2"/>
      <c r="N5063" s="2"/>
      <c r="O5063" s="2"/>
      <c r="P5063" s="2"/>
      <c r="Q5063" s="2"/>
      <c r="R5063" s="2"/>
      <c r="S5063" s="2"/>
      <c r="T5063" s="2"/>
      <c r="U5063" s="2"/>
      <c r="V5063" s="2"/>
      <c r="W5063" s="2"/>
    </row>
    <row r="5064" spans="1:23" x14ac:dyDescent="0.25">
      <c r="A5064" s="2"/>
      <c r="B5064" s="2"/>
      <c r="C5064" s="1"/>
      <c r="D5064" s="2"/>
      <c r="E5064" s="2"/>
      <c r="F5064" s="2"/>
      <c r="G5064" s="2"/>
      <c r="H5064" s="2"/>
      <c r="I5064" s="2"/>
      <c r="J5064" s="2"/>
      <c r="K5064" s="2"/>
      <c r="L5064" s="2"/>
      <c r="M5064" s="2"/>
      <c r="N5064" s="2"/>
      <c r="O5064" s="2"/>
      <c r="P5064" s="2"/>
      <c r="Q5064" s="2"/>
      <c r="R5064" s="2"/>
      <c r="S5064" s="2"/>
      <c r="T5064" s="2"/>
      <c r="U5064" s="2"/>
      <c r="V5064" s="2"/>
      <c r="W5064" s="2"/>
    </row>
    <row r="5065" spans="1:23" x14ac:dyDescent="0.25">
      <c r="A5065" s="2"/>
      <c r="B5065" s="2"/>
      <c r="C5065" s="1"/>
      <c r="D5065" s="2"/>
      <c r="E5065" s="2"/>
      <c r="F5065" s="2"/>
      <c r="G5065" s="2"/>
      <c r="H5065" s="2"/>
      <c r="I5065" s="2"/>
      <c r="J5065" s="2"/>
      <c r="K5065" s="2"/>
      <c r="L5065" s="2"/>
      <c r="M5065" s="2"/>
      <c r="N5065" s="2"/>
      <c r="O5065" s="2"/>
      <c r="P5065" s="2"/>
      <c r="Q5065" s="2"/>
      <c r="R5065" s="2"/>
      <c r="S5065" s="2"/>
      <c r="T5065" s="2"/>
      <c r="U5065" s="2"/>
      <c r="V5065" s="2"/>
      <c r="W5065" s="2"/>
    </row>
    <row r="5066" spans="1:23" x14ac:dyDescent="0.25">
      <c r="A5066" s="2"/>
      <c r="B5066" s="2"/>
      <c r="C5066" s="1"/>
      <c r="D5066" s="2"/>
      <c r="E5066" s="2"/>
      <c r="F5066" s="2"/>
      <c r="G5066" s="2"/>
      <c r="H5066" s="2"/>
      <c r="I5066" s="2"/>
      <c r="J5066" s="2"/>
      <c r="K5066" s="2"/>
      <c r="L5066" s="2"/>
      <c r="M5066" s="2"/>
      <c r="N5066" s="2"/>
      <c r="O5066" s="2"/>
      <c r="P5066" s="2"/>
      <c r="Q5066" s="2"/>
      <c r="R5066" s="2"/>
      <c r="S5066" s="2"/>
      <c r="T5066" s="2"/>
      <c r="U5066" s="2"/>
      <c r="V5066" s="2"/>
      <c r="W5066" s="2"/>
    </row>
    <row r="5067" spans="1:23" x14ac:dyDescent="0.25">
      <c r="A5067" s="2"/>
      <c r="B5067" s="2"/>
      <c r="C5067" s="1"/>
      <c r="D5067" s="2"/>
      <c r="E5067" s="2"/>
      <c r="F5067" s="2"/>
      <c r="G5067" s="2"/>
      <c r="H5067" s="2"/>
      <c r="I5067" s="2"/>
      <c r="J5067" s="2"/>
      <c r="K5067" s="2"/>
      <c r="L5067" s="2"/>
      <c r="M5067" s="2"/>
      <c r="N5067" s="2"/>
      <c r="O5067" s="2"/>
      <c r="P5067" s="2"/>
      <c r="Q5067" s="2"/>
      <c r="R5067" s="2"/>
      <c r="S5067" s="2"/>
      <c r="T5067" s="2"/>
      <c r="U5067" s="2"/>
      <c r="V5067" s="2"/>
      <c r="W5067" s="2"/>
    </row>
    <row r="5068" spans="1:23" x14ac:dyDescent="0.25">
      <c r="A5068" s="2"/>
      <c r="B5068" s="2"/>
      <c r="C5068" s="1"/>
      <c r="D5068" s="2"/>
      <c r="E5068" s="2"/>
      <c r="F5068" s="2"/>
      <c r="G5068" s="2"/>
      <c r="H5068" s="2"/>
      <c r="I5068" s="2"/>
      <c r="J5068" s="2"/>
      <c r="K5068" s="2"/>
      <c r="L5068" s="2"/>
      <c r="M5068" s="2"/>
      <c r="N5068" s="2"/>
      <c r="O5068" s="2"/>
      <c r="P5068" s="2"/>
      <c r="Q5068" s="2"/>
      <c r="R5068" s="2"/>
      <c r="S5068" s="2"/>
      <c r="T5068" s="2"/>
      <c r="U5068" s="2"/>
      <c r="V5068" s="2"/>
      <c r="W5068" s="2"/>
    </row>
    <row r="5069" spans="1:23" x14ac:dyDescent="0.25">
      <c r="A5069" s="2"/>
      <c r="B5069" s="2"/>
      <c r="C5069" s="1"/>
      <c r="D5069" s="2"/>
      <c r="E5069" s="2"/>
      <c r="F5069" s="2"/>
      <c r="G5069" s="2"/>
      <c r="H5069" s="2"/>
      <c r="I5069" s="2"/>
      <c r="J5069" s="2"/>
      <c r="K5069" s="2"/>
      <c r="L5069" s="2"/>
      <c r="M5069" s="2"/>
      <c r="N5069" s="2"/>
      <c r="O5069" s="2"/>
      <c r="P5069" s="2"/>
      <c r="Q5069" s="2"/>
      <c r="R5069" s="2"/>
      <c r="S5069" s="2"/>
      <c r="T5069" s="2"/>
      <c r="U5069" s="2"/>
      <c r="V5069" s="2"/>
      <c r="W5069" s="2"/>
    </row>
    <row r="5070" spans="1:23" x14ac:dyDescent="0.25">
      <c r="A5070" s="2"/>
      <c r="B5070" s="2"/>
      <c r="C5070" s="1"/>
      <c r="D5070" s="2"/>
      <c r="E5070" s="2"/>
      <c r="F5070" s="2"/>
      <c r="G5070" s="2"/>
      <c r="H5070" s="2"/>
      <c r="I5070" s="2"/>
      <c r="J5070" s="2"/>
      <c r="K5070" s="2"/>
      <c r="L5070" s="2"/>
      <c r="M5070" s="2"/>
      <c r="N5070" s="2"/>
      <c r="O5070" s="2"/>
      <c r="P5070" s="2"/>
      <c r="Q5070" s="2"/>
      <c r="R5070" s="2"/>
      <c r="S5070" s="2"/>
      <c r="T5070" s="2"/>
      <c r="U5070" s="2"/>
      <c r="V5070" s="2"/>
      <c r="W5070" s="2"/>
    </row>
    <row r="5071" spans="1:23" x14ac:dyDescent="0.25">
      <c r="A5071" s="2"/>
      <c r="B5071" s="2"/>
      <c r="C5071" s="1"/>
      <c r="D5071" s="2"/>
      <c r="E5071" s="2"/>
      <c r="F5071" s="2"/>
      <c r="G5071" s="2"/>
      <c r="H5071" s="2"/>
      <c r="I5071" s="2"/>
      <c r="J5071" s="2"/>
      <c r="K5071" s="2"/>
      <c r="L5071" s="2"/>
      <c r="M5071" s="2"/>
      <c r="N5071" s="2"/>
      <c r="O5071" s="2"/>
      <c r="P5071" s="2"/>
      <c r="Q5071" s="2"/>
      <c r="R5071" s="2"/>
      <c r="S5071" s="2"/>
      <c r="T5071" s="2"/>
      <c r="U5071" s="2"/>
      <c r="V5071" s="2"/>
      <c r="W5071" s="2"/>
    </row>
    <row r="5072" spans="1:23" x14ac:dyDescent="0.25">
      <c r="A5072" s="2"/>
      <c r="B5072" s="2"/>
      <c r="C5072" s="1"/>
      <c r="D5072" s="2"/>
      <c r="E5072" s="2"/>
      <c r="F5072" s="2"/>
      <c r="G5072" s="2"/>
      <c r="H5072" s="2"/>
      <c r="I5072" s="2"/>
      <c r="J5072" s="2"/>
      <c r="K5072" s="2"/>
      <c r="L5072" s="2"/>
      <c r="M5072" s="2"/>
      <c r="N5072" s="2"/>
      <c r="O5072" s="2"/>
      <c r="P5072" s="2"/>
      <c r="Q5072" s="2"/>
      <c r="R5072" s="2"/>
      <c r="S5072" s="2"/>
      <c r="T5072" s="2"/>
      <c r="U5072" s="2"/>
      <c r="V5072" s="2"/>
      <c r="W5072" s="2"/>
    </row>
    <row r="5073" spans="1:23" x14ac:dyDescent="0.25">
      <c r="A5073" s="2"/>
      <c r="B5073" s="2"/>
      <c r="C5073" s="1"/>
      <c r="D5073" s="2"/>
      <c r="E5073" s="2"/>
      <c r="F5073" s="2"/>
      <c r="G5073" s="2"/>
      <c r="H5073" s="2"/>
      <c r="I5073" s="2"/>
      <c r="J5073" s="2"/>
      <c r="K5073" s="2"/>
      <c r="L5073" s="2"/>
      <c r="M5073" s="2"/>
      <c r="N5073" s="2"/>
      <c r="O5073" s="2"/>
      <c r="P5073" s="2"/>
      <c r="Q5073" s="2"/>
      <c r="R5073" s="2"/>
      <c r="S5073" s="2"/>
      <c r="T5073" s="2"/>
      <c r="U5073" s="2"/>
      <c r="V5073" s="2"/>
      <c r="W5073" s="2"/>
    </row>
    <row r="5074" spans="1:23" x14ac:dyDescent="0.25">
      <c r="A5074" s="2"/>
      <c r="B5074" s="2"/>
      <c r="C5074" s="1"/>
      <c r="D5074" s="2"/>
      <c r="E5074" s="2"/>
      <c r="F5074" s="2"/>
      <c r="G5074" s="2"/>
      <c r="H5074" s="2"/>
      <c r="I5074" s="2"/>
      <c r="J5074" s="2"/>
      <c r="K5074" s="2"/>
      <c r="L5074" s="2"/>
      <c r="M5074" s="2"/>
      <c r="N5074" s="2"/>
      <c r="O5074" s="2"/>
      <c r="P5074" s="2"/>
      <c r="Q5074" s="2"/>
      <c r="R5074" s="2"/>
      <c r="S5074" s="2"/>
      <c r="T5074" s="2"/>
      <c r="U5074" s="2"/>
      <c r="V5074" s="2"/>
      <c r="W5074" s="2"/>
    </row>
    <row r="5075" spans="1:23" x14ac:dyDescent="0.25">
      <c r="A5075" s="2"/>
      <c r="B5075" s="2"/>
      <c r="C5075" s="1"/>
      <c r="D5075" s="2"/>
      <c r="E5075" s="2"/>
      <c r="F5075" s="2"/>
      <c r="G5075" s="2"/>
      <c r="H5075" s="2"/>
      <c r="I5075" s="2"/>
      <c r="J5075" s="2"/>
      <c r="K5075" s="2"/>
      <c r="L5075" s="2"/>
      <c r="M5075" s="2"/>
      <c r="N5075" s="2"/>
      <c r="O5075" s="2"/>
      <c r="P5075" s="2"/>
      <c r="Q5075" s="2"/>
      <c r="R5075" s="2"/>
      <c r="S5075" s="2"/>
      <c r="T5075" s="2"/>
      <c r="U5075" s="2"/>
      <c r="V5075" s="2"/>
      <c r="W5075" s="2"/>
    </row>
    <row r="5076" spans="1:23" x14ac:dyDescent="0.25">
      <c r="A5076" s="2"/>
      <c r="B5076" s="2"/>
      <c r="C5076" s="1"/>
      <c r="D5076" s="2"/>
      <c r="E5076" s="2"/>
      <c r="F5076" s="2"/>
      <c r="G5076" s="2"/>
      <c r="H5076" s="2"/>
      <c r="I5076" s="2"/>
      <c r="J5076" s="2"/>
      <c r="K5076" s="2"/>
      <c r="L5076" s="2"/>
      <c r="M5076" s="2"/>
      <c r="N5076" s="2"/>
      <c r="O5076" s="2"/>
      <c r="P5076" s="2"/>
      <c r="Q5076" s="2"/>
      <c r="R5076" s="2"/>
      <c r="S5076" s="2"/>
      <c r="T5076" s="2"/>
      <c r="U5076" s="2"/>
      <c r="V5076" s="2"/>
      <c r="W5076" s="2"/>
    </row>
    <row r="5077" spans="1:23" x14ac:dyDescent="0.25">
      <c r="A5077" s="2"/>
      <c r="B5077" s="2"/>
      <c r="C5077" s="1"/>
      <c r="D5077" s="2"/>
      <c r="E5077" s="2"/>
      <c r="F5077" s="2"/>
      <c r="G5077" s="2"/>
      <c r="H5077" s="2"/>
      <c r="I5077" s="2"/>
      <c r="J5077" s="2"/>
      <c r="K5077" s="2"/>
      <c r="L5077" s="2"/>
      <c r="M5077" s="2"/>
      <c r="N5077" s="2"/>
      <c r="O5077" s="2"/>
      <c r="P5077" s="2"/>
      <c r="Q5077" s="2"/>
      <c r="R5077" s="2"/>
      <c r="S5077" s="2"/>
      <c r="T5077" s="2"/>
      <c r="U5077" s="2"/>
      <c r="V5077" s="2"/>
      <c r="W5077" s="2"/>
    </row>
    <row r="5078" spans="1:23" x14ac:dyDescent="0.25">
      <c r="A5078" s="2"/>
      <c r="B5078" s="2"/>
      <c r="C5078" s="1"/>
      <c r="D5078" s="2"/>
      <c r="E5078" s="2"/>
      <c r="F5078" s="2"/>
      <c r="G5078" s="2"/>
      <c r="H5078" s="2"/>
      <c r="I5078" s="2"/>
      <c r="J5078" s="2"/>
      <c r="K5078" s="2"/>
      <c r="L5078" s="2"/>
      <c r="M5078" s="2"/>
      <c r="N5078" s="2"/>
      <c r="O5078" s="2"/>
      <c r="P5078" s="2"/>
      <c r="Q5078" s="2"/>
      <c r="R5078" s="2"/>
      <c r="S5078" s="2"/>
      <c r="T5078" s="2"/>
      <c r="U5078" s="2"/>
      <c r="V5078" s="2"/>
      <c r="W5078" s="2"/>
    </row>
    <row r="5079" spans="1:23" x14ac:dyDescent="0.25">
      <c r="A5079" s="2"/>
      <c r="B5079" s="2"/>
      <c r="C5079" s="1"/>
      <c r="D5079" s="2"/>
      <c r="E5079" s="2"/>
      <c r="F5079" s="2"/>
      <c r="G5079" s="2"/>
      <c r="H5079" s="2"/>
      <c r="I5079" s="2"/>
      <c r="J5079" s="2"/>
      <c r="K5079" s="2"/>
      <c r="L5079" s="2"/>
      <c r="M5079" s="2"/>
      <c r="N5079" s="2"/>
      <c r="O5079" s="2"/>
      <c r="P5079" s="2"/>
      <c r="Q5079" s="2"/>
      <c r="R5079" s="2"/>
      <c r="S5079" s="2"/>
      <c r="T5079" s="2"/>
      <c r="U5079" s="2"/>
      <c r="V5079" s="2"/>
      <c r="W5079" s="2"/>
    </row>
    <row r="5080" spans="1:23" x14ac:dyDescent="0.25">
      <c r="A5080" s="2"/>
      <c r="B5080" s="2"/>
      <c r="C5080" s="1"/>
      <c r="D5080" s="2"/>
      <c r="E5080" s="2"/>
      <c r="F5080" s="2"/>
      <c r="G5080" s="2"/>
      <c r="H5080" s="2"/>
      <c r="I5080" s="2"/>
      <c r="J5080" s="2"/>
      <c r="K5080" s="2"/>
      <c r="L5080" s="2"/>
      <c r="M5080" s="2"/>
      <c r="N5080" s="2"/>
      <c r="O5080" s="2"/>
      <c r="P5080" s="2"/>
      <c r="Q5080" s="2"/>
      <c r="R5080" s="2"/>
      <c r="S5080" s="2"/>
      <c r="T5080" s="2"/>
      <c r="U5080" s="2"/>
      <c r="V5080" s="2"/>
      <c r="W5080" s="2"/>
    </row>
    <row r="5081" spans="1:23" x14ac:dyDescent="0.25">
      <c r="A5081" s="2"/>
      <c r="B5081" s="2"/>
      <c r="C5081" s="1"/>
      <c r="D5081" s="2"/>
      <c r="E5081" s="2"/>
      <c r="F5081" s="2"/>
      <c r="G5081" s="2"/>
      <c r="H5081" s="2"/>
      <c r="I5081" s="2"/>
      <c r="J5081" s="2"/>
      <c r="K5081" s="2"/>
      <c r="L5081" s="2"/>
      <c r="M5081" s="2"/>
      <c r="N5081" s="2"/>
      <c r="O5081" s="2"/>
      <c r="P5081" s="2"/>
      <c r="Q5081" s="2"/>
      <c r="R5081" s="2"/>
      <c r="S5081" s="2"/>
      <c r="T5081" s="2"/>
      <c r="U5081" s="2"/>
      <c r="V5081" s="2"/>
      <c r="W5081" s="2"/>
    </row>
    <row r="5082" spans="1:23" x14ac:dyDescent="0.25">
      <c r="A5082" s="2"/>
      <c r="B5082" s="2"/>
      <c r="C5082" s="1"/>
      <c r="D5082" s="2"/>
      <c r="E5082" s="2"/>
      <c r="F5082" s="2"/>
      <c r="G5082" s="2"/>
      <c r="H5082" s="2"/>
      <c r="I5082" s="2"/>
      <c r="J5082" s="2"/>
      <c r="K5082" s="2"/>
      <c r="L5082" s="2"/>
      <c r="M5082" s="2"/>
      <c r="N5082" s="2"/>
      <c r="O5082" s="2"/>
      <c r="P5082" s="2"/>
      <c r="Q5082" s="2"/>
      <c r="R5082" s="2"/>
      <c r="S5082" s="2"/>
      <c r="T5082" s="2"/>
      <c r="U5082" s="2"/>
      <c r="V5082" s="2"/>
      <c r="W5082" s="2"/>
    </row>
    <row r="5083" spans="1:23" x14ac:dyDescent="0.25">
      <c r="A5083" s="2"/>
      <c r="B5083" s="2"/>
      <c r="C5083" s="1"/>
      <c r="D5083" s="2"/>
      <c r="E5083" s="2"/>
      <c r="F5083" s="2"/>
      <c r="G5083" s="2"/>
      <c r="H5083" s="2"/>
      <c r="I5083" s="2"/>
      <c r="J5083" s="2"/>
      <c r="K5083" s="2"/>
      <c r="L5083" s="2"/>
      <c r="M5083" s="2"/>
      <c r="N5083" s="2"/>
      <c r="O5083" s="2"/>
      <c r="P5083" s="2"/>
      <c r="Q5083" s="2"/>
      <c r="R5083" s="2"/>
      <c r="S5083" s="2"/>
      <c r="T5083" s="2"/>
      <c r="U5083" s="2"/>
      <c r="V5083" s="2"/>
      <c r="W5083" s="2"/>
    </row>
    <row r="5084" spans="1:23" x14ac:dyDescent="0.25">
      <c r="A5084" s="2"/>
      <c r="B5084" s="2"/>
      <c r="C5084" s="1"/>
      <c r="D5084" s="2"/>
      <c r="E5084" s="2"/>
      <c r="F5084" s="2"/>
      <c r="G5084" s="2"/>
      <c r="H5084" s="2"/>
      <c r="I5084" s="2"/>
      <c r="J5084" s="2"/>
      <c r="K5084" s="2"/>
      <c r="L5084" s="2"/>
      <c r="M5084" s="2"/>
      <c r="N5084" s="2"/>
      <c r="O5084" s="2"/>
      <c r="P5084" s="2"/>
      <c r="Q5084" s="2"/>
      <c r="R5084" s="2"/>
      <c r="S5084" s="2"/>
      <c r="T5084" s="2"/>
      <c r="U5084" s="2"/>
      <c r="V5084" s="2"/>
      <c r="W5084" s="2"/>
    </row>
    <row r="5085" spans="1:23" x14ac:dyDescent="0.25">
      <c r="A5085" s="2"/>
      <c r="B5085" s="2"/>
      <c r="C5085" s="1"/>
      <c r="D5085" s="2"/>
      <c r="E5085" s="2"/>
      <c r="F5085" s="2"/>
      <c r="G5085" s="2"/>
      <c r="H5085" s="2"/>
      <c r="I5085" s="2"/>
      <c r="J5085" s="2"/>
      <c r="K5085" s="2"/>
      <c r="L5085" s="2"/>
      <c r="M5085" s="2"/>
      <c r="N5085" s="2"/>
      <c r="O5085" s="2"/>
      <c r="P5085" s="2"/>
      <c r="Q5085" s="2"/>
      <c r="R5085" s="2"/>
      <c r="S5085" s="2"/>
      <c r="T5085" s="2"/>
      <c r="U5085" s="2"/>
      <c r="V5085" s="2"/>
      <c r="W5085" s="2"/>
    </row>
    <row r="5086" spans="1:23" x14ac:dyDescent="0.25">
      <c r="A5086" s="2"/>
      <c r="B5086" s="2"/>
      <c r="C5086" s="1"/>
      <c r="D5086" s="2"/>
      <c r="E5086" s="2"/>
      <c r="F5086" s="2"/>
      <c r="G5086" s="2"/>
      <c r="H5086" s="2"/>
      <c r="I5086" s="2"/>
      <c r="J5086" s="2"/>
      <c r="K5086" s="2"/>
      <c r="L5086" s="2"/>
      <c r="M5086" s="2"/>
      <c r="N5086" s="2"/>
      <c r="O5086" s="2"/>
      <c r="P5086" s="2"/>
      <c r="Q5086" s="2"/>
      <c r="R5086" s="2"/>
      <c r="S5086" s="2"/>
      <c r="T5086" s="2"/>
      <c r="U5086" s="2"/>
      <c r="V5086" s="2"/>
      <c r="W5086" s="2"/>
    </row>
    <row r="5087" spans="1:23" x14ac:dyDescent="0.25">
      <c r="A5087" s="2"/>
      <c r="B5087" s="2"/>
      <c r="C5087" s="1"/>
      <c r="D5087" s="2"/>
      <c r="E5087" s="2"/>
      <c r="F5087" s="2"/>
      <c r="G5087" s="2"/>
      <c r="H5087" s="2"/>
      <c r="I5087" s="2"/>
      <c r="J5087" s="2"/>
      <c r="K5087" s="2"/>
      <c r="L5087" s="2"/>
      <c r="M5087" s="2"/>
      <c r="N5087" s="2"/>
      <c r="O5087" s="2"/>
      <c r="P5087" s="2"/>
      <c r="Q5087" s="2"/>
      <c r="R5087" s="2"/>
      <c r="S5087" s="2"/>
      <c r="T5087" s="2"/>
      <c r="U5087" s="2"/>
      <c r="V5087" s="2"/>
      <c r="W5087" s="2"/>
    </row>
    <row r="5088" spans="1:23" x14ac:dyDescent="0.25">
      <c r="A5088" s="2"/>
      <c r="B5088" s="2"/>
      <c r="C5088" s="1"/>
      <c r="D5088" s="2"/>
      <c r="E5088" s="2"/>
      <c r="F5088" s="2"/>
      <c r="G5088" s="2"/>
      <c r="H5088" s="2"/>
      <c r="I5088" s="2"/>
      <c r="J5088" s="2"/>
      <c r="K5088" s="2"/>
      <c r="L5088" s="2"/>
      <c r="M5088" s="2"/>
      <c r="N5088" s="2"/>
      <c r="O5088" s="2"/>
      <c r="P5088" s="2"/>
      <c r="Q5088" s="2"/>
      <c r="R5088" s="2"/>
      <c r="S5088" s="2"/>
      <c r="T5088" s="2"/>
      <c r="U5088" s="2"/>
      <c r="V5088" s="2"/>
      <c r="W5088" s="2"/>
    </row>
    <row r="5089" spans="1:23" x14ac:dyDescent="0.25">
      <c r="A5089" s="2"/>
      <c r="B5089" s="2"/>
      <c r="C5089" s="1"/>
      <c r="D5089" s="2"/>
      <c r="E5089" s="2"/>
      <c r="F5089" s="2"/>
      <c r="G5089" s="2"/>
      <c r="H5089" s="2"/>
      <c r="I5089" s="2"/>
      <c r="J5089" s="2"/>
      <c r="K5089" s="2"/>
      <c r="L5089" s="2"/>
      <c r="M5089" s="2"/>
      <c r="N5089" s="2"/>
      <c r="O5089" s="2"/>
      <c r="P5089" s="2"/>
      <c r="Q5089" s="2"/>
      <c r="R5089" s="2"/>
      <c r="S5089" s="2"/>
      <c r="T5089" s="2"/>
      <c r="U5089" s="2"/>
      <c r="V5089" s="2"/>
      <c r="W5089" s="2"/>
    </row>
    <row r="5090" spans="1:23" x14ac:dyDescent="0.25">
      <c r="A5090" s="2"/>
      <c r="B5090" s="2"/>
      <c r="C5090" s="1"/>
      <c r="D5090" s="2"/>
      <c r="E5090" s="2"/>
      <c r="F5090" s="2"/>
      <c r="G5090" s="2"/>
      <c r="H5090" s="2"/>
      <c r="I5090" s="2"/>
      <c r="J5090" s="2"/>
      <c r="K5090" s="2"/>
      <c r="L5090" s="2"/>
      <c r="M5090" s="2"/>
      <c r="N5090" s="2"/>
      <c r="O5090" s="2"/>
      <c r="P5090" s="2"/>
      <c r="Q5090" s="2"/>
      <c r="R5090" s="2"/>
      <c r="S5090" s="2"/>
      <c r="T5090" s="2"/>
      <c r="U5090" s="2"/>
      <c r="V5090" s="2"/>
      <c r="W5090" s="2"/>
    </row>
    <row r="5091" spans="1:23" x14ac:dyDescent="0.25">
      <c r="A5091" s="2"/>
      <c r="B5091" s="2"/>
      <c r="C5091" s="1"/>
      <c r="D5091" s="2"/>
      <c r="E5091" s="2"/>
      <c r="F5091" s="2"/>
      <c r="G5091" s="2"/>
      <c r="H5091" s="2"/>
      <c r="I5091" s="2"/>
      <c r="J5091" s="2"/>
      <c r="K5091" s="2"/>
      <c r="L5091" s="2"/>
      <c r="M5091" s="2"/>
      <c r="N5091" s="2"/>
      <c r="O5091" s="2"/>
      <c r="P5091" s="2"/>
      <c r="Q5091" s="2"/>
      <c r="R5091" s="2"/>
      <c r="S5091" s="2"/>
      <c r="T5091" s="2"/>
      <c r="U5091" s="2"/>
      <c r="V5091" s="2"/>
      <c r="W5091" s="2"/>
    </row>
    <row r="5092" spans="1:23" x14ac:dyDescent="0.25">
      <c r="A5092" s="2"/>
      <c r="B5092" s="2"/>
      <c r="C5092" s="1"/>
      <c r="D5092" s="2"/>
      <c r="E5092" s="2"/>
      <c r="F5092" s="2"/>
      <c r="G5092" s="2"/>
      <c r="H5092" s="2"/>
      <c r="I5092" s="2"/>
      <c r="J5092" s="2"/>
      <c r="K5092" s="2"/>
      <c r="L5092" s="2"/>
      <c r="M5092" s="2"/>
      <c r="N5092" s="2"/>
      <c r="O5092" s="2"/>
      <c r="P5092" s="2"/>
      <c r="Q5092" s="2"/>
      <c r="R5092" s="2"/>
      <c r="S5092" s="2"/>
      <c r="T5092" s="2"/>
      <c r="U5092" s="2"/>
      <c r="V5092" s="2"/>
      <c r="W5092" s="2"/>
    </row>
    <row r="5093" spans="1:23" x14ac:dyDescent="0.25">
      <c r="A5093" s="2"/>
      <c r="B5093" s="2"/>
      <c r="C5093" s="1"/>
      <c r="D5093" s="2"/>
      <c r="E5093" s="2"/>
      <c r="F5093" s="2"/>
      <c r="G5093" s="2"/>
      <c r="H5093" s="2"/>
      <c r="I5093" s="2"/>
      <c r="J5093" s="2"/>
      <c r="K5093" s="2"/>
      <c r="L5093" s="2"/>
      <c r="M5093" s="2"/>
      <c r="N5093" s="2"/>
      <c r="O5093" s="2"/>
      <c r="P5093" s="2"/>
      <c r="Q5093" s="2"/>
      <c r="R5093" s="2"/>
      <c r="S5093" s="2"/>
      <c r="T5093" s="2"/>
      <c r="U5093" s="2"/>
      <c r="V5093" s="2"/>
      <c r="W5093" s="2"/>
    </row>
    <row r="5094" spans="1:23" x14ac:dyDescent="0.25">
      <c r="A5094" s="2"/>
      <c r="B5094" s="2"/>
      <c r="C5094" s="1"/>
      <c r="D5094" s="2"/>
      <c r="E5094" s="2"/>
      <c r="F5094" s="2"/>
      <c r="G5094" s="2"/>
      <c r="H5094" s="2"/>
      <c r="I5094" s="2"/>
      <c r="J5094" s="2"/>
      <c r="K5094" s="2"/>
      <c r="L5094" s="2"/>
      <c r="M5094" s="2"/>
      <c r="N5094" s="2"/>
      <c r="O5094" s="2"/>
      <c r="P5094" s="2"/>
      <c r="Q5094" s="2"/>
      <c r="R5094" s="2"/>
      <c r="S5094" s="2"/>
      <c r="T5094" s="2"/>
      <c r="U5094" s="2"/>
      <c r="V5094" s="2"/>
      <c r="W5094" s="2"/>
    </row>
    <row r="5095" spans="1:23" x14ac:dyDescent="0.25">
      <c r="A5095" s="2"/>
      <c r="B5095" s="2"/>
      <c r="C5095" s="1"/>
      <c r="D5095" s="2"/>
      <c r="E5095" s="2"/>
      <c r="F5095" s="2"/>
      <c r="G5095" s="2"/>
      <c r="H5095" s="2"/>
      <c r="I5095" s="2"/>
      <c r="J5095" s="2"/>
      <c r="K5095" s="2"/>
      <c r="L5095" s="2"/>
      <c r="M5095" s="2"/>
      <c r="N5095" s="2"/>
      <c r="O5095" s="2"/>
      <c r="P5095" s="2"/>
      <c r="Q5095" s="2"/>
      <c r="R5095" s="2"/>
      <c r="S5095" s="2"/>
      <c r="T5095" s="2"/>
      <c r="U5095" s="2"/>
      <c r="V5095" s="2"/>
      <c r="W5095" s="2"/>
    </row>
    <row r="5096" spans="1:23" x14ac:dyDescent="0.25">
      <c r="A5096" s="2"/>
      <c r="B5096" s="2"/>
      <c r="C5096" s="1"/>
      <c r="D5096" s="2"/>
      <c r="E5096" s="2"/>
      <c r="F5096" s="2"/>
      <c r="G5096" s="2"/>
      <c r="H5096" s="2"/>
      <c r="I5096" s="2"/>
      <c r="J5096" s="2"/>
      <c r="K5096" s="2"/>
      <c r="L5096" s="2"/>
      <c r="M5096" s="2"/>
      <c r="N5096" s="2"/>
      <c r="O5096" s="2"/>
      <c r="P5096" s="2"/>
      <c r="Q5096" s="2"/>
      <c r="R5096" s="2"/>
      <c r="S5096" s="2"/>
      <c r="T5096" s="2"/>
      <c r="U5096" s="2"/>
      <c r="V5096" s="2"/>
      <c r="W5096" s="2"/>
    </row>
    <row r="5097" spans="1:23" x14ac:dyDescent="0.25">
      <c r="A5097" s="2"/>
      <c r="B5097" s="2"/>
      <c r="C5097" s="1"/>
      <c r="D5097" s="2"/>
      <c r="E5097" s="2"/>
      <c r="F5097" s="2"/>
      <c r="G5097" s="2"/>
      <c r="H5097" s="2"/>
      <c r="I5097" s="2"/>
      <c r="J5097" s="2"/>
      <c r="K5097" s="2"/>
      <c r="L5097" s="2"/>
      <c r="M5097" s="2"/>
      <c r="N5097" s="2"/>
      <c r="O5097" s="2"/>
      <c r="P5097" s="2"/>
      <c r="Q5097" s="2"/>
      <c r="R5097" s="2"/>
      <c r="S5097" s="2"/>
      <c r="T5097" s="2"/>
      <c r="U5097" s="2"/>
      <c r="V5097" s="2"/>
      <c r="W5097" s="2"/>
    </row>
    <row r="5098" spans="1:23" x14ac:dyDescent="0.25">
      <c r="A5098" s="2"/>
      <c r="B5098" s="2"/>
      <c r="C5098" s="1"/>
      <c r="D5098" s="2"/>
      <c r="E5098" s="2"/>
      <c r="F5098" s="2"/>
      <c r="G5098" s="2"/>
      <c r="H5098" s="2"/>
      <c r="I5098" s="2"/>
      <c r="J5098" s="2"/>
      <c r="K5098" s="2"/>
      <c r="L5098" s="2"/>
      <c r="M5098" s="2"/>
      <c r="N5098" s="2"/>
      <c r="O5098" s="2"/>
      <c r="P5098" s="2"/>
      <c r="Q5098" s="2"/>
      <c r="R5098" s="2"/>
      <c r="S5098" s="2"/>
      <c r="T5098" s="2"/>
      <c r="U5098" s="2"/>
      <c r="V5098" s="2"/>
      <c r="W5098" s="2"/>
    </row>
    <row r="5099" spans="1:23" x14ac:dyDescent="0.25">
      <c r="A5099" s="2"/>
      <c r="B5099" s="2"/>
      <c r="C5099" s="1"/>
      <c r="D5099" s="2"/>
      <c r="E5099" s="2"/>
      <c r="F5099" s="2"/>
      <c r="G5099" s="2"/>
      <c r="H5099" s="2"/>
      <c r="I5099" s="2"/>
      <c r="J5099" s="2"/>
      <c r="K5099" s="2"/>
      <c r="L5099" s="2"/>
      <c r="M5099" s="2"/>
      <c r="N5099" s="2"/>
      <c r="O5099" s="2"/>
      <c r="P5099" s="2"/>
      <c r="Q5099" s="2"/>
      <c r="R5099" s="2"/>
      <c r="S5099" s="2"/>
      <c r="T5099" s="2"/>
      <c r="U5099" s="2"/>
      <c r="V5099" s="2"/>
      <c r="W5099" s="2"/>
    </row>
    <row r="5100" spans="1:23" x14ac:dyDescent="0.25">
      <c r="A5100" s="2"/>
      <c r="B5100" s="2"/>
      <c r="C5100" s="1"/>
      <c r="D5100" s="2"/>
      <c r="E5100" s="2"/>
      <c r="F5100" s="2"/>
      <c r="G5100" s="2"/>
      <c r="H5100" s="2"/>
      <c r="I5100" s="2"/>
      <c r="J5100" s="2"/>
      <c r="K5100" s="2"/>
      <c r="L5100" s="2"/>
      <c r="M5100" s="2"/>
      <c r="N5100" s="2"/>
      <c r="O5100" s="2"/>
      <c r="P5100" s="2"/>
      <c r="Q5100" s="2"/>
      <c r="R5100" s="2"/>
      <c r="S5100" s="2"/>
      <c r="T5100" s="2"/>
      <c r="U5100" s="2"/>
      <c r="V5100" s="2"/>
      <c r="W5100" s="2"/>
    </row>
    <row r="5101" spans="1:23" x14ac:dyDescent="0.25">
      <c r="A5101" s="2"/>
      <c r="B5101" s="2"/>
      <c r="C5101" s="1"/>
      <c r="D5101" s="2"/>
      <c r="E5101" s="2"/>
      <c r="F5101" s="2"/>
      <c r="G5101" s="2"/>
      <c r="H5101" s="2"/>
      <c r="I5101" s="2"/>
      <c r="J5101" s="2"/>
      <c r="K5101" s="2"/>
      <c r="L5101" s="2"/>
      <c r="M5101" s="2"/>
      <c r="N5101" s="2"/>
      <c r="O5101" s="2"/>
      <c r="P5101" s="2"/>
      <c r="Q5101" s="2"/>
      <c r="R5101" s="2"/>
      <c r="S5101" s="2"/>
      <c r="T5101" s="2"/>
      <c r="U5101" s="2"/>
      <c r="V5101" s="2"/>
      <c r="W5101" s="2"/>
    </row>
    <row r="5102" spans="1:23" x14ac:dyDescent="0.25">
      <c r="A5102" s="2"/>
      <c r="B5102" s="2"/>
      <c r="C5102" s="1"/>
      <c r="D5102" s="2"/>
      <c r="E5102" s="2"/>
      <c r="F5102" s="2"/>
      <c r="G5102" s="2"/>
      <c r="H5102" s="2"/>
      <c r="I5102" s="2"/>
      <c r="J5102" s="2"/>
      <c r="K5102" s="2"/>
      <c r="L5102" s="2"/>
      <c r="M5102" s="2"/>
      <c r="N5102" s="2"/>
      <c r="O5102" s="2"/>
      <c r="P5102" s="2"/>
      <c r="Q5102" s="2"/>
      <c r="R5102" s="2"/>
      <c r="S5102" s="2"/>
      <c r="T5102" s="2"/>
      <c r="U5102" s="2"/>
      <c r="V5102" s="2"/>
      <c r="W5102" s="2"/>
    </row>
    <row r="5103" spans="1:23" x14ac:dyDescent="0.25">
      <c r="A5103" s="2"/>
      <c r="B5103" s="2"/>
      <c r="C5103" s="1"/>
      <c r="D5103" s="2"/>
      <c r="E5103" s="2"/>
      <c r="F5103" s="2"/>
      <c r="G5103" s="2"/>
      <c r="H5103" s="2"/>
      <c r="I5103" s="2"/>
      <c r="J5103" s="2"/>
      <c r="K5103" s="2"/>
      <c r="L5103" s="2"/>
      <c r="M5103" s="2"/>
      <c r="N5103" s="2"/>
      <c r="O5103" s="2"/>
      <c r="P5103" s="2"/>
      <c r="Q5103" s="2"/>
      <c r="R5103" s="2"/>
      <c r="S5103" s="2"/>
      <c r="T5103" s="2"/>
      <c r="U5103" s="2"/>
      <c r="V5103" s="2"/>
      <c r="W5103" s="2"/>
    </row>
    <row r="5104" spans="1:23" x14ac:dyDescent="0.25">
      <c r="A5104" s="2"/>
      <c r="B5104" s="2"/>
      <c r="C5104" s="1"/>
      <c r="D5104" s="2"/>
      <c r="E5104" s="2"/>
      <c r="F5104" s="2"/>
      <c r="G5104" s="2"/>
      <c r="H5104" s="2"/>
      <c r="I5104" s="2"/>
      <c r="J5104" s="2"/>
      <c r="K5104" s="2"/>
      <c r="L5104" s="2"/>
      <c r="M5104" s="2"/>
      <c r="N5104" s="2"/>
      <c r="O5104" s="2"/>
      <c r="P5104" s="2"/>
      <c r="Q5104" s="2"/>
      <c r="R5104" s="2"/>
      <c r="S5104" s="2"/>
      <c r="T5104" s="2"/>
      <c r="U5104" s="2"/>
      <c r="V5104" s="2"/>
      <c r="W5104" s="2"/>
    </row>
    <row r="5105" spans="1:23" x14ac:dyDescent="0.25">
      <c r="A5105" s="2"/>
      <c r="B5105" s="2"/>
      <c r="C5105" s="1"/>
      <c r="D5105" s="2"/>
      <c r="E5105" s="2"/>
      <c r="F5105" s="2"/>
      <c r="G5105" s="2"/>
      <c r="H5105" s="2"/>
      <c r="I5105" s="2"/>
      <c r="J5105" s="2"/>
      <c r="K5105" s="2"/>
      <c r="L5105" s="2"/>
      <c r="M5105" s="2"/>
      <c r="N5105" s="2"/>
      <c r="O5105" s="2"/>
      <c r="P5105" s="2"/>
      <c r="Q5105" s="2"/>
      <c r="R5105" s="2"/>
      <c r="S5105" s="2"/>
      <c r="T5105" s="2"/>
      <c r="U5105" s="2"/>
      <c r="V5105" s="2"/>
      <c r="W5105" s="2"/>
    </row>
    <row r="5106" spans="1:23" x14ac:dyDescent="0.25">
      <c r="A5106" s="2"/>
      <c r="B5106" s="2"/>
      <c r="C5106" s="1"/>
      <c r="D5106" s="2"/>
      <c r="E5106" s="2"/>
      <c r="F5106" s="2"/>
      <c r="G5106" s="2"/>
      <c r="H5106" s="2"/>
      <c r="I5106" s="2"/>
      <c r="J5106" s="2"/>
      <c r="K5106" s="2"/>
      <c r="L5106" s="2"/>
      <c r="M5106" s="2"/>
      <c r="N5106" s="2"/>
      <c r="O5106" s="2"/>
      <c r="P5106" s="2"/>
      <c r="Q5106" s="2"/>
      <c r="R5106" s="2"/>
      <c r="S5106" s="2"/>
      <c r="T5106" s="2"/>
      <c r="U5106" s="2"/>
      <c r="V5106" s="2"/>
      <c r="W5106" s="2"/>
    </row>
    <row r="5107" spans="1:23" x14ac:dyDescent="0.25">
      <c r="A5107" s="2"/>
      <c r="B5107" s="2"/>
      <c r="C5107" s="1"/>
      <c r="D5107" s="2"/>
      <c r="E5107" s="2"/>
      <c r="F5107" s="2"/>
      <c r="G5107" s="2"/>
      <c r="H5107" s="2"/>
      <c r="I5107" s="2"/>
      <c r="J5107" s="2"/>
      <c r="K5107" s="2"/>
      <c r="L5107" s="2"/>
      <c r="M5107" s="2"/>
      <c r="N5107" s="2"/>
      <c r="O5107" s="2"/>
      <c r="P5107" s="2"/>
      <c r="Q5107" s="2"/>
      <c r="R5107" s="2"/>
      <c r="S5107" s="2"/>
      <c r="T5107" s="2"/>
      <c r="U5107" s="2"/>
      <c r="V5107" s="2"/>
      <c r="W5107" s="2"/>
    </row>
    <row r="5108" spans="1:23" x14ac:dyDescent="0.25">
      <c r="A5108" s="2"/>
      <c r="B5108" s="2"/>
      <c r="C5108" s="1"/>
      <c r="D5108" s="2"/>
      <c r="E5108" s="2"/>
      <c r="F5108" s="2"/>
      <c r="G5108" s="2"/>
      <c r="H5108" s="2"/>
      <c r="I5108" s="2"/>
      <c r="J5108" s="2"/>
      <c r="K5108" s="2"/>
      <c r="L5108" s="2"/>
      <c r="M5108" s="2"/>
      <c r="N5108" s="2"/>
      <c r="O5108" s="2"/>
      <c r="P5108" s="2"/>
      <c r="Q5108" s="2"/>
      <c r="R5108" s="2"/>
      <c r="S5108" s="2"/>
      <c r="T5108" s="2"/>
      <c r="U5108" s="2"/>
      <c r="V5108" s="2"/>
      <c r="W5108" s="2"/>
    </row>
    <row r="5109" spans="1:23" x14ac:dyDescent="0.25">
      <c r="A5109" s="2"/>
      <c r="B5109" s="2"/>
      <c r="C5109" s="1"/>
      <c r="D5109" s="2"/>
      <c r="E5109" s="2"/>
      <c r="F5109" s="2"/>
      <c r="G5109" s="2"/>
      <c r="H5109" s="2"/>
      <c r="I5109" s="2"/>
      <c r="J5109" s="2"/>
      <c r="K5109" s="2"/>
      <c r="L5109" s="2"/>
      <c r="M5109" s="2"/>
      <c r="N5109" s="2"/>
      <c r="O5109" s="2"/>
      <c r="P5109" s="2"/>
      <c r="Q5109" s="2"/>
      <c r="R5109" s="2"/>
      <c r="S5109" s="2"/>
      <c r="T5109" s="2"/>
      <c r="U5109" s="2"/>
      <c r="V5109" s="2"/>
      <c r="W5109" s="2"/>
    </row>
    <row r="5110" spans="1:23" x14ac:dyDescent="0.25">
      <c r="A5110" s="2"/>
      <c r="B5110" s="2"/>
      <c r="C5110" s="1"/>
      <c r="D5110" s="2"/>
      <c r="E5110" s="2"/>
      <c r="F5110" s="2"/>
      <c r="G5110" s="2"/>
      <c r="H5110" s="2"/>
      <c r="I5110" s="2"/>
      <c r="J5110" s="2"/>
      <c r="K5110" s="2"/>
      <c r="L5110" s="2"/>
      <c r="M5110" s="2"/>
      <c r="N5110" s="2"/>
      <c r="O5110" s="2"/>
      <c r="P5110" s="2"/>
      <c r="Q5110" s="2"/>
      <c r="R5110" s="2"/>
      <c r="S5110" s="2"/>
      <c r="T5110" s="2"/>
      <c r="U5110" s="2"/>
      <c r="V5110" s="2"/>
      <c r="W5110" s="2"/>
    </row>
    <row r="5111" spans="1:23" x14ac:dyDescent="0.25">
      <c r="A5111" s="2"/>
      <c r="B5111" s="2"/>
      <c r="C5111" s="1"/>
      <c r="D5111" s="2"/>
      <c r="E5111" s="2"/>
      <c r="F5111" s="2"/>
      <c r="G5111" s="2"/>
      <c r="H5111" s="2"/>
      <c r="I5111" s="2"/>
      <c r="J5111" s="2"/>
      <c r="K5111" s="2"/>
      <c r="L5111" s="2"/>
      <c r="M5111" s="2"/>
      <c r="N5111" s="2"/>
      <c r="O5111" s="2"/>
      <c r="P5111" s="2"/>
      <c r="Q5111" s="2"/>
      <c r="R5111" s="2"/>
      <c r="S5111" s="2"/>
      <c r="T5111" s="2"/>
      <c r="U5111" s="2"/>
      <c r="V5111" s="2"/>
      <c r="W5111" s="2"/>
    </row>
    <row r="5112" spans="1:23" x14ac:dyDescent="0.25">
      <c r="A5112" s="2"/>
      <c r="B5112" s="2"/>
      <c r="C5112" s="1"/>
      <c r="D5112" s="2"/>
      <c r="E5112" s="2"/>
      <c r="F5112" s="2"/>
      <c r="G5112" s="2"/>
      <c r="H5112" s="2"/>
      <c r="I5112" s="2"/>
      <c r="J5112" s="2"/>
      <c r="K5112" s="2"/>
      <c r="L5112" s="2"/>
      <c r="M5112" s="2"/>
      <c r="N5112" s="2"/>
      <c r="O5112" s="2"/>
      <c r="P5112" s="2"/>
      <c r="Q5112" s="2"/>
      <c r="R5112" s="2"/>
      <c r="S5112" s="2"/>
      <c r="T5112" s="2"/>
      <c r="U5112" s="2"/>
      <c r="V5112" s="2"/>
      <c r="W5112" s="2"/>
    </row>
    <row r="5113" spans="1:23" x14ac:dyDescent="0.25">
      <c r="A5113" s="2"/>
      <c r="B5113" s="2"/>
      <c r="C5113" s="1"/>
      <c r="D5113" s="2"/>
      <c r="E5113" s="2"/>
      <c r="F5113" s="2"/>
      <c r="G5113" s="2"/>
      <c r="H5113" s="2"/>
      <c r="I5113" s="2"/>
      <c r="J5113" s="2"/>
      <c r="K5113" s="2"/>
      <c r="L5113" s="2"/>
      <c r="M5113" s="2"/>
      <c r="N5113" s="2"/>
      <c r="O5113" s="2"/>
      <c r="P5113" s="2"/>
      <c r="Q5113" s="2"/>
      <c r="R5113" s="2"/>
      <c r="S5113" s="2"/>
      <c r="T5113" s="2"/>
      <c r="U5113" s="2"/>
      <c r="V5113" s="2"/>
      <c r="W5113" s="2"/>
    </row>
    <row r="5114" spans="1:23" x14ac:dyDescent="0.25">
      <c r="A5114" s="2"/>
      <c r="B5114" s="2"/>
      <c r="C5114" s="1"/>
      <c r="D5114" s="2"/>
      <c r="E5114" s="2"/>
      <c r="F5114" s="2"/>
      <c r="G5114" s="2"/>
      <c r="H5114" s="2"/>
      <c r="I5114" s="2"/>
      <c r="J5114" s="2"/>
      <c r="K5114" s="2"/>
      <c r="L5114" s="2"/>
      <c r="M5114" s="2"/>
      <c r="N5114" s="2"/>
      <c r="O5114" s="2"/>
      <c r="P5114" s="2"/>
      <c r="Q5114" s="2"/>
      <c r="R5114" s="2"/>
      <c r="S5114" s="2"/>
      <c r="T5114" s="2"/>
      <c r="U5114" s="2"/>
      <c r="V5114" s="2"/>
      <c r="W5114" s="2"/>
    </row>
    <row r="5115" spans="1:23" x14ac:dyDescent="0.25">
      <c r="A5115" s="2"/>
      <c r="B5115" s="2"/>
      <c r="C5115" s="1"/>
      <c r="D5115" s="2"/>
      <c r="E5115" s="2"/>
      <c r="F5115" s="2"/>
      <c r="G5115" s="2"/>
      <c r="H5115" s="2"/>
      <c r="I5115" s="2"/>
      <c r="J5115" s="2"/>
      <c r="K5115" s="2"/>
      <c r="L5115" s="2"/>
      <c r="M5115" s="2"/>
      <c r="N5115" s="2"/>
      <c r="O5115" s="2"/>
      <c r="P5115" s="2"/>
      <c r="Q5115" s="2"/>
      <c r="R5115" s="2"/>
      <c r="S5115" s="2"/>
      <c r="T5115" s="2"/>
      <c r="U5115" s="2"/>
      <c r="V5115" s="2"/>
      <c r="W5115" s="2"/>
    </row>
    <row r="5116" spans="1:23" x14ac:dyDescent="0.25">
      <c r="A5116" s="2"/>
      <c r="B5116" s="2"/>
      <c r="C5116" s="1"/>
      <c r="D5116" s="2"/>
      <c r="E5116" s="2"/>
      <c r="F5116" s="2"/>
      <c r="G5116" s="2"/>
      <c r="H5116" s="2"/>
      <c r="I5116" s="2"/>
      <c r="J5116" s="2"/>
      <c r="K5116" s="2"/>
      <c r="L5116" s="2"/>
      <c r="M5116" s="2"/>
      <c r="N5116" s="2"/>
      <c r="O5116" s="2"/>
      <c r="P5116" s="2"/>
      <c r="Q5116" s="2"/>
      <c r="R5116" s="2"/>
      <c r="S5116" s="2"/>
      <c r="T5116" s="2"/>
      <c r="U5116" s="2"/>
      <c r="V5116" s="2"/>
      <c r="W5116" s="2"/>
    </row>
    <row r="5117" spans="1:23" x14ac:dyDescent="0.25">
      <c r="A5117" s="2"/>
      <c r="B5117" s="2"/>
      <c r="C5117" s="1"/>
      <c r="D5117" s="2"/>
      <c r="E5117" s="2"/>
      <c r="F5117" s="2"/>
      <c r="G5117" s="2"/>
      <c r="H5117" s="2"/>
      <c r="I5117" s="2"/>
      <c r="J5117" s="2"/>
      <c r="K5117" s="2"/>
      <c r="L5117" s="2"/>
      <c r="M5117" s="2"/>
      <c r="N5117" s="2"/>
      <c r="O5117" s="2"/>
      <c r="P5117" s="2"/>
      <c r="Q5117" s="2"/>
      <c r="R5117" s="2"/>
      <c r="S5117" s="2"/>
      <c r="T5117" s="2"/>
      <c r="U5117" s="2"/>
      <c r="V5117" s="2"/>
      <c r="W5117" s="2"/>
    </row>
    <row r="5118" spans="1:23" x14ac:dyDescent="0.25">
      <c r="A5118" s="2"/>
      <c r="B5118" s="2"/>
      <c r="C5118" s="1"/>
      <c r="D5118" s="2"/>
      <c r="E5118" s="2"/>
      <c r="F5118" s="2"/>
      <c r="G5118" s="2"/>
      <c r="H5118" s="2"/>
      <c r="I5118" s="2"/>
      <c r="J5118" s="2"/>
      <c r="K5118" s="2"/>
      <c r="L5118" s="2"/>
      <c r="M5118" s="2"/>
      <c r="N5118" s="2"/>
      <c r="O5118" s="2"/>
      <c r="P5118" s="2"/>
      <c r="Q5118" s="2"/>
      <c r="R5118" s="2"/>
      <c r="S5118" s="2"/>
      <c r="T5118" s="2"/>
      <c r="U5118" s="2"/>
      <c r="V5118" s="2"/>
      <c r="W5118" s="2"/>
    </row>
    <row r="5119" spans="1:23" x14ac:dyDescent="0.25">
      <c r="A5119" s="2"/>
      <c r="B5119" s="2"/>
      <c r="C5119" s="1"/>
      <c r="D5119" s="2"/>
      <c r="E5119" s="2"/>
      <c r="F5119" s="2"/>
      <c r="G5119" s="2"/>
      <c r="H5119" s="2"/>
      <c r="I5119" s="2"/>
      <c r="J5119" s="2"/>
      <c r="K5119" s="2"/>
      <c r="L5119" s="2"/>
      <c r="M5119" s="2"/>
      <c r="N5119" s="2"/>
      <c r="O5119" s="2"/>
      <c r="P5119" s="2"/>
      <c r="Q5119" s="2"/>
      <c r="R5119" s="2"/>
      <c r="S5119" s="2"/>
      <c r="T5119" s="2"/>
      <c r="U5119" s="2"/>
      <c r="V5119" s="2"/>
      <c r="W5119" s="2"/>
    </row>
    <row r="5120" spans="1:23" x14ac:dyDescent="0.25">
      <c r="A5120" s="2"/>
      <c r="B5120" s="2"/>
      <c r="C5120" s="1"/>
      <c r="D5120" s="2"/>
      <c r="E5120" s="2"/>
      <c r="F5120" s="2"/>
      <c r="G5120" s="2"/>
      <c r="H5120" s="2"/>
      <c r="I5120" s="2"/>
      <c r="J5120" s="2"/>
      <c r="K5120" s="2"/>
      <c r="L5120" s="2"/>
      <c r="M5120" s="2"/>
      <c r="N5120" s="2"/>
      <c r="O5120" s="2"/>
      <c r="P5120" s="2"/>
      <c r="Q5120" s="2"/>
      <c r="R5120" s="2"/>
      <c r="S5120" s="2"/>
      <c r="T5120" s="2"/>
      <c r="U5120" s="2"/>
      <c r="V5120" s="2"/>
      <c r="W5120" s="2"/>
    </row>
    <row r="5121" spans="1:23" x14ac:dyDescent="0.25">
      <c r="A5121" s="2"/>
      <c r="B5121" s="2"/>
      <c r="C5121" s="1"/>
      <c r="D5121" s="2"/>
      <c r="E5121" s="2"/>
      <c r="F5121" s="2"/>
      <c r="G5121" s="2"/>
      <c r="H5121" s="2"/>
      <c r="I5121" s="2"/>
      <c r="J5121" s="2"/>
      <c r="K5121" s="2"/>
      <c r="L5121" s="2"/>
      <c r="M5121" s="2"/>
      <c r="N5121" s="2"/>
      <c r="O5121" s="2"/>
      <c r="P5121" s="2"/>
      <c r="Q5121" s="2"/>
      <c r="R5121" s="2"/>
      <c r="S5121" s="2"/>
      <c r="T5121" s="2"/>
      <c r="U5121" s="2"/>
      <c r="V5121" s="2"/>
      <c r="W5121" s="2"/>
    </row>
    <row r="5122" spans="1:23" x14ac:dyDescent="0.25">
      <c r="A5122" s="2"/>
      <c r="B5122" s="2"/>
      <c r="C5122" s="1"/>
      <c r="D5122" s="2"/>
      <c r="E5122" s="2"/>
      <c r="F5122" s="2"/>
      <c r="G5122" s="2"/>
      <c r="H5122" s="2"/>
      <c r="I5122" s="2"/>
      <c r="J5122" s="2"/>
      <c r="K5122" s="2"/>
      <c r="L5122" s="2"/>
      <c r="M5122" s="2"/>
      <c r="N5122" s="2"/>
      <c r="O5122" s="2"/>
      <c r="P5122" s="2"/>
      <c r="Q5122" s="2"/>
      <c r="R5122" s="2"/>
      <c r="S5122" s="2"/>
      <c r="T5122" s="2"/>
      <c r="U5122" s="2"/>
      <c r="V5122" s="2"/>
      <c r="W5122" s="2"/>
    </row>
    <row r="5123" spans="1:23" x14ac:dyDescent="0.25">
      <c r="A5123" s="2"/>
      <c r="B5123" s="2"/>
      <c r="C5123" s="1"/>
      <c r="D5123" s="2"/>
      <c r="E5123" s="2"/>
      <c r="F5123" s="2"/>
      <c r="G5123" s="2"/>
      <c r="H5123" s="2"/>
      <c r="I5123" s="2"/>
      <c r="J5123" s="2"/>
      <c r="K5123" s="2"/>
      <c r="L5123" s="2"/>
      <c r="M5123" s="2"/>
      <c r="N5123" s="2"/>
      <c r="O5123" s="2"/>
      <c r="P5123" s="2"/>
      <c r="Q5123" s="2"/>
      <c r="R5123" s="2"/>
      <c r="S5123" s="2"/>
      <c r="T5123" s="2"/>
      <c r="U5123" s="2"/>
      <c r="V5123" s="2"/>
      <c r="W5123" s="2"/>
    </row>
    <row r="5124" spans="1:23" x14ac:dyDescent="0.25">
      <c r="A5124" s="2"/>
      <c r="B5124" s="2"/>
      <c r="C5124" s="1"/>
      <c r="D5124" s="2"/>
      <c r="E5124" s="2"/>
      <c r="F5124" s="2"/>
      <c r="G5124" s="2"/>
      <c r="H5124" s="2"/>
      <c r="I5124" s="2"/>
      <c r="J5124" s="2"/>
      <c r="K5124" s="2"/>
      <c r="L5124" s="2"/>
      <c r="M5124" s="2"/>
      <c r="N5124" s="2"/>
      <c r="O5124" s="2"/>
      <c r="P5124" s="2"/>
      <c r="Q5124" s="2"/>
      <c r="R5124" s="2"/>
      <c r="S5124" s="2"/>
      <c r="T5124" s="2"/>
      <c r="U5124" s="2"/>
      <c r="V5124" s="2"/>
      <c r="W5124" s="2"/>
    </row>
    <row r="5125" spans="1:23" x14ac:dyDescent="0.25">
      <c r="A5125" s="2"/>
      <c r="B5125" s="2"/>
      <c r="C5125" s="1"/>
      <c r="D5125" s="2"/>
      <c r="E5125" s="2"/>
      <c r="F5125" s="2"/>
      <c r="G5125" s="2"/>
      <c r="H5125" s="2"/>
      <c r="I5125" s="2"/>
      <c r="J5125" s="2"/>
      <c r="K5125" s="2"/>
      <c r="L5125" s="2"/>
      <c r="M5125" s="2"/>
      <c r="N5125" s="2"/>
      <c r="O5125" s="2"/>
      <c r="P5125" s="2"/>
      <c r="Q5125" s="2"/>
      <c r="R5125" s="2"/>
      <c r="S5125" s="2"/>
      <c r="T5125" s="2"/>
      <c r="U5125" s="2"/>
      <c r="V5125" s="2"/>
      <c r="W5125" s="2"/>
    </row>
    <row r="5126" spans="1:23" x14ac:dyDescent="0.25">
      <c r="A5126" s="2"/>
      <c r="B5126" s="2"/>
      <c r="C5126" s="1"/>
      <c r="D5126" s="2"/>
      <c r="E5126" s="2"/>
      <c r="F5126" s="2"/>
      <c r="G5126" s="2"/>
      <c r="H5126" s="2"/>
      <c r="I5126" s="2"/>
      <c r="J5126" s="2"/>
      <c r="K5126" s="2"/>
      <c r="L5126" s="2"/>
      <c r="M5126" s="2"/>
      <c r="N5126" s="2"/>
      <c r="O5126" s="2"/>
      <c r="P5126" s="2"/>
      <c r="Q5126" s="2"/>
      <c r="R5126" s="2"/>
      <c r="S5126" s="2"/>
      <c r="T5126" s="2"/>
      <c r="U5126" s="2"/>
      <c r="V5126" s="2"/>
      <c r="W5126" s="2"/>
    </row>
    <row r="5127" spans="1:23" x14ac:dyDescent="0.25">
      <c r="A5127" s="2"/>
      <c r="B5127" s="2"/>
      <c r="C5127" s="1"/>
      <c r="D5127" s="2"/>
      <c r="E5127" s="2"/>
      <c r="F5127" s="2"/>
      <c r="G5127" s="2"/>
      <c r="H5127" s="2"/>
      <c r="I5127" s="2"/>
      <c r="J5127" s="2"/>
      <c r="K5127" s="2"/>
      <c r="L5127" s="2"/>
      <c r="M5127" s="2"/>
      <c r="N5127" s="2"/>
      <c r="O5127" s="2"/>
      <c r="P5127" s="2"/>
      <c r="Q5127" s="2"/>
      <c r="R5127" s="2"/>
      <c r="S5127" s="2"/>
      <c r="T5127" s="2"/>
      <c r="U5127" s="2"/>
      <c r="V5127" s="2"/>
      <c r="W5127" s="2"/>
    </row>
    <row r="5128" spans="1:23" x14ac:dyDescent="0.25">
      <c r="A5128" s="2"/>
      <c r="B5128" s="2"/>
      <c r="C5128" s="1"/>
      <c r="D5128" s="2"/>
      <c r="E5128" s="2"/>
      <c r="F5128" s="2"/>
      <c r="G5128" s="2"/>
      <c r="H5128" s="2"/>
      <c r="I5128" s="2"/>
      <c r="J5128" s="2"/>
      <c r="K5128" s="2"/>
      <c r="L5128" s="2"/>
      <c r="M5128" s="2"/>
      <c r="N5128" s="2"/>
      <c r="O5128" s="2"/>
      <c r="P5128" s="2"/>
      <c r="Q5128" s="2"/>
      <c r="R5128" s="2"/>
      <c r="S5128" s="2"/>
      <c r="T5128" s="2"/>
      <c r="U5128" s="2"/>
      <c r="V5128" s="2"/>
      <c r="W5128" s="2"/>
    </row>
    <row r="5129" spans="1:23" x14ac:dyDescent="0.25">
      <c r="A5129" s="2"/>
      <c r="B5129" s="2"/>
      <c r="C5129" s="1"/>
      <c r="D5129" s="2"/>
      <c r="E5129" s="2"/>
      <c r="F5129" s="2"/>
      <c r="G5129" s="2"/>
      <c r="H5129" s="2"/>
      <c r="I5129" s="2"/>
      <c r="J5129" s="2"/>
      <c r="K5129" s="2"/>
      <c r="L5129" s="2"/>
      <c r="M5129" s="2"/>
      <c r="N5129" s="2"/>
      <c r="O5129" s="2"/>
      <c r="P5129" s="2"/>
      <c r="Q5129" s="2"/>
      <c r="R5129" s="2"/>
      <c r="S5129" s="2"/>
      <c r="T5129" s="2"/>
      <c r="U5129" s="2"/>
      <c r="V5129" s="2"/>
      <c r="W5129" s="2"/>
    </row>
    <row r="5130" spans="1:23" x14ac:dyDescent="0.25">
      <c r="A5130" s="2"/>
      <c r="B5130" s="2"/>
      <c r="C5130" s="1"/>
      <c r="D5130" s="2"/>
      <c r="E5130" s="2"/>
      <c r="F5130" s="2"/>
      <c r="G5130" s="2"/>
      <c r="H5130" s="2"/>
      <c r="I5130" s="2"/>
      <c r="J5130" s="2"/>
      <c r="K5130" s="2"/>
      <c r="L5130" s="2"/>
      <c r="M5130" s="2"/>
      <c r="N5130" s="2"/>
      <c r="O5130" s="2"/>
      <c r="P5130" s="2"/>
      <c r="Q5130" s="2"/>
      <c r="R5130" s="2"/>
      <c r="S5130" s="2"/>
      <c r="T5130" s="2"/>
      <c r="U5130" s="2"/>
      <c r="V5130" s="2"/>
      <c r="W5130" s="2"/>
    </row>
    <row r="5131" spans="1:23" x14ac:dyDescent="0.25">
      <c r="A5131" s="2"/>
      <c r="B5131" s="2"/>
      <c r="C5131" s="1"/>
      <c r="D5131" s="2"/>
      <c r="E5131" s="2"/>
      <c r="F5131" s="2"/>
      <c r="G5131" s="2"/>
      <c r="H5131" s="2"/>
      <c r="I5131" s="2"/>
      <c r="J5131" s="2"/>
      <c r="K5131" s="2"/>
      <c r="L5131" s="2"/>
      <c r="M5131" s="2"/>
      <c r="N5131" s="2"/>
      <c r="O5131" s="2"/>
      <c r="P5131" s="2"/>
      <c r="Q5131" s="2"/>
      <c r="R5131" s="2"/>
      <c r="S5131" s="2"/>
      <c r="T5131" s="2"/>
      <c r="U5131" s="2"/>
      <c r="V5131" s="2"/>
      <c r="W5131" s="2"/>
    </row>
    <row r="5132" spans="1:23" x14ac:dyDescent="0.25">
      <c r="A5132" s="2"/>
      <c r="B5132" s="2"/>
      <c r="C5132" s="1"/>
      <c r="D5132" s="2"/>
      <c r="E5132" s="2"/>
      <c r="F5132" s="2"/>
      <c r="G5132" s="2"/>
      <c r="H5132" s="2"/>
      <c r="I5132" s="2"/>
      <c r="J5132" s="2"/>
      <c r="K5132" s="2"/>
      <c r="L5132" s="2"/>
      <c r="M5132" s="2"/>
      <c r="N5132" s="2"/>
      <c r="O5132" s="2"/>
      <c r="P5132" s="2"/>
      <c r="Q5132" s="2"/>
      <c r="R5132" s="2"/>
      <c r="S5132" s="2"/>
      <c r="T5132" s="2"/>
      <c r="U5132" s="2"/>
      <c r="V5132" s="2"/>
      <c r="W5132" s="2"/>
    </row>
    <row r="5133" spans="1:23" x14ac:dyDescent="0.25">
      <c r="A5133" s="2"/>
      <c r="B5133" s="2"/>
      <c r="C5133" s="1"/>
      <c r="D5133" s="2"/>
      <c r="E5133" s="2"/>
      <c r="F5133" s="2"/>
      <c r="G5133" s="2"/>
      <c r="H5133" s="2"/>
      <c r="I5133" s="2"/>
      <c r="J5133" s="2"/>
      <c r="K5133" s="2"/>
      <c r="L5133" s="2"/>
      <c r="M5133" s="2"/>
      <c r="N5133" s="2"/>
      <c r="O5133" s="2"/>
      <c r="P5133" s="2"/>
      <c r="Q5133" s="2"/>
      <c r="R5133" s="2"/>
      <c r="S5133" s="2"/>
      <c r="T5133" s="2"/>
      <c r="U5133" s="2"/>
      <c r="V5133" s="2"/>
      <c r="W5133" s="2"/>
    </row>
    <row r="5134" spans="1:23" x14ac:dyDescent="0.25">
      <c r="A5134" s="2"/>
      <c r="B5134" s="2"/>
      <c r="C5134" s="1"/>
      <c r="D5134" s="2"/>
      <c r="E5134" s="2"/>
      <c r="F5134" s="2"/>
      <c r="G5134" s="2"/>
      <c r="H5134" s="2"/>
      <c r="I5134" s="2"/>
      <c r="J5134" s="2"/>
      <c r="K5134" s="2"/>
      <c r="L5134" s="2"/>
      <c r="M5134" s="2"/>
      <c r="N5134" s="2"/>
      <c r="O5134" s="2"/>
      <c r="P5134" s="2"/>
      <c r="Q5134" s="2"/>
      <c r="R5134" s="2"/>
      <c r="S5134" s="2"/>
      <c r="T5134" s="2"/>
      <c r="U5134" s="2"/>
      <c r="V5134" s="2"/>
      <c r="W5134" s="2"/>
    </row>
    <row r="5135" spans="1:23" x14ac:dyDescent="0.25">
      <c r="A5135" s="2"/>
      <c r="B5135" s="2"/>
      <c r="C5135" s="1"/>
      <c r="D5135" s="2"/>
      <c r="E5135" s="2"/>
      <c r="F5135" s="2"/>
      <c r="G5135" s="2"/>
      <c r="H5135" s="2"/>
      <c r="I5135" s="2"/>
      <c r="J5135" s="2"/>
      <c r="K5135" s="2"/>
      <c r="L5135" s="2"/>
      <c r="M5135" s="2"/>
      <c r="N5135" s="2"/>
      <c r="O5135" s="2"/>
      <c r="P5135" s="2"/>
      <c r="Q5135" s="2"/>
      <c r="R5135" s="2"/>
      <c r="S5135" s="2"/>
      <c r="T5135" s="2"/>
      <c r="U5135" s="2"/>
      <c r="V5135" s="2"/>
      <c r="W5135" s="2"/>
    </row>
    <row r="5136" spans="1:23" x14ac:dyDescent="0.25">
      <c r="A5136" s="2"/>
      <c r="B5136" s="2"/>
      <c r="C5136" s="1"/>
      <c r="D5136" s="2"/>
      <c r="E5136" s="2"/>
      <c r="F5136" s="2"/>
      <c r="G5136" s="2"/>
      <c r="H5136" s="2"/>
      <c r="I5136" s="2"/>
      <c r="J5136" s="2"/>
      <c r="K5136" s="2"/>
      <c r="L5136" s="2"/>
      <c r="M5136" s="2"/>
      <c r="N5136" s="2"/>
      <c r="O5136" s="2"/>
      <c r="P5136" s="2"/>
      <c r="Q5136" s="2"/>
      <c r="R5136" s="2"/>
      <c r="S5136" s="2"/>
      <c r="T5136" s="2"/>
      <c r="U5136" s="2"/>
      <c r="V5136" s="2"/>
      <c r="W5136" s="2"/>
    </row>
    <row r="5137" spans="1:23" x14ac:dyDescent="0.25">
      <c r="A5137" s="2"/>
      <c r="B5137" s="2"/>
      <c r="C5137" s="1"/>
      <c r="D5137" s="2"/>
      <c r="E5137" s="2"/>
      <c r="F5137" s="2"/>
      <c r="G5137" s="2"/>
      <c r="H5137" s="2"/>
      <c r="I5137" s="2"/>
      <c r="J5137" s="2"/>
      <c r="K5137" s="2"/>
      <c r="L5137" s="2"/>
      <c r="M5137" s="2"/>
      <c r="N5137" s="2"/>
      <c r="O5137" s="2"/>
      <c r="P5137" s="2"/>
      <c r="Q5137" s="2"/>
      <c r="R5137" s="2"/>
      <c r="S5137" s="2"/>
      <c r="T5137" s="2"/>
      <c r="U5137" s="2"/>
      <c r="V5137" s="2"/>
      <c r="W5137" s="2"/>
    </row>
    <row r="5138" spans="1:23" x14ac:dyDescent="0.25">
      <c r="A5138" s="2"/>
      <c r="B5138" s="2"/>
      <c r="C5138" s="1"/>
      <c r="D5138" s="2"/>
      <c r="E5138" s="2"/>
      <c r="F5138" s="2"/>
      <c r="G5138" s="2"/>
      <c r="H5138" s="2"/>
      <c r="I5138" s="2"/>
      <c r="J5138" s="2"/>
      <c r="K5138" s="2"/>
      <c r="L5138" s="2"/>
      <c r="M5138" s="2"/>
      <c r="N5138" s="2"/>
      <c r="O5138" s="2"/>
      <c r="P5138" s="2"/>
      <c r="Q5138" s="2"/>
      <c r="R5138" s="2"/>
      <c r="S5138" s="2"/>
      <c r="T5138" s="2"/>
      <c r="U5138" s="2"/>
      <c r="V5138" s="2"/>
      <c r="W5138" s="2"/>
    </row>
    <row r="5139" spans="1:23" x14ac:dyDescent="0.25">
      <c r="A5139" s="2"/>
      <c r="B5139" s="2"/>
      <c r="C5139" s="1"/>
      <c r="D5139" s="2"/>
      <c r="E5139" s="2"/>
      <c r="F5139" s="2"/>
      <c r="G5139" s="2"/>
      <c r="H5139" s="2"/>
      <c r="I5139" s="2"/>
      <c r="J5139" s="2"/>
      <c r="K5139" s="2"/>
      <c r="L5139" s="2"/>
      <c r="M5139" s="2"/>
      <c r="N5139" s="2"/>
      <c r="O5139" s="2"/>
      <c r="P5139" s="2"/>
      <c r="Q5139" s="2"/>
      <c r="R5139" s="2"/>
      <c r="S5139" s="2"/>
      <c r="T5139" s="2"/>
      <c r="U5139" s="2"/>
      <c r="V5139" s="2"/>
      <c r="W5139" s="2"/>
    </row>
    <row r="5140" spans="1:23" x14ac:dyDescent="0.25">
      <c r="A5140" s="2"/>
      <c r="B5140" s="2"/>
      <c r="C5140" s="1"/>
      <c r="D5140" s="2"/>
      <c r="E5140" s="2"/>
      <c r="F5140" s="2"/>
      <c r="G5140" s="2"/>
      <c r="H5140" s="2"/>
      <c r="I5140" s="2"/>
      <c r="J5140" s="2"/>
      <c r="K5140" s="2"/>
      <c r="L5140" s="2"/>
      <c r="M5140" s="2"/>
      <c r="N5140" s="2"/>
      <c r="O5140" s="2"/>
      <c r="P5140" s="2"/>
      <c r="Q5140" s="2"/>
      <c r="R5140" s="2"/>
      <c r="S5140" s="2"/>
      <c r="T5140" s="2"/>
      <c r="U5140" s="2"/>
      <c r="V5140" s="2"/>
      <c r="W5140" s="2"/>
    </row>
    <row r="5141" spans="1:23" x14ac:dyDescent="0.25">
      <c r="A5141" s="2"/>
      <c r="B5141" s="2"/>
      <c r="C5141" s="1"/>
      <c r="D5141" s="2"/>
      <c r="E5141" s="2"/>
      <c r="F5141" s="2"/>
      <c r="G5141" s="2"/>
      <c r="H5141" s="2"/>
      <c r="I5141" s="2"/>
      <c r="J5141" s="2"/>
      <c r="K5141" s="2"/>
      <c r="L5141" s="2"/>
      <c r="M5141" s="2"/>
      <c r="N5141" s="2"/>
      <c r="O5141" s="2"/>
      <c r="P5141" s="2"/>
      <c r="Q5141" s="2"/>
      <c r="R5141" s="2"/>
      <c r="S5141" s="2"/>
      <c r="T5141" s="2"/>
      <c r="U5141" s="2"/>
      <c r="V5141" s="2"/>
      <c r="W5141" s="2"/>
    </row>
    <row r="5142" spans="1:23" x14ac:dyDescent="0.25">
      <c r="A5142" s="2"/>
      <c r="B5142" s="2"/>
      <c r="C5142" s="1"/>
      <c r="D5142" s="2"/>
      <c r="E5142" s="2"/>
      <c r="F5142" s="2"/>
      <c r="G5142" s="2"/>
      <c r="H5142" s="2"/>
      <c r="I5142" s="2"/>
      <c r="J5142" s="2"/>
      <c r="K5142" s="2"/>
      <c r="L5142" s="2"/>
      <c r="M5142" s="2"/>
      <c r="N5142" s="2"/>
      <c r="O5142" s="2"/>
      <c r="P5142" s="2"/>
      <c r="Q5142" s="2"/>
      <c r="R5142" s="2"/>
      <c r="S5142" s="2"/>
      <c r="T5142" s="2"/>
      <c r="U5142" s="2"/>
      <c r="V5142" s="2"/>
      <c r="W5142" s="2"/>
    </row>
    <row r="5143" spans="1:23" x14ac:dyDescent="0.25">
      <c r="A5143" s="2"/>
      <c r="B5143" s="2"/>
      <c r="C5143" s="1"/>
      <c r="D5143" s="2"/>
      <c r="E5143" s="2"/>
      <c r="F5143" s="2"/>
      <c r="G5143" s="2"/>
      <c r="H5143" s="2"/>
      <c r="I5143" s="2"/>
      <c r="J5143" s="2"/>
      <c r="K5143" s="2"/>
      <c r="L5143" s="2"/>
      <c r="M5143" s="2"/>
      <c r="N5143" s="2"/>
      <c r="O5143" s="2"/>
      <c r="P5143" s="2"/>
      <c r="Q5143" s="2"/>
      <c r="R5143" s="2"/>
      <c r="S5143" s="2"/>
      <c r="T5143" s="2"/>
      <c r="U5143" s="2"/>
      <c r="V5143" s="2"/>
      <c r="W5143" s="2"/>
    </row>
    <row r="5144" spans="1:23" x14ac:dyDescent="0.25">
      <c r="A5144" s="2"/>
      <c r="B5144" s="2"/>
      <c r="C5144" s="1"/>
      <c r="D5144" s="2"/>
      <c r="E5144" s="2"/>
      <c r="F5144" s="2"/>
      <c r="G5144" s="2"/>
      <c r="H5144" s="2"/>
      <c r="I5144" s="2"/>
      <c r="J5144" s="2"/>
      <c r="K5144" s="2"/>
      <c r="L5144" s="2"/>
      <c r="M5144" s="2"/>
      <c r="N5144" s="2"/>
      <c r="O5144" s="2"/>
      <c r="P5144" s="2"/>
      <c r="Q5144" s="2"/>
      <c r="R5144" s="2"/>
      <c r="S5144" s="2"/>
      <c r="T5144" s="2"/>
      <c r="U5144" s="2"/>
      <c r="V5144" s="2"/>
      <c r="W5144" s="2"/>
    </row>
    <row r="5145" spans="1:23" x14ac:dyDescent="0.25">
      <c r="A5145" s="2"/>
      <c r="B5145" s="2"/>
      <c r="C5145" s="1"/>
      <c r="D5145" s="2"/>
      <c r="E5145" s="2"/>
      <c r="F5145" s="2"/>
      <c r="G5145" s="2"/>
      <c r="H5145" s="2"/>
      <c r="I5145" s="2"/>
      <c r="J5145" s="2"/>
      <c r="K5145" s="2"/>
      <c r="L5145" s="2"/>
      <c r="M5145" s="2"/>
      <c r="N5145" s="2"/>
      <c r="O5145" s="2"/>
      <c r="P5145" s="2"/>
      <c r="Q5145" s="2"/>
      <c r="R5145" s="2"/>
      <c r="S5145" s="2"/>
      <c r="T5145" s="2"/>
      <c r="U5145" s="2"/>
      <c r="V5145" s="2"/>
      <c r="W5145" s="2"/>
    </row>
    <row r="5146" spans="1:23" x14ac:dyDescent="0.25">
      <c r="A5146" s="2"/>
      <c r="B5146" s="2"/>
      <c r="C5146" s="1"/>
      <c r="D5146" s="2"/>
      <c r="E5146" s="2"/>
      <c r="F5146" s="2"/>
      <c r="G5146" s="2"/>
      <c r="H5146" s="2"/>
      <c r="I5146" s="2"/>
      <c r="J5146" s="2"/>
      <c r="K5146" s="2"/>
      <c r="L5146" s="2"/>
      <c r="M5146" s="2"/>
      <c r="N5146" s="2"/>
      <c r="O5146" s="2"/>
      <c r="P5146" s="2"/>
      <c r="Q5146" s="2"/>
      <c r="R5146" s="2"/>
      <c r="S5146" s="2"/>
      <c r="T5146" s="2"/>
      <c r="U5146" s="2"/>
      <c r="V5146" s="2"/>
      <c r="W5146" s="2"/>
    </row>
    <row r="5147" spans="1:23" x14ac:dyDescent="0.25">
      <c r="A5147" s="2"/>
      <c r="B5147" s="2"/>
      <c r="C5147" s="1"/>
      <c r="D5147" s="2"/>
      <c r="E5147" s="2"/>
      <c r="F5147" s="2"/>
      <c r="G5147" s="2"/>
      <c r="H5147" s="2"/>
      <c r="I5147" s="2"/>
      <c r="J5147" s="2"/>
      <c r="K5147" s="2"/>
      <c r="L5147" s="2"/>
      <c r="M5147" s="2"/>
      <c r="N5147" s="2"/>
      <c r="O5147" s="2"/>
      <c r="P5147" s="2"/>
      <c r="Q5147" s="2"/>
      <c r="R5147" s="2"/>
      <c r="S5147" s="2"/>
      <c r="T5147" s="2"/>
      <c r="U5147" s="2"/>
      <c r="V5147" s="2"/>
      <c r="W5147" s="2"/>
    </row>
    <row r="5148" spans="1:23" x14ac:dyDescent="0.25">
      <c r="A5148" s="2"/>
      <c r="B5148" s="2"/>
      <c r="C5148" s="1"/>
      <c r="D5148" s="2"/>
      <c r="E5148" s="2"/>
      <c r="F5148" s="2"/>
      <c r="G5148" s="2"/>
      <c r="H5148" s="2"/>
      <c r="I5148" s="2"/>
      <c r="J5148" s="2"/>
      <c r="K5148" s="2"/>
      <c r="L5148" s="2"/>
      <c r="M5148" s="2"/>
      <c r="N5148" s="2"/>
      <c r="O5148" s="2"/>
      <c r="P5148" s="2"/>
      <c r="Q5148" s="2"/>
      <c r="R5148" s="2"/>
      <c r="S5148" s="2"/>
      <c r="T5148" s="2"/>
      <c r="U5148" s="2"/>
      <c r="V5148" s="2"/>
      <c r="W5148" s="2"/>
    </row>
    <row r="5149" spans="1:23" x14ac:dyDescent="0.25">
      <c r="A5149" s="2"/>
      <c r="B5149" s="2"/>
      <c r="C5149" s="1"/>
      <c r="D5149" s="2"/>
      <c r="E5149" s="2"/>
      <c r="F5149" s="2"/>
      <c r="G5149" s="2"/>
      <c r="H5149" s="2"/>
      <c r="I5149" s="2"/>
      <c r="J5149" s="2"/>
      <c r="K5149" s="2"/>
      <c r="L5149" s="2"/>
      <c r="M5149" s="2"/>
      <c r="N5149" s="2"/>
      <c r="O5149" s="2"/>
      <c r="P5149" s="2"/>
      <c r="Q5149" s="2"/>
      <c r="R5149" s="2"/>
      <c r="S5149" s="2"/>
      <c r="T5149" s="2"/>
      <c r="U5149" s="2"/>
      <c r="V5149" s="2"/>
      <c r="W5149" s="2"/>
    </row>
    <row r="5150" spans="1:23" x14ac:dyDescent="0.25">
      <c r="A5150" s="2"/>
      <c r="B5150" s="2"/>
      <c r="C5150" s="1"/>
      <c r="D5150" s="2"/>
      <c r="E5150" s="2"/>
      <c r="F5150" s="2"/>
      <c r="G5150" s="2"/>
      <c r="H5150" s="2"/>
      <c r="I5150" s="2"/>
      <c r="J5150" s="2"/>
      <c r="K5150" s="2"/>
      <c r="L5150" s="2"/>
      <c r="M5150" s="2"/>
      <c r="N5150" s="2"/>
      <c r="O5150" s="2"/>
      <c r="P5150" s="2"/>
      <c r="Q5150" s="2"/>
      <c r="R5150" s="2"/>
      <c r="S5150" s="2"/>
      <c r="T5150" s="2"/>
      <c r="U5150" s="2"/>
      <c r="V5150" s="2"/>
      <c r="W5150" s="2"/>
    </row>
    <row r="5151" spans="1:23" x14ac:dyDescent="0.25">
      <c r="A5151" s="2"/>
      <c r="B5151" s="2"/>
      <c r="C5151" s="1"/>
      <c r="D5151" s="2"/>
      <c r="E5151" s="2"/>
      <c r="F5151" s="2"/>
      <c r="G5151" s="2"/>
      <c r="H5151" s="2"/>
      <c r="I5151" s="2"/>
      <c r="J5151" s="2"/>
      <c r="K5151" s="2"/>
      <c r="L5151" s="2"/>
      <c r="M5151" s="2"/>
      <c r="N5151" s="2"/>
      <c r="O5151" s="2"/>
      <c r="P5151" s="2"/>
      <c r="Q5151" s="2"/>
      <c r="R5151" s="2"/>
      <c r="S5151" s="2"/>
      <c r="T5151" s="2"/>
      <c r="U5151" s="2"/>
      <c r="V5151" s="2"/>
      <c r="W5151" s="2"/>
    </row>
    <row r="5152" spans="1:23" x14ac:dyDescent="0.25">
      <c r="A5152" s="2"/>
      <c r="B5152" s="2"/>
      <c r="C5152" s="1"/>
      <c r="D5152" s="2"/>
      <c r="E5152" s="2"/>
      <c r="F5152" s="2"/>
      <c r="G5152" s="2"/>
      <c r="H5152" s="2"/>
      <c r="I5152" s="2"/>
      <c r="J5152" s="2"/>
      <c r="K5152" s="2"/>
      <c r="L5152" s="2"/>
      <c r="M5152" s="2"/>
      <c r="N5152" s="2"/>
      <c r="O5152" s="2"/>
      <c r="P5152" s="2"/>
      <c r="Q5152" s="2"/>
      <c r="R5152" s="2"/>
      <c r="S5152" s="2"/>
      <c r="T5152" s="2"/>
      <c r="U5152" s="2"/>
      <c r="V5152" s="2"/>
      <c r="W5152" s="2"/>
    </row>
    <row r="5153" spans="1:23" x14ac:dyDescent="0.25">
      <c r="A5153" s="2"/>
      <c r="B5153" s="2"/>
      <c r="C5153" s="1"/>
      <c r="D5153" s="2"/>
      <c r="E5153" s="2"/>
      <c r="F5153" s="2"/>
      <c r="G5153" s="2"/>
      <c r="H5153" s="2"/>
      <c r="I5153" s="2"/>
      <c r="J5153" s="2"/>
      <c r="K5153" s="2"/>
      <c r="L5153" s="2"/>
      <c r="M5153" s="2"/>
      <c r="N5153" s="2"/>
      <c r="O5153" s="2"/>
      <c r="P5153" s="2"/>
      <c r="Q5153" s="2"/>
      <c r="R5153" s="2"/>
      <c r="S5153" s="2"/>
      <c r="T5153" s="2"/>
      <c r="U5153" s="2"/>
      <c r="V5153" s="2"/>
      <c r="W5153" s="2"/>
    </row>
    <row r="5154" spans="1:23" x14ac:dyDescent="0.25">
      <c r="A5154" s="2"/>
      <c r="B5154" s="2"/>
      <c r="C5154" s="1"/>
      <c r="D5154" s="2"/>
      <c r="E5154" s="2"/>
      <c r="F5154" s="2"/>
      <c r="G5154" s="2"/>
      <c r="H5154" s="2"/>
      <c r="I5154" s="2"/>
      <c r="J5154" s="2"/>
      <c r="K5154" s="2"/>
      <c r="L5154" s="2"/>
      <c r="M5154" s="2"/>
      <c r="N5154" s="2"/>
      <c r="O5154" s="2"/>
      <c r="P5154" s="2"/>
      <c r="Q5154" s="2"/>
      <c r="R5154" s="2"/>
      <c r="S5154" s="2"/>
      <c r="T5154" s="2"/>
      <c r="U5154" s="2"/>
      <c r="V5154" s="2"/>
      <c r="W5154" s="2"/>
    </row>
    <row r="5155" spans="1:23" x14ac:dyDescent="0.25">
      <c r="A5155" s="2"/>
      <c r="B5155" s="2"/>
      <c r="C5155" s="1"/>
      <c r="D5155" s="2"/>
      <c r="E5155" s="2"/>
      <c r="F5155" s="2"/>
      <c r="G5155" s="2"/>
      <c r="H5155" s="2"/>
      <c r="I5155" s="2"/>
      <c r="J5155" s="2"/>
      <c r="K5155" s="2"/>
      <c r="L5155" s="2"/>
      <c r="M5155" s="2"/>
      <c r="N5155" s="2"/>
      <c r="O5155" s="2"/>
      <c r="P5155" s="2"/>
      <c r="Q5155" s="2"/>
      <c r="R5155" s="2"/>
      <c r="S5155" s="2"/>
      <c r="T5155" s="2"/>
      <c r="U5155" s="2"/>
      <c r="V5155" s="2"/>
      <c r="W5155" s="2"/>
    </row>
    <row r="5156" spans="1:23" x14ac:dyDescent="0.25">
      <c r="A5156" s="2"/>
      <c r="B5156" s="2"/>
      <c r="C5156" s="1"/>
      <c r="D5156" s="2"/>
      <c r="E5156" s="2"/>
      <c r="F5156" s="2"/>
      <c r="G5156" s="2"/>
      <c r="H5156" s="2"/>
      <c r="I5156" s="2"/>
      <c r="J5156" s="2"/>
      <c r="K5156" s="2"/>
      <c r="L5156" s="2"/>
      <c r="M5156" s="2"/>
      <c r="N5156" s="2"/>
      <c r="O5156" s="2"/>
      <c r="P5156" s="2"/>
      <c r="Q5156" s="2"/>
      <c r="R5156" s="2"/>
      <c r="S5156" s="2"/>
      <c r="T5156" s="2"/>
      <c r="U5156" s="2"/>
      <c r="V5156" s="2"/>
      <c r="W5156" s="2"/>
    </row>
    <row r="5157" spans="1:23" x14ac:dyDescent="0.25">
      <c r="A5157" s="2"/>
      <c r="B5157" s="2"/>
      <c r="C5157" s="1"/>
      <c r="D5157" s="2"/>
      <c r="E5157" s="2"/>
      <c r="F5157" s="2"/>
      <c r="G5157" s="2"/>
      <c r="H5157" s="2"/>
      <c r="I5157" s="2"/>
      <c r="J5157" s="2"/>
      <c r="K5157" s="2"/>
      <c r="L5157" s="2"/>
      <c r="M5157" s="2"/>
      <c r="N5157" s="2"/>
      <c r="O5157" s="2"/>
      <c r="P5157" s="2"/>
      <c r="Q5157" s="2"/>
      <c r="R5157" s="2"/>
      <c r="S5157" s="2"/>
      <c r="T5157" s="2"/>
      <c r="U5157" s="2"/>
      <c r="V5157" s="2"/>
      <c r="W5157" s="2"/>
    </row>
    <row r="5158" spans="1:23" x14ac:dyDescent="0.25">
      <c r="A5158" s="2"/>
      <c r="B5158" s="2"/>
      <c r="C5158" s="1"/>
      <c r="D5158" s="2"/>
      <c r="E5158" s="2"/>
      <c r="F5158" s="2"/>
      <c r="G5158" s="2"/>
      <c r="H5158" s="2"/>
      <c r="I5158" s="2"/>
      <c r="J5158" s="2"/>
      <c r="K5158" s="2"/>
      <c r="L5158" s="2"/>
      <c r="M5158" s="2"/>
      <c r="N5158" s="2"/>
      <c r="O5158" s="2"/>
      <c r="P5158" s="2"/>
      <c r="Q5158" s="2"/>
      <c r="R5158" s="2"/>
      <c r="S5158" s="2"/>
      <c r="T5158" s="2"/>
      <c r="U5158" s="2"/>
      <c r="V5158" s="2"/>
      <c r="W5158" s="2"/>
    </row>
    <row r="5159" spans="1:23" x14ac:dyDescent="0.25">
      <c r="A5159" s="2"/>
      <c r="B5159" s="2"/>
      <c r="C5159" s="1"/>
      <c r="D5159" s="2"/>
      <c r="E5159" s="2"/>
      <c r="F5159" s="2"/>
      <c r="G5159" s="2"/>
      <c r="H5159" s="2"/>
      <c r="I5159" s="2"/>
      <c r="J5159" s="2"/>
      <c r="K5159" s="2"/>
      <c r="L5159" s="2"/>
      <c r="M5159" s="2"/>
      <c r="N5159" s="2"/>
      <c r="O5159" s="2"/>
      <c r="P5159" s="2"/>
      <c r="Q5159" s="2"/>
      <c r="R5159" s="2"/>
      <c r="S5159" s="2"/>
      <c r="T5159" s="2"/>
      <c r="U5159" s="2"/>
      <c r="V5159" s="2"/>
      <c r="W5159" s="2"/>
    </row>
    <row r="5160" spans="1:23" x14ac:dyDescent="0.25">
      <c r="A5160" s="2"/>
      <c r="B5160" s="2"/>
      <c r="C5160" s="1"/>
      <c r="D5160" s="2"/>
      <c r="E5160" s="2"/>
      <c r="F5160" s="2"/>
      <c r="G5160" s="2"/>
      <c r="H5160" s="2"/>
      <c r="I5160" s="2"/>
      <c r="J5160" s="2"/>
      <c r="K5160" s="2"/>
      <c r="L5160" s="2"/>
      <c r="M5160" s="2"/>
      <c r="N5160" s="2"/>
      <c r="O5160" s="2"/>
      <c r="P5160" s="2"/>
      <c r="Q5160" s="2"/>
      <c r="R5160" s="2"/>
      <c r="S5160" s="2"/>
      <c r="T5160" s="2"/>
      <c r="U5160" s="2"/>
      <c r="V5160" s="2"/>
      <c r="W5160" s="2"/>
    </row>
    <row r="5161" spans="1:23" x14ac:dyDescent="0.25">
      <c r="A5161" s="2"/>
      <c r="B5161" s="2"/>
      <c r="C5161" s="1"/>
      <c r="D5161" s="2"/>
      <c r="E5161" s="2"/>
      <c r="F5161" s="2"/>
      <c r="G5161" s="2"/>
      <c r="H5161" s="2"/>
      <c r="I5161" s="2"/>
      <c r="J5161" s="2"/>
      <c r="K5161" s="2"/>
      <c r="L5161" s="2"/>
      <c r="M5161" s="2"/>
      <c r="N5161" s="2"/>
      <c r="O5161" s="2"/>
      <c r="P5161" s="2"/>
      <c r="Q5161" s="2"/>
      <c r="R5161" s="2"/>
      <c r="S5161" s="2"/>
      <c r="T5161" s="2"/>
      <c r="U5161" s="2"/>
      <c r="V5161" s="2"/>
      <c r="W5161" s="2"/>
    </row>
    <row r="5162" spans="1:23" x14ac:dyDescent="0.25">
      <c r="A5162" s="2"/>
      <c r="B5162" s="2"/>
      <c r="C5162" s="1"/>
      <c r="D5162" s="2"/>
      <c r="E5162" s="2"/>
      <c r="F5162" s="2"/>
      <c r="G5162" s="2"/>
      <c r="H5162" s="2"/>
      <c r="I5162" s="2"/>
      <c r="J5162" s="2"/>
      <c r="K5162" s="2"/>
      <c r="L5162" s="2"/>
      <c r="M5162" s="2"/>
      <c r="N5162" s="2"/>
      <c r="O5162" s="2"/>
      <c r="P5162" s="2"/>
      <c r="Q5162" s="2"/>
      <c r="R5162" s="2"/>
      <c r="S5162" s="2"/>
      <c r="T5162" s="2"/>
      <c r="U5162" s="2"/>
      <c r="V5162" s="2"/>
      <c r="W5162" s="2"/>
    </row>
    <row r="5163" spans="1:23" x14ac:dyDescent="0.25">
      <c r="A5163" s="2"/>
      <c r="B5163" s="2"/>
      <c r="C5163" s="1"/>
      <c r="D5163" s="2"/>
      <c r="E5163" s="2"/>
      <c r="F5163" s="2"/>
      <c r="G5163" s="2"/>
      <c r="H5163" s="2"/>
      <c r="I5163" s="2"/>
      <c r="J5163" s="2"/>
      <c r="K5163" s="2"/>
      <c r="L5163" s="2"/>
      <c r="M5163" s="2"/>
      <c r="N5163" s="2"/>
      <c r="O5163" s="2"/>
      <c r="P5163" s="2"/>
      <c r="Q5163" s="2"/>
      <c r="R5163" s="2"/>
      <c r="S5163" s="2"/>
      <c r="T5163" s="2"/>
      <c r="U5163" s="2"/>
      <c r="V5163" s="2"/>
      <c r="W5163" s="2"/>
    </row>
    <row r="5164" spans="1:23" x14ac:dyDescent="0.25">
      <c r="A5164" s="2"/>
      <c r="B5164" s="2"/>
      <c r="C5164" s="1"/>
      <c r="D5164" s="2"/>
      <c r="E5164" s="2"/>
      <c r="F5164" s="2"/>
      <c r="G5164" s="2"/>
      <c r="H5164" s="2"/>
      <c r="I5164" s="2"/>
      <c r="J5164" s="2"/>
      <c r="K5164" s="2"/>
      <c r="L5164" s="2"/>
      <c r="M5164" s="2"/>
      <c r="N5164" s="2"/>
      <c r="O5164" s="2"/>
      <c r="P5164" s="2"/>
      <c r="Q5164" s="2"/>
      <c r="R5164" s="2"/>
      <c r="S5164" s="2"/>
      <c r="T5164" s="2"/>
      <c r="U5164" s="2"/>
      <c r="V5164" s="2"/>
      <c r="W5164" s="2"/>
    </row>
    <row r="5165" spans="1:23" x14ac:dyDescent="0.25">
      <c r="A5165" s="2"/>
      <c r="B5165" s="2"/>
      <c r="C5165" s="1"/>
      <c r="D5165" s="2"/>
      <c r="E5165" s="2"/>
      <c r="F5165" s="2"/>
      <c r="G5165" s="2"/>
      <c r="H5165" s="2"/>
      <c r="I5165" s="2"/>
      <c r="J5165" s="2"/>
      <c r="K5165" s="2"/>
      <c r="L5165" s="2"/>
      <c r="M5165" s="2"/>
      <c r="N5165" s="2"/>
      <c r="O5165" s="2"/>
      <c r="P5165" s="2"/>
      <c r="Q5165" s="2"/>
      <c r="R5165" s="2"/>
      <c r="S5165" s="2"/>
      <c r="T5165" s="2"/>
      <c r="U5165" s="2"/>
      <c r="V5165" s="2"/>
      <c r="W5165" s="2"/>
    </row>
    <row r="5166" spans="1:23" x14ac:dyDescent="0.25">
      <c r="A5166" s="2"/>
      <c r="B5166" s="2"/>
      <c r="C5166" s="1"/>
      <c r="D5166" s="2"/>
      <c r="E5166" s="2"/>
      <c r="F5166" s="2"/>
      <c r="G5166" s="2"/>
      <c r="H5166" s="2"/>
      <c r="I5166" s="2"/>
      <c r="J5166" s="2"/>
      <c r="K5166" s="2"/>
      <c r="L5166" s="2"/>
      <c r="M5166" s="2"/>
      <c r="N5166" s="2"/>
      <c r="O5166" s="2"/>
      <c r="P5166" s="2"/>
      <c r="Q5166" s="2"/>
      <c r="R5166" s="2"/>
      <c r="S5166" s="2"/>
      <c r="T5166" s="2"/>
      <c r="U5166" s="2"/>
      <c r="V5166" s="2"/>
      <c r="W5166" s="2"/>
    </row>
    <row r="5167" spans="1:23" x14ac:dyDescent="0.25">
      <c r="A5167" s="2"/>
      <c r="B5167" s="2"/>
      <c r="C5167" s="1"/>
      <c r="D5167" s="2"/>
      <c r="E5167" s="2"/>
      <c r="F5167" s="2"/>
      <c r="G5167" s="2"/>
      <c r="H5167" s="2"/>
      <c r="I5167" s="2"/>
      <c r="J5167" s="2"/>
      <c r="K5167" s="2"/>
      <c r="L5167" s="2"/>
      <c r="M5167" s="2"/>
      <c r="N5167" s="2"/>
      <c r="O5167" s="2"/>
      <c r="P5167" s="2"/>
      <c r="Q5167" s="2"/>
      <c r="R5167" s="2"/>
      <c r="S5167" s="2"/>
      <c r="T5167" s="2"/>
      <c r="U5167" s="2"/>
      <c r="V5167" s="2"/>
      <c r="W5167" s="2"/>
    </row>
    <row r="5168" spans="1:23" x14ac:dyDescent="0.25">
      <c r="A5168" s="2"/>
      <c r="B5168" s="2"/>
      <c r="C5168" s="1"/>
      <c r="D5168" s="2"/>
      <c r="E5168" s="2"/>
      <c r="F5168" s="2"/>
      <c r="G5168" s="2"/>
      <c r="H5168" s="2"/>
      <c r="I5168" s="2"/>
      <c r="J5168" s="2"/>
      <c r="K5168" s="2"/>
      <c r="L5168" s="2"/>
      <c r="M5168" s="2"/>
      <c r="N5168" s="2"/>
      <c r="O5168" s="2"/>
      <c r="P5168" s="2"/>
      <c r="Q5168" s="2"/>
      <c r="R5168" s="2"/>
      <c r="S5168" s="2"/>
      <c r="T5168" s="2"/>
      <c r="U5168" s="2"/>
      <c r="V5168" s="2"/>
      <c r="W5168" s="2"/>
    </row>
    <row r="5169" spans="1:23" x14ac:dyDescent="0.25">
      <c r="A5169" s="2"/>
      <c r="B5169" s="2"/>
      <c r="C5169" s="1"/>
      <c r="D5169" s="2"/>
      <c r="E5169" s="2"/>
      <c r="F5169" s="2"/>
      <c r="G5169" s="2"/>
      <c r="H5169" s="2"/>
      <c r="I5169" s="2"/>
      <c r="J5169" s="2"/>
      <c r="K5169" s="2"/>
      <c r="L5169" s="2"/>
      <c r="M5169" s="2"/>
      <c r="N5169" s="2"/>
      <c r="O5169" s="2"/>
      <c r="P5169" s="2"/>
      <c r="Q5169" s="2"/>
      <c r="R5169" s="2"/>
      <c r="S5169" s="2"/>
      <c r="T5169" s="2"/>
      <c r="U5169" s="2"/>
      <c r="V5169" s="2"/>
      <c r="W5169" s="2"/>
    </row>
    <row r="5170" spans="1:23" x14ac:dyDescent="0.25">
      <c r="A5170" s="2"/>
      <c r="B5170" s="2"/>
      <c r="C5170" s="1"/>
      <c r="D5170" s="2"/>
      <c r="E5170" s="2"/>
      <c r="F5170" s="2"/>
      <c r="G5170" s="2"/>
      <c r="H5170" s="2"/>
      <c r="I5170" s="2"/>
      <c r="J5170" s="2"/>
      <c r="K5170" s="2"/>
      <c r="L5170" s="2"/>
      <c r="M5170" s="2"/>
      <c r="N5170" s="2"/>
      <c r="O5170" s="2"/>
      <c r="P5170" s="2"/>
      <c r="Q5170" s="2"/>
      <c r="R5170" s="2"/>
      <c r="S5170" s="2"/>
      <c r="T5170" s="2"/>
      <c r="U5170" s="2"/>
      <c r="V5170" s="2"/>
      <c r="W5170" s="2"/>
    </row>
    <row r="5171" spans="1:23" x14ac:dyDescent="0.25">
      <c r="A5171" s="2"/>
      <c r="B5171" s="2"/>
      <c r="C5171" s="1"/>
      <c r="D5171" s="2"/>
      <c r="E5171" s="2"/>
      <c r="F5171" s="2"/>
      <c r="G5171" s="2"/>
      <c r="H5171" s="2"/>
      <c r="I5171" s="2"/>
      <c r="J5171" s="2"/>
      <c r="K5171" s="2"/>
      <c r="L5171" s="2"/>
      <c r="M5171" s="2"/>
      <c r="N5171" s="2"/>
      <c r="O5171" s="2"/>
      <c r="P5171" s="2"/>
      <c r="Q5171" s="2"/>
      <c r="R5171" s="2"/>
      <c r="S5171" s="2"/>
      <c r="T5171" s="2"/>
      <c r="U5171" s="2"/>
      <c r="V5171" s="2"/>
      <c r="W5171" s="2"/>
    </row>
    <row r="5172" spans="1:23" x14ac:dyDescent="0.25">
      <c r="A5172" s="2"/>
      <c r="B5172" s="2"/>
      <c r="C5172" s="1"/>
      <c r="D5172" s="2"/>
      <c r="E5172" s="2"/>
      <c r="F5172" s="2"/>
      <c r="G5172" s="2"/>
      <c r="H5172" s="2"/>
      <c r="I5172" s="2"/>
      <c r="J5172" s="2"/>
      <c r="K5172" s="2"/>
      <c r="L5172" s="2"/>
      <c r="M5172" s="2"/>
      <c r="N5172" s="2"/>
      <c r="O5172" s="2"/>
      <c r="P5172" s="2"/>
      <c r="Q5172" s="2"/>
      <c r="R5172" s="2"/>
      <c r="S5172" s="2"/>
      <c r="T5172" s="2"/>
      <c r="U5172" s="2"/>
      <c r="V5172" s="2"/>
      <c r="W5172" s="2"/>
    </row>
    <row r="5173" spans="1:23" x14ac:dyDescent="0.25">
      <c r="A5173" s="2"/>
      <c r="B5173" s="2"/>
      <c r="C5173" s="1"/>
      <c r="D5173" s="2"/>
      <c r="E5173" s="2"/>
      <c r="F5173" s="2"/>
      <c r="G5173" s="2"/>
      <c r="H5173" s="2"/>
      <c r="I5173" s="2"/>
      <c r="J5173" s="2"/>
      <c r="K5173" s="2"/>
      <c r="L5173" s="2"/>
      <c r="M5173" s="2"/>
      <c r="N5173" s="2"/>
      <c r="O5173" s="2"/>
      <c r="P5173" s="2"/>
      <c r="Q5173" s="2"/>
      <c r="R5173" s="2"/>
      <c r="S5173" s="2"/>
      <c r="T5173" s="2"/>
      <c r="U5173" s="2"/>
      <c r="V5173" s="2"/>
      <c r="W5173" s="2"/>
    </row>
    <row r="5174" spans="1:23" x14ac:dyDescent="0.25">
      <c r="A5174" s="2"/>
      <c r="B5174" s="2"/>
      <c r="C5174" s="1"/>
      <c r="D5174" s="2"/>
      <c r="E5174" s="2"/>
      <c r="F5174" s="2"/>
      <c r="G5174" s="2"/>
      <c r="H5174" s="2"/>
      <c r="I5174" s="2"/>
      <c r="J5174" s="2"/>
      <c r="K5174" s="2"/>
      <c r="L5174" s="2"/>
      <c r="M5174" s="2"/>
      <c r="N5174" s="2"/>
      <c r="O5174" s="2"/>
      <c r="P5174" s="2"/>
      <c r="Q5174" s="2"/>
      <c r="R5174" s="2"/>
      <c r="S5174" s="2"/>
      <c r="T5174" s="2"/>
      <c r="U5174" s="2"/>
      <c r="V5174" s="2"/>
      <c r="W5174" s="2"/>
    </row>
    <row r="5175" spans="1:23" x14ac:dyDescent="0.25">
      <c r="A5175" s="2"/>
      <c r="B5175" s="2"/>
      <c r="C5175" s="1"/>
      <c r="D5175" s="2"/>
      <c r="E5175" s="2"/>
      <c r="F5175" s="2"/>
      <c r="G5175" s="2"/>
      <c r="H5175" s="2"/>
      <c r="I5175" s="2"/>
      <c r="J5175" s="2"/>
      <c r="K5175" s="2"/>
      <c r="L5175" s="2"/>
      <c r="M5175" s="2"/>
      <c r="N5175" s="2"/>
      <c r="O5175" s="2"/>
      <c r="P5175" s="2"/>
      <c r="Q5175" s="2"/>
      <c r="R5175" s="2"/>
      <c r="S5175" s="2"/>
      <c r="T5175" s="2"/>
      <c r="U5175" s="2"/>
      <c r="V5175" s="2"/>
      <c r="W5175" s="2"/>
    </row>
    <row r="5176" spans="1:23" x14ac:dyDescent="0.25">
      <c r="A5176" s="2"/>
      <c r="B5176" s="2"/>
      <c r="C5176" s="1"/>
      <c r="D5176" s="2"/>
      <c r="E5176" s="2"/>
      <c r="F5176" s="2"/>
      <c r="G5176" s="2"/>
      <c r="H5176" s="2"/>
      <c r="I5176" s="2"/>
      <c r="J5176" s="2"/>
      <c r="K5176" s="2"/>
      <c r="L5176" s="2"/>
      <c r="M5176" s="2"/>
      <c r="N5176" s="2"/>
      <c r="O5176" s="2"/>
      <c r="P5176" s="2"/>
      <c r="Q5176" s="2"/>
      <c r="R5176" s="2"/>
      <c r="S5176" s="2"/>
      <c r="T5176" s="2"/>
      <c r="U5176" s="2"/>
      <c r="V5176" s="2"/>
      <c r="W5176" s="2"/>
    </row>
    <row r="5177" spans="1:23" x14ac:dyDescent="0.25">
      <c r="A5177" s="2"/>
      <c r="B5177" s="2"/>
      <c r="C5177" s="1"/>
      <c r="D5177" s="2"/>
      <c r="E5177" s="2"/>
      <c r="F5177" s="2"/>
      <c r="G5177" s="2"/>
      <c r="H5177" s="2"/>
      <c r="I5177" s="2"/>
      <c r="J5177" s="2"/>
      <c r="K5177" s="2"/>
      <c r="L5177" s="2"/>
      <c r="M5177" s="2"/>
      <c r="N5177" s="2"/>
      <c r="O5177" s="2"/>
      <c r="P5177" s="2"/>
      <c r="Q5177" s="2"/>
      <c r="R5177" s="2"/>
      <c r="S5177" s="2"/>
      <c r="T5177" s="2"/>
      <c r="U5177" s="2"/>
      <c r="V5177" s="2"/>
      <c r="W5177" s="2"/>
    </row>
    <row r="5178" spans="1:23" x14ac:dyDescent="0.25">
      <c r="A5178" s="2"/>
      <c r="B5178" s="2"/>
      <c r="C5178" s="1"/>
      <c r="D5178" s="2"/>
      <c r="E5178" s="2"/>
      <c r="F5178" s="2"/>
      <c r="G5178" s="2"/>
      <c r="H5178" s="2"/>
      <c r="I5178" s="2"/>
      <c r="J5178" s="2"/>
      <c r="K5178" s="2"/>
      <c r="L5178" s="2"/>
      <c r="M5178" s="2"/>
      <c r="N5178" s="2"/>
      <c r="O5178" s="2"/>
      <c r="P5178" s="2"/>
      <c r="Q5178" s="2"/>
      <c r="R5178" s="2"/>
      <c r="S5178" s="2"/>
      <c r="T5178" s="2"/>
      <c r="U5178" s="2"/>
      <c r="V5178" s="2"/>
      <c r="W5178" s="2"/>
    </row>
    <row r="5179" spans="1:23" x14ac:dyDescent="0.25">
      <c r="A5179" s="2"/>
      <c r="B5179" s="2"/>
      <c r="C5179" s="1"/>
      <c r="D5179" s="2"/>
      <c r="E5179" s="2"/>
      <c r="F5179" s="2"/>
      <c r="G5179" s="2"/>
      <c r="H5179" s="2"/>
      <c r="I5179" s="2"/>
      <c r="J5179" s="2"/>
      <c r="K5179" s="2"/>
      <c r="L5179" s="2"/>
      <c r="M5179" s="2"/>
      <c r="N5179" s="2"/>
      <c r="O5179" s="2"/>
      <c r="P5179" s="2"/>
      <c r="Q5179" s="2"/>
      <c r="R5179" s="2"/>
      <c r="S5179" s="2"/>
      <c r="T5179" s="2"/>
      <c r="U5179" s="2"/>
      <c r="V5179" s="2"/>
      <c r="W5179" s="2"/>
    </row>
    <row r="5180" spans="1:23" x14ac:dyDescent="0.25">
      <c r="A5180" s="2"/>
      <c r="B5180" s="2"/>
      <c r="C5180" s="1"/>
      <c r="D5180" s="2"/>
      <c r="E5180" s="2"/>
      <c r="F5180" s="2"/>
      <c r="G5180" s="2"/>
      <c r="H5180" s="2"/>
      <c r="I5180" s="2"/>
      <c r="J5180" s="2"/>
      <c r="K5180" s="2"/>
      <c r="L5180" s="2"/>
      <c r="M5180" s="2"/>
      <c r="N5180" s="2"/>
      <c r="O5180" s="2"/>
      <c r="P5180" s="2"/>
      <c r="Q5180" s="2"/>
      <c r="R5180" s="2"/>
      <c r="S5180" s="2"/>
      <c r="T5180" s="2"/>
      <c r="U5180" s="2"/>
      <c r="V5180" s="2"/>
      <c r="W5180" s="2"/>
    </row>
    <row r="5181" spans="1:23" x14ac:dyDescent="0.25">
      <c r="A5181" s="2"/>
      <c r="B5181" s="2"/>
      <c r="C5181" s="1"/>
      <c r="D5181" s="2"/>
      <c r="E5181" s="2"/>
      <c r="F5181" s="2"/>
      <c r="G5181" s="2"/>
      <c r="H5181" s="2"/>
      <c r="I5181" s="2"/>
      <c r="J5181" s="2"/>
      <c r="K5181" s="2"/>
      <c r="L5181" s="2"/>
      <c r="M5181" s="2"/>
      <c r="N5181" s="2"/>
      <c r="O5181" s="2"/>
      <c r="P5181" s="2"/>
      <c r="Q5181" s="2"/>
      <c r="R5181" s="2"/>
      <c r="S5181" s="2"/>
      <c r="T5181" s="2"/>
      <c r="U5181" s="2"/>
      <c r="V5181" s="2"/>
      <c r="W5181" s="2"/>
    </row>
    <row r="5182" spans="1:23" x14ac:dyDescent="0.25">
      <c r="A5182" s="2"/>
      <c r="B5182" s="2"/>
      <c r="C5182" s="1"/>
      <c r="D5182" s="2"/>
      <c r="E5182" s="2"/>
      <c r="F5182" s="2"/>
      <c r="G5182" s="2"/>
      <c r="H5182" s="2"/>
      <c r="I5182" s="2"/>
      <c r="J5182" s="2"/>
      <c r="K5182" s="2"/>
      <c r="L5182" s="2"/>
      <c r="M5182" s="2"/>
      <c r="N5182" s="2"/>
      <c r="O5182" s="2"/>
      <c r="P5182" s="2"/>
      <c r="Q5182" s="2"/>
      <c r="R5182" s="2"/>
      <c r="S5182" s="2"/>
      <c r="T5182" s="2"/>
      <c r="U5182" s="2"/>
      <c r="V5182" s="2"/>
      <c r="W5182" s="2"/>
    </row>
    <row r="5183" spans="1:23" x14ac:dyDescent="0.25">
      <c r="A5183" s="2"/>
      <c r="B5183" s="2"/>
      <c r="C5183" s="1"/>
      <c r="D5183" s="2"/>
      <c r="E5183" s="2"/>
      <c r="F5183" s="2"/>
      <c r="G5183" s="2"/>
      <c r="H5183" s="2"/>
      <c r="I5183" s="2"/>
      <c r="J5183" s="2"/>
      <c r="K5183" s="2"/>
      <c r="L5183" s="2"/>
      <c r="M5183" s="2"/>
      <c r="N5183" s="2"/>
      <c r="O5183" s="2"/>
      <c r="P5183" s="2"/>
      <c r="Q5183" s="2"/>
      <c r="R5183" s="2"/>
      <c r="S5183" s="2"/>
      <c r="T5183" s="2"/>
      <c r="U5183" s="2"/>
      <c r="V5183" s="2"/>
      <c r="W5183" s="2"/>
    </row>
    <row r="5184" spans="1:23" x14ac:dyDescent="0.25">
      <c r="A5184" s="2"/>
      <c r="B5184" s="2"/>
      <c r="C5184" s="1"/>
      <c r="D5184" s="2"/>
      <c r="E5184" s="2"/>
      <c r="F5184" s="2"/>
      <c r="G5184" s="2"/>
      <c r="H5184" s="2"/>
      <c r="I5184" s="2"/>
      <c r="J5184" s="2"/>
      <c r="K5184" s="2"/>
      <c r="L5184" s="2"/>
      <c r="M5184" s="2"/>
      <c r="N5184" s="2"/>
      <c r="O5184" s="2"/>
      <c r="P5184" s="2"/>
      <c r="Q5184" s="2"/>
      <c r="R5184" s="2"/>
      <c r="S5184" s="2"/>
      <c r="T5184" s="2"/>
      <c r="U5184" s="2"/>
      <c r="V5184" s="2"/>
      <c r="W5184" s="2"/>
    </row>
    <row r="5185" spans="1:23" x14ac:dyDescent="0.25">
      <c r="A5185" s="2"/>
      <c r="B5185" s="2"/>
      <c r="C5185" s="1"/>
      <c r="D5185" s="2"/>
      <c r="E5185" s="2"/>
      <c r="F5185" s="2"/>
      <c r="G5185" s="2"/>
      <c r="H5185" s="2"/>
      <c r="I5185" s="2"/>
      <c r="J5185" s="2"/>
      <c r="K5185" s="2"/>
      <c r="L5185" s="2"/>
      <c r="M5185" s="2"/>
      <c r="N5185" s="2"/>
      <c r="O5185" s="2"/>
      <c r="P5185" s="2"/>
      <c r="Q5185" s="2"/>
      <c r="R5185" s="2"/>
      <c r="S5185" s="2"/>
      <c r="T5185" s="2"/>
      <c r="U5185" s="2"/>
      <c r="V5185" s="2"/>
      <c r="W5185" s="2"/>
    </row>
    <row r="5186" spans="1:23" x14ac:dyDescent="0.25">
      <c r="A5186" s="2"/>
      <c r="B5186" s="2"/>
      <c r="C5186" s="1"/>
      <c r="D5186" s="2"/>
      <c r="E5186" s="2"/>
      <c r="F5186" s="2"/>
      <c r="G5186" s="2"/>
      <c r="H5186" s="2"/>
      <c r="I5186" s="2"/>
      <c r="J5186" s="2"/>
      <c r="K5186" s="2"/>
      <c r="L5186" s="2"/>
      <c r="M5186" s="2"/>
      <c r="N5186" s="2"/>
      <c r="O5186" s="2"/>
      <c r="P5186" s="2"/>
      <c r="Q5186" s="2"/>
      <c r="R5186" s="2"/>
      <c r="S5186" s="2"/>
      <c r="T5186" s="2"/>
      <c r="U5186" s="2"/>
      <c r="V5186" s="2"/>
      <c r="W5186" s="2"/>
    </row>
    <row r="5187" spans="1:23" x14ac:dyDescent="0.25">
      <c r="A5187" s="2"/>
      <c r="B5187" s="2"/>
      <c r="C5187" s="1"/>
      <c r="D5187" s="2"/>
      <c r="E5187" s="2"/>
      <c r="F5187" s="2"/>
      <c r="G5187" s="2"/>
      <c r="H5187" s="2"/>
      <c r="I5187" s="2"/>
      <c r="J5187" s="2"/>
      <c r="K5187" s="2"/>
      <c r="L5187" s="2"/>
      <c r="M5187" s="2"/>
      <c r="N5187" s="2"/>
      <c r="O5187" s="2"/>
      <c r="P5187" s="2"/>
      <c r="Q5187" s="2"/>
      <c r="R5187" s="2"/>
      <c r="S5187" s="2"/>
      <c r="T5187" s="2"/>
      <c r="U5187" s="2"/>
      <c r="V5187" s="2"/>
      <c r="W5187" s="2"/>
    </row>
    <row r="5188" spans="1:23" x14ac:dyDescent="0.25">
      <c r="A5188" s="2"/>
      <c r="B5188" s="2"/>
      <c r="C5188" s="1"/>
      <c r="D5188" s="2"/>
      <c r="E5188" s="2"/>
      <c r="F5188" s="2"/>
      <c r="G5188" s="2"/>
      <c r="H5188" s="2"/>
      <c r="I5188" s="2"/>
      <c r="J5188" s="2"/>
      <c r="K5188" s="2"/>
      <c r="L5188" s="2"/>
      <c r="M5188" s="2"/>
      <c r="N5188" s="2"/>
      <c r="O5188" s="2"/>
      <c r="P5188" s="2"/>
      <c r="Q5188" s="2"/>
      <c r="R5188" s="2"/>
      <c r="S5188" s="2"/>
      <c r="T5188" s="2"/>
      <c r="U5188" s="2"/>
      <c r="V5188" s="2"/>
      <c r="W5188" s="2"/>
    </row>
    <row r="5189" spans="1:23" x14ac:dyDescent="0.25">
      <c r="A5189" s="2"/>
      <c r="B5189" s="2"/>
      <c r="C5189" s="1"/>
      <c r="D5189" s="2"/>
      <c r="E5189" s="2"/>
      <c r="F5189" s="2"/>
      <c r="G5189" s="2"/>
      <c r="H5189" s="2"/>
      <c r="I5189" s="2"/>
      <c r="J5189" s="2"/>
      <c r="K5189" s="2"/>
      <c r="L5189" s="2"/>
      <c r="M5189" s="2"/>
      <c r="N5189" s="2"/>
      <c r="O5189" s="2"/>
      <c r="P5189" s="2"/>
      <c r="Q5189" s="2"/>
      <c r="R5189" s="2"/>
      <c r="S5189" s="2"/>
      <c r="T5189" s="2"/>
      <c r="U5189" s="2"/>
      <c r="V5189" s="2"/>
      <c r="W5189" s="2"/>
    </row>
    <row r="5190" spans="1:23" x14ac:dyDescent="0.25">
      <c r="A5190" s="2"/>
      <c r="B5190" s="2"/>
      <c r="C5190" s="1"/>
      <c r="D5190" s="2"/>
      <c r="E5190" s="2"/>
      <c r="F5190" s="2"/>
      <c r="G5190" s="2"/>
      <c r="H5190" s="2"/>
      <c r="I5190" s="2"/>
      <c r="J5190" s="2"/>
      <c r="K5190" s="2"/>
      <c r="L5190" s="2"/>
      <c r="M5190" s="2"/>
      <c r="N5190" s="2"/>
      <c r="O5190" s="2"/>
      <c r="P5190" s="2"/>
      <c r="Q5190" s="2"/>
      <c r="R5190" s="2"/>
      <c r="S5190" s="2"/>
      <c r="T5190" s="2"/>
      <c r="U5190" s="2"/>
      <c r="V5190" s="2"/>
      <c r="W5190" s="2"/>
    </row>
    <row r="5191" spans="1:23" x14ac:dyDescent="0.25">
      <c r="A5191" s="2"/>
      <c r="B5191" s="2"/>
      <c r="C5191" s="1"/>
      <c r="D5191" s="2"/>
      <c r="E5191" s="2"/>
      <c r="F5191" s="2"/>
      <c r="G5191" s="2"/>
      <c r="H5191" s="2"/>
      <c r="I5191" s="2"/>
      <c r="J5191" s="2"/>
      <c r="K5191" s="2"/>
      <c r="L5191" s="2"/>
      <c r="M5191" s="2"/>
      <c r="N5191" s="2"/>
      <c r="O5191" s="2"/>
      <c r="P5191" s="2"/>
      <c r="Q5191" s="2"/>
      <c r="R5191" s="2"/>
      <c r="S5191" s="2"/>
      <c r="T5191" s="2"/>
      <c r="U5191" s="2"/>
      <c r="V5191" s="2"/>
      <c r="W5191" s="2"/>
    </row>
    <row r="5192" spans="1:23" x14ac:dyDescent="0.25">
      <c r="A5192" s="2"/>
      <c r="B5192" s="2"/>
      <c r="C5192" s="1"/>
      <c r="D5192" s="2"/>
      <c r="E5192" s="2"/>
      <c r="F5192" s="2"/>
      <c r="G5192" s="2"/>
      <c r="H5192" s="2"/>
      <c r="I5192" s="2"/>
      <c r="J5192" s="2"/>
      <c r="K5192" s="2"/>
      <c r="L5192" s="2"/>
      <c r="M5192" s="2"/>
      <c r="N5192" s="2"/>
      <c r="O5192" s="2"/>
      <c r="P5192" s="2"/>
      <c r="Q5192" s="2"/>
      <c r="R5192" s="2"/>
      <c r="S5192" s="2"/>
      <c r="T5192" s="2"/>
      <c r="U5192" s="2"/>
      <c r="V5192" s="2"/>
      <c r="W5192" s="2"/>
    </row>
    <row r="5193" spans="1:23" x14ac:dyDescent="0.25">
      <c r="A5193" s="2"/>
      <c r="B5193" s="2"/>
      <c r="C5193" s="1"/>
      <c r="D5193" s="2"/>
      <c r="E5193" s="2"/>
      <c r="F5193" s="2"/>
      <c r="G5193" s="2"/>
      <c r="H5193" s="2"/>
      <c r="I5193" s="2"/>
      <c r="J5193" s="2"/>
      <c r="K5193" s="2"/>
      <c r="L5193" s="2"/>
      <c r="M5193" s="2"/>
      <c r="N5193" s="2"/>
      <c r="O5193" s="2"/>
      <c r="P5193" s="2"/>
      <c r="Q5193" s="2"/>
      <c r="R5193" s="2"/>
      <c r="S5193" s="2"/>
      <c r="T5193" s="2"/>
      <c r="U5193" s="2"/>
      <c r="V5193" s="2"/>
      <c r="W5193" s="2"/>
    </row>
    <row r="5194" spans="1:23" x14ac:dyDescent="0.25">
      <c r="A5194" s="2"/>
      <c r="B5194" s="2"/>
      <c r="C5194" s="1"/>
      <c r="D5194" s="2"/>
      <c r="E5194" s="2"/>
      <c r="F5194" s="2"/>
      <c r="G5194" s="2"/>
      <c r="H5194" s="2"/>
      <c r="I5194" s="2"/>
      <c r="J5194" s="2"/>
      <c r="K5194" s="2"/>
      <c r="L5194" s="2"/>
      <c r="M5194" s="2"/>
      <c r="N5194" s="2"/>
      <c r="O5194" s="2"/>
      <c r="P5194" s="2"/>
      <c r="Q5194" s="2"/>
      <c r="R5194" s="2"/>
      <c r="S5194" s="2"/>
      <c r="T5194" s="2"/>
      <c r="U5194" s="2"/>
      <c r="V5194" s="2"/>
      <c r="W5194" s="2"/>
    </row>
    <row r="5195" spans="1:23" x14ac:dyDescent="0.25">
      <c r="A5195" s="2"/>
      <c r="B5195" s="2"/>
      <c r="C5195" s="1"/>
      <c r="D5195" s="2"/>
      <c r="E5195" s="2"/>
      <c r="F5195" s="2"/>
      <c r="G5195" s="2"/>
      <c r="H5195" s="2"/>
      <c r="I5195" s="2"/>
      <c r="J5195" s="2"/>
      <c r="K5195" s="2"/>
      <c r="L5195" s="2"/>
      <c r="M5195" s="2"/>
      <c r="N5195" s="2"/>
      <c r="O5195" s="2"/>
      <c r="P5195" s="2"/>
      <c r="Q5195" s="2"/>
      <c r="R5195" s="2"/>
      <c r="S5195" s="2"/>
      <c r="T5195" s="2"/>
      <c r="U5195" s="2"/>
      <c r="V5195" s="2"/>
      <c r="W5195" s="2"/>
    </row>
    <row r="5196" spans="1:23" x14ac:dyDescent="0.25">
      <c r="A5196" s="2"/>
      <c r="B5196" s="2"/>
      <c r="C5196" s="1"/>
      <c r="D5196" s="2"/>
      <c r="E5196" s="2"/>
      <c r="F5196" s="2"/>
      <c r="G5196" s="2"/>
      <c r="H5196" s="2"/>
      <c r="I5196" s="2"/>
      <c r="J5196" s="2"/>
      <c r="K5196" s="2"/>
      <c r="L5196" s="2"/>
      <c r="M5196" s="2"/>
      <c r="N5196" s="2"/>
      <c r="O5196" s="2"/>
      <c r="P5196" s="2"/>
      <c r="Q5196" s="2"/>
      <c r="R5196" s="2"/>
      <c r="S5196" s="2"/>
      <c r="T5196" s="2"/>
      <c r="U5196" s="2"/>
      <c r="V5196" s="2"/>
      <c r="W5196" s="2"/>
    </row>
    <row r="5197" spans="1:23" x14ac:dyDescent="0.25">
      <c r="A5197" s="2"/>
      <c r="B5197" s="2"/>
      <c r="C5197" s="1"/>
      <c r="D5197" s="2"/>
      <c r="E5197" s="2"/>
      <c r="F5197" s="2"/>
      <c r="G5197" s="2"/>
      <c r="H5197" s="2"/>
      <c r="I5197" s="2"/>
      <c r="J5197" s="2"/>
      <c r="K5197" s="2"/>
      <c r="L5197" s="2"/>
      <c r="M5197" s="2"/>
      <c r="N5197" s="2"/>
      <c r="O5197" s="2"/>
      <c r="P5197" s="2"/>
      <c r="Q5197" s="2"/>
      <c r="R5197" s="2"/>
      <c r="S5197" s="2"/>
      <c r="T5197" s="2"/>
      <c r="U5197" s="2"/>
      <c r="V5197" s="2"/>
      <c r="W5197" s="2"/>
    </row>
    <row r="5198" spans="1:23" x14ac:dyDescent="0.25">
      <c r="A5198" s="2"/>
      <c r="B5198" s="2"/>
      <c r="C5198" s="1"/>
      <c r="D5198" s="2"/>
      <c r="E5198" s="2"/>
      <c r="F5198" s="2"/>
      <c r="G5198" s="2"/>
      <c r="H5198" s="2"/>
      <c r="I5198" s="2"/>
      <c r="J5198" s="2"/>
      <c r="K5198" s="2"/>
      <c r="L5198" s="2"/>
      <c r="M5198" s="2"/>
      <c r="N5198" s="2"/>
      <c r="O5198" s="2"/>
      <c r="P5198" s="2"/>
      <c r="Q5198" s="2"/>
      <c r="R5198" s="2"/>
      <c r="S5198" s="2"/>
      <c r="T5198" s="2"/>
      <c r="U5198" s="2"/>
      <c r="V5198" s="2"/>
      <c r="W5198" s="2"/>
    </row>
    <row r="5199" spans="1:23" x14ac:dyDescent="0.25">
      <c r="A5199" s="2"/>
      <c r="B5199" s="2"/>
      <c r="C5199" s="1"/>
      <c r="D5199" s="2"/>
      <c r="E5199" s="2"/>
      <c r="F5199" s="2"/>
      <c r="G5199" s="2"/>
      <c r="H5199" s="2"/>
      <c r="I5199" s="2"/>
      <c r="J5199" s="2"/>
      <c r="K5199" s="2"/>
      <c r="L5199" s="2"/>
      <c r="M5199" s="2"/>
      <c r="N5199" s="2"/>
      <c r="O5199" s="2"/>
      <c r="P5199" s="2"/>
      <c r="Q5199" s="2"/>
      <c r="R5199" s="2"/>
      <c r="S5199" s="2"/>
      <c r="T5199" s="2"/>
      <c r="U5199" s="2"/>
      <c r="V5199" s="2"/>
      <c r="W5199" s="2"/>
    </row>
    <row r="5200" spans="1:23" x14ac:dyDescent="0.25">
      <c r="A5200" s="2"/>
      <c r="B5200" s="2"/>
      <c r="C5200" s="1"/>
      <c r="D5200" s="2"/>
      <c r="E5200" s="2"/>
      <c r="F5200" s="2"/>
      <c r="G5200" s="2"/>
      <c r="H5200" s="2"/>
      <c r="I5200" s="2"/>
      <c r="J5200" s="2"/>
      <c r="K5200" s="2"/>
      <c r="L5200" s="2"/>
      <c r="M5200" s="2"/>
      <c r="N5200" s="2"/>
      <c r="O5200" s="2"/>
      <c r="P5200" s="2"/>
      <c r="Q5200" s="2"/>
      <c r="R5200" s="2"/>
      <c r="S5200" s="2"/>
      <c r="T5200" s="2"/>
      <c r="U5200" s="2"/>
      <c r="V5200" s="2"/>
      <c r="W5200" s="2"/>
    </row>
    <row r="5201" spans="1:23" x14ac:dyDescent="0.25">
      <c r="A5201" s="2"/>
      <c r="B5201" s="2"/>
      <c r="C5201" s="1"/>
      <c r="D5201" s="2"/>
      <c r="E5201" s="2"/>
      <c r="F5201" s="2"/>
      <c r="G5201" s="2"/>
      <c r="H5201" s="2"/>
      <c r="I5201" s="2"/>
      <c r="J5201" s="2"/>
      <c r="K5201" s="2"/>
      <c r="L5201" s="2"/>
      <c r="M5201" s="2"/>
      <c r="N5201" s="2"/>
      <c r="O5201" s="2"/>
      <c r="P5201" s="2"/>
      <c r="Q5201" s="2"/>
      <c r="R5201" s="2"/>
      <c r="S5201" s="2"/>
      <c r="T5201" s="2"/>
      <c r="U5201" s="2"/>
      <c r="V5201" s="2"/>
      <c r="W5201" s="2"/>
    </row>
    <row r="5202" spans="1:23" x14ac:dyDescent="0.25">
      <c r="A5202" s="2"/>
      <c r="B5202" s="2"/>
      <c r="C5202" s="1"/>
      <c r="D5202" s="2"/>
      <c r="E5202" s="2"/>
      <c r="F5202" s="2"/>
      <c r="G5202" s="2"/>
      <c r="H5202" s="2"/>
      <c r="I5202" s="2"/>
      <c r="J5202" s="2"/>
      <c r="K5202" s="2"/>
      <c r="L5202" s="2"/>
      <c r="M5202" s="2"/>
      <c r="N5202" s="2"/>
      <c r="O5202" s="2"/>
      <c r="P5202" s="2"/>
      <c r="Q5202" s="2"/>
      <c r="R5202" s="2"/>
      <c r="S5202" s="2"/>
      <c r="T5202" s="2"/>
      <c r="U5202" s="2"/>
      <c r="V5202" s="2"/>
      <c r="W5202" s="2"/>
    </row>
    <row r="5203" spans="1:23" x14ac:dyDescent="0.25">
      <c r="A5203" s="2"/>
      <c r="B5203" s="2"/>
      <c r="C5203" s="1"/>
      <c r="D5203" s="2"/>
      <c r="E5203" s="2"/>
      <c r="F5203" s="2"/>
      <c r="G5203" s="2"/>
      <c r="H5203" s="2"/>
      <c r="I5203" s="2"/>
      <c r="J5203" s="2"/>
      <c r="K5203" s="2"/>
      <c r="L5203" s="2"/>
      <c r="M5203" s="2"/>
      <c r="N5203" s="2"/>
      <c r="O5203" s="2"/>
      <c r="P5203" s="2"/>
      <c r="Q5203" s="2"/>
      <c r="R5203" s="2"/>
      <c r="S5203" s="2"/>
      <c r="T5203" s="2"/>
      <c r="U5203" s="2"/>
      <c r="V5203" s="2"/>
      <c r="W5203" s="2"/>
    </row>
    <row r="5204" spans="1:23" x14ac:dyDescent="0.25">
      <c r="A5204" s="2"/>
      <c r="B5204" s="2"/>
      <c r="C5204" s="1"/>
      <c r="D5204" s="2"/>
      <c r="E5204" s="2"/>
      <c r="F5204" s="2"/>
      <c r="G5204" s="2"/>
      <c r="H5204" s="2"/>
      <c r="I5204" s="2"/>
      <c r="J5204" s="2"/>
      <c r="K5204" s="2"/>
      <c r="L5204" s="2"/>
      <c r="M5204" s="2"/>
      <c r="N5204" s="2"/>
      <c r="O5204" s="2"/>
      <c r="P5204" s="2"/>
      <c r="Q5204" s="2"/>
      <c r="R5204" s="2"/>
      <c r="S5204" s="2"/>
      <c r="T5204" s="2"/>
      <c r="U5204" s="2"/>
      <c r="V5204" s="2"/>
      <c r="W5204" s="2"/>
    </row>
    <row r="5205" spans="1:23" x14ac:dyDescent="0.25">
      <c r="A5205" s="2"/>
      <c r="B5205" s="2"/>
      <c r="C5205" s="1"/>
      <c r="D5205" s="2"/>
      <c r="E5205" s="2"/>
      <c r="F5205" s="2"/>
      <c r="G5205" s="2"/>
      <c r="H5205" s="2"/>
      <c r="I5205" s="2"/>
      <c r="J5205" s="2"/>
      <c r="K5205" s="2"/>
      <c r="L5205" s="2"/>
      <c r="M5205" s="2"/>
      <c r="N5205" s="2"/>
      <c r="O5205" s="2"/>
      <c r="P5205" s="2"/>
      <c r="Q5205" s="2"/>
      <c r="R5205" s="2"/>
      <c r="S5205" s="2"/>
      <c r="T5205" s="2"/>
      <c r="U5205" s="2"/>
      <c r="V5205" s="2"/>
      <c r="W5205" s="2"/>
    </row>
    <row r="5206" spans="1:23" x14ac:dyDescent="0.25">
      <c r="A5206" s="2"/>
      <c r="B5206" s="2"/>
      <c r="C5206" s="1"/>
      <c r="D5206" s="2"/>
      <c r="E5206" s="2"/>
      <c r="F5206" s="2"/>
      <c r="G5206" s="2"/>
      <c r="H5206" s="2"/>
      <c r="I5206" s="2"/>
      <c r="J5206" s="2"/>
      <c r="K5206" s="2"/>
      <c r="L5206" s="2"/>
      <c r="M5206" s="2"/>
      <c r="N5206" s="2"/>
      <c r="O5206" s="2"/>
      <c r="P5206" s="2"/>
      <c r="Q5206" s="2"/>
      <c r="R5206" s="2"/>
      <c r="S5206" s="2"/>
      <c r="T5206" s="2"/>
      <c r="U5206" s="2"/>
      <c r="V5206" s="2"/>
      <c r="W5206" s="2"/>
    </row>
    <row r="5207" spans="1:23" x14ac:dyDescent="0.25">
      <c r="A5207" s="2"/>
      <c r="B5207" s="2"/>
      <c r="C5207" s="1"/>
      <c r="D5207" s="2"/>
      <c r="E5207" s="2"/>
      <c r="F5207" s="2"/>
      <c r="G5207" s="2"/>
      <c r="H5207" s="2"/>
      <c r="I5207" s="2"/>
      <c r="J5207" s="2"/>
      <c r="K5207" s="2"/>
      <c r="L5207" s="2"/>
      <c r="M5207" s="2"/>
      <c r="N5207" s="2"/>
      <c r="O5207" s="2"/>
      <c r="P5207" s="2"/>
      <c r="Q5207" s="2"/>
      <c r="R5207" s="2"/>
      <c r="S5207" s="2"/>
      <c r="T5207" s="2"/>
      <c r="U5207" s="2"/>
      <c r="V5207" s="2"/>
      <c r="W5207" s="2"/>
    </row>
    <row r="5208" spans="1:23" x14ac:dyDescent="0.25">
      <c r="A5208" s="2"/>
      <c r="B5208" s="2"/>
      <c r="C5208" s="1"/>
      <c r="D5208" s="2"/>
      <c r="E5208" s="2"/>
      <c r="F5208" s="2"/>
      <c r="G5208" s="2"/>
      <c r="H5208" s="2"/>
      <c r="I5208" s="2"/>
      <c r="J5208" s="2"/>
      <c r="K5208" s="2"/>
      <c r="L5208" s="2"/>
      <c r="M5208" s="2"/>
      <c r="N5208" s="2"/>
      <c r="O5208" s="2"/>
      <c r="P5208" s="2"/>
      <c r="Q5208" s="2"/>
      <c r="R5208" s="2"/>
      <c r="S5208" s="2"/>
      <c r="T5208" s="2"/>
      <c r="U5208" s="2"/>
      <c r="V5208" s="2"/>
      <c r="W5208" s="2"/>
    </row>
    <row r="5209" spans="1:23" x14ac:dyDescent="0.25">
      <c r="A5209" s="2"/>
      <c r="B5209" s="2"/>
      <c r="C5209" s="1"/>
      <c r="D5209" s="2"/>
      <c r="E5209" s="2"/>
      <c r="F5209" s="2"/>
      <c r="G5209" s="2"/>
      <c r="H5209" s="2"/>
      <c r="I5209" s="2"/>
      <c r="J5209" s="2"/>
      <c r="K5209" s="2"/>
      <c r="L5209" s="2"/>
      <c r="M5209" s="2"/>
      <c r="N5209" s="2"/>
      <c r="O5209" s="2"/>
      <c r="P5209" s="2"/>
      <c r="Q5209" s="2"/>
      <c r="R5209" s="2"/>
      <c r="S5209" s="2"/>
      <c r="T5209" s="2"/>
      <c r="U5209" s="2"/>
      <c r="V5209" s="2"/>
      <c r="W5209" s="2"/>
    </row>
    <row r="5210" spans="1:23" x14ac:dyDescent="0.25">
      <c r="A5210" s="2"/>
      <c r="B5210" s="2"/>
      <c r="C5210" s="1"/>
      <c r="D5210" s="2"/>
      <c r="E5210" s="2"/>
      <c r="F5210" s="2"/>
      <c r="G5210" s="2"/>
      <c r="H5210" s="2"/>
      <c r="I5210" s="2"/>
      <c r="J5210" s="2"/>
      <c r="K5210" s="2"/>
      <c r="L5210" s="2"/>
      <c r="M5210" s="2"/>
      <c r="N5210" s="2"/>
      <c r="O5210" s="2"/>
      <c r="P5210" s="2"/>
      <c r="Q5210" s="2"/>
      <c r="R5210" s="2"/>
      <c r="S5210" s="2"/>
      <c r="T5210" s="2"/>
      <c r="U5210" s="2"/>
      <c r="V5210" s="2"/>
      <c r="W5210" s="2"/>
    </row>
    <row r="5211" spans="1:23" x14ac:dyDescent="0.25">
      <c r="A5211" s="2"/>
      <c r="B5211" s="2"/>
      <c r="C5211" s="1"/>
      <c r="D5211" s="2"/>
      <c r="E5211" s="2"/>
      <c r="F5211" s="2"/>
      <c r="G5211" s="2"/>
      <c r="H5211" s="2"/>
      <c r="I5211" s="2"/>
      <c r="J5211" s="2"/>
      <c r="K5211" s="2"/>
      <c r="L5211" s="2"/>
      <c r="M5211" s="2"/>
      <c r="N5211" s="2"/>
      <c r="O5211" s="2"/>
      <c r="P5211" s="2"/>
      <c r="Q5211" s="2"/>
      <c r="R5211" s="2"/>
      <c r="S5211" s="2"/>
      <c r="T5211" s="2"/>
      <c r="U5211" s="2"/>
      <c r="V5211" s="2"/>
      <c r="W5211" s="2"/>
    </row>
    <row r="5212" spans="1:23" x14ac:dyDescent="0.25">
      <c r="A5212" s="2"/>
      <c r="B5212" s="2"/>
      <c r="C5212" s="1"/>
      <c r="D5212" s="2"/>
      <c r="E5212" s="2"/>
      <c r="F5212" s="2"/>
      <c r="G5212" s="2"/>
      <c r="H5212" s="2"/>
      <c r="I5212" s="2"/>
      <c r="J5212" s="2"/>
      <c r="K5212" s="2"/>
      <c r="L5212" s="2"/>
      <c r="M5212" s="2"/>
      <c r="N5212" s="2"/>
      <c r="O5212" s="2"/>
      <c r="P5212" s="2"/>
      <c r="Q5212" s="2"/>
      <c r="R5212" s="2"/>
      <c r="S5212" s="2"/>
      <c r="T5212" s="2"/>
      <c r="U5212" s="2"/>
      <c r="V5212" s="2"/>
      <c r="W5212" s="2"/>
    </row>
    <row r="5213" spans="1:23" x14ac:dyDescent="0.25">
      <c r="A5213" s="2"/>
      <c r="B5213" s="2"/>
      <c r="C5213" s="1"/>
      <c r="D5213" s="2"/>
      <c r="E5213" s="2"/>
      <c r="F5213" s="2"/>
      <c r="G5213" s="2"/>
      <c r="H5213" s="2"/>
      <c r="I5213" s="2"/>
      <c r="J5213" s="2"/>
      <c r="K5213" s="2"/>
      <c r="L5213" s="2"/>
      <c r="M5213" s="2"/>
      <c r="N5213" s="2"/>
      <c r="O5213" s="2"/>
      <c r="P5213" s="2"/>
      <c r="Q5213" s="2"/>
      <c r="R5213" s="2"/>
      <c r="S5213" s="2"/>
      <c r="T5213" s="2"/>
      <c r="U5213" s="2"/>
      <c r="V5213" s="2"/>
      <c r="W5213" s="2"/>
    </row>
    <row r="5214" spans="1:23" x14ac:dyDescent="0.25">
      <c r="A5214" s="2"/>
      <c r="B5214" s="2"/>
      <c r="C5214" s="1"/>
      <c r="D5214" s="2"/>
      <c r="E5214" s="2"/>
      <c r="F5214" s="2"/>
      <c r="G5214" s="2"/>
      <c r="H5214" s="2"/>
      <c r="I5214" s="2"/>
      <c r="J5214" s="2"/>
      <c r="K5214" s="2"/>
      <c r="L5214" s="2"/>
      <c r="M5214" s="2"/>
      <c r="N5214" s="2"/>
      <c r="O5214" s="2"/>
      <c r="P5214" s="2"/>
      <c r="Q5214" s="2"/>
      <c r="R5214" s="2"/>
      <c r="S5214" s="2"/>
      <c r="T5214" s="2"/>
      <c r="U5214" s="2"/>
      <c r="V5214" s="2"/>
      <c r="W5214" s="2"/>
    </row>
    <row r="5215" spans="1:23" x14ac:dyDescent="0.25">
      <c r="A5215" s="2"/>
      <c r="B5215" s="2"/>
      <c r="C5215" s="1"/>
      <c r="D5215" s="2"/>
      <c r="E5215" s="2"/>
      <c r="F5215" s="2"/>
      <c r="G5215" s="2"/>
      <c r="H5215" s="2"/>
      <c r="I5215" s="2"/>
      <c r="J5215" s="2"/>
      <c r="K5215" s="2"/>
      <c r="L5215" s="2"/>
      <c r="M5215" s="2"/>
      <c r="N5215" s="2"/>
      <c r="O5215" s="2"/>
      <c r="P5215" s="2"/>
      <c r="Q5215" s="2"/>
      <c r="R5215" s="2"/>
      <c r="S5215" s="2"/>
      <c r="T5215" s="2"/>
      <c r="U5215" s="2"/>
      <c r="V5215" s="2"/>
      <c r="W5215" s="2"/>
    </row>
    <row r="5216" spans="1:23" x14ac:dyDescent="0.25">
      <c r="A5216" s="2"/>
      <c r="B5216" s="2"/>
      <c r="C5216" s="1"/>
      <c r="D5216" s="2"/>
      <c r="E5216" s="2"/>
      <c r="F5216" s="2"/>
      <c r="G5216" s="2"/>
      <c r="H5216" s="2"/>
      <c r="I5216" s="2"/>
      <c r="J5216" s="2"/>
      <c r="K5216" s="2"/>
      <c r="L5216" s="2"/>
      <c r="M5216" s="2"/>
      <c r="N5216" s="2"/>
      <c r="O5216" s="2"/>
      <c r="P5216" s="2"/>
      <c r="Q5216" s="2"/>
      <c r="R5216" s="2"/>
      <c r="S5216" s="2"/>
      <c r="T5216" s="2"/>
      <c r="U5216" s="2"/>
      <c r="V5216" s="2"/>
      <c r="W5216" s="2"/>
    </row>
    <row r="5217" spans="1:23" x14ac:dyDescent="0.25">
      <c r="A5217" s="2"/>
      <c r="B5217" s="2"/>
      <c r="C5217" s="1"/>
      <c r="D5217" s="2"/>
      <c r="E5217" s="2"/>
      <c r="F5217" s="2"/>
      <c r="G5217" s="2"/>
      <c r="H5217" s="2"/>
      <c r="I5217" s="2"/>
      <c r="J5217" s="2"/>
      <c r="K5217" s="2"/>
      <c r="L5217" s="2"/>
      <c r="M5217" s="2"/>
      <c r="N5217" s="2"/>
      <c r="O5217" s="2"/>
      <c r="P5217" s="2"/>
      <c r="Q5217" s="2"/>
      <c r="R5217" s="2"/>
      <c r="S5217" s="2"/>
      <c r="T5217" s="2"/>
      <c r="U5217" s="2"/>
      <c r="V5217" s="2"/>
      <c r="W5217" s="2"/>
    </row>
    <row r="5218" spans="1:23" x14ac:dyDescent="0.25">
      <c r="A5218" s="2"/>
      <c r="B5218" s="2"/>
      <c r="C5218" s="1"/>
      <c r="D5218" s="2"/>
      <c r="E5218" s="2"/>
      <c r="F5218" s="2"/>
      <c r="G5218" s="2"/>
      <c r="H5218" s="2"/>
      <c r="I5218" s="2"/>
      <c r="J5218" s="2"/>
      <c r="K5218" s="2"/>
      <c r="L5218" s="2"/>
      <c r="M5218" s="2"/>
      <c r="N5218" s="2"/>
      <c r="O5218" s="2"/>
      <c r="P5218" s="2"/>
      <c r="Q5218" s="2"/>
      <c r="R5218" s="2"/>
      <c r="S5218" s="2"/>
      <c r="T5218" s="2"/>
      <c r="U5218" s="2"/>
      <c r="V5218" s="2"/>
      <c r="W5218" s="2"/>
    </row>
    <row r="5219" spans="1:23" x14ac:dyDescent="0.25">
      <c r="A5219" s="2"/>
      <c r="B5219" s="2"/>
      <c r="C5219" s="1"/>
      <c r="D5219" s="2"/>
      <c r="E5219" s="2"/>
      <c r="F5219" s="2"/>
      <c r="G5219" s="2"/>
      <c r="H5219" s="2"/>
      <c r="I5219" s="2"/>
      <c r="J5219" s="2"/>
      <c r="K5219" s="2"/>
      <c r="L5219" s="2"/>
      <c r="M5219" s="2"/>
      <c r="N5219" s="2"/>
      <c r="O5219" s="2"/>
      <c r="P5219" s="2"/>
      <c r="Q5219" s="2"/>
      <c r="R5219" s="2"/>
      <c r="S5219" s="2"/>
      <c r="T5219" s="2"/>
      <c r="U5219" s="2"/>
      <c r="V5219" s="2"/>
      <c r="W5219" s="2"/>
    </row>
    <row r="5220" spans="1:23" x14ac:dyDescent="0.25">
      <c r="A5220" s="2"/>
      <c r="B5220" s="2"/>
      <c r="C5220" s="1"/>
      <c r="D5220" s="2"/>
      <c r="E5220" s="2"/>
      <c r="F5220" s="2"/>
      <c r="G5220" s="2"/>
      <c r="H5220" s="2"/>
      <c r="I5220" s="2"/>
      <c r="J5220" s="2"/>
      <c r="K5220" s="2"/>
      <c r="L5220" s="2"/>
      <c r="M5220" s="2"/>
      <c r="N5220" s="2"/>
      <c r="O5220" s="2"/>
      <c r="P5220" s="2"/>
      <c r="Q5220" s="2"/>
      <c r="R5220" s="2"/>
      <c r="S5220" s="2"/>
      <c r="T5220" s="2"/>
      <c r="U5220" s="2"/>
      <c r="V5220" s="2"/>
      <c r="W5220" s="2"/>
    </row>
    <row r="5221" spans="1:23" x14ac:dyDescent="0.25">
      <c r="A5221" s="2"/>
      <c r="B5221" s="2"/>
      <c r="C5221" s="1"/>
      <c r="D5221" s="2"/>
      <c r="E5221" s="2"/>
      <c r="F5221" s="2"/>
      <c r="G5221" s="2"/>
      <c r="H5221" s="2"/>
      <c r="I5221" s="2"/>
      <c r="J5221" s="2"/>
      <c r="K5221" s="2"/>
      <c r="L5221" s="2"/>
      <c r="M5221" s="2"/>
      <c r="N5221" s="2"/>
      <c r="O5221" s="2"/>
      <c r="P5221" s="2"/>
      <c r="Q5221" s="2"/>
      <c r="R5221" s="2"/>
      <c r="S5221" s="2"/>
      <c r="T5221" s="2"/>
      <c r="U5221" s="2"/>
      <c r="V5221" s="2"/>
      <c r="W5221" s="2"/>
    </row>
    <row r="5222" spans="1:23" x14ac:dyDescent="0.25">
      <c r="A5222" s="2"/>
      <c r="B5222" s="2"/>
      <c r="C5222" s="1"/>
      <c r="D5222" s="2"/>
      <c r="E5222" s="2"/>
      <c r="F5222" s="2"/>
      <c r="G5222" s="2"/>
      <c r="H5222" s="2"/>
      <c r="I5222" s="2"/>
      <c r="J5222" s="2"/>
      <c r="K5222" s="2"/>
      <c r="L5222" s="2"/>
      <c r="M5222" s="2"/>
      <c r="N5222" s="2"/>
      <c r="O5222" s="2"/>
      <c r="P5222" s="2"/>
      <c r="Q5222" s="2"/>
      <c r="R5222" s="2"/>
      <c r="S5222" s="2"/>
      <c r="T5222" s="2"/>
      <c r="U5222" s="2"/>
      <c r="V5222" s="2"/>
      <c r="W5222" s="2"/>
    </row>
    <row r="5223" spans="1:23" x14ac:dyDescent="0.25">
      <c r="A5223" s="2"/>
      <c r="B5223" s="2"/>
      <c r="C5223" s="1"/>
      <c r="D5223" s="2"/>
      <c r="E5223" s="2"/>
      <c r="F5223" s="2"/>
      <c r="G5223" s="2"/>
      <c r="H5223" s="2"/>
      <c r="I5223" s="2"/>
      <c r="J5223" s="2"/>
      <c r="K5223" s="2"/>
      <c r="L5223" s="2"/>
      <c r="M5223" s="2"/>
      <c r="N5223" s="2"/>
      <c r="O5223" s="2"/>
      <c r="P5223" s="2"/>
      <c r="Q5223" s="2"/>
      <c r="R5223" s="2"/>
      <c r="S5223" s="2"/>
      <c r="T5223" s="2"/>
      <c r="U5223" s="2"/>
      <c r="V5223" s="2"/>
      <c r="W5223" s="2"/>
    </row>
    <row r="5224" spans="1:23" x14ac:dyDescent="0.25">
      <c r="A5224" s="2"/>
      <c r="B5224" s="2"/>
      <c r="C5224" s="1"/>
      <c r="D5224" s="2"/>
      <c r="E5224" s="2"/>
      <c r="F5224" s="2"/>
      <c r="G5224" s="2"/>
      <c r="H5224" s="2"/>
      <c r="I5224" s="2"/>
      <c r="J5224" s="2"/>
      <c r="K5224" s="2"/>
      <c r="L5224" s="2"/>
      <c r="M5224" s="2"/>
      <c r="N5224" s="2"/>
      <c r="O5224" s="2"/>
      <c r="P5224" s="2"/>
      <c r="Q5224" s="2"/>
      <c r="R5224" s="2"/>
      <c r="S5224" s="2"/>
      <c r="T5224" s="2"/>
      <c r="U5224" s="2"/>
      <c r="V5224" s="2"/>
      <c r="W5224" s="2"/>
    </row>
    <row r="5225" spans="1:23" x14ac:dyDescent="0.25">
      <c r="A5225" s="2"/>
      <c r="B5225" s="2"/>
      <c r="C5225" s="1"/>
      <c r="D5225" s="2"/>
      <c r="E5225" s="2"/>
      <c r="F5225" s="2"/>
      <c r="G5225" s="2"/>
      <c r="H5225" s="2"/>
      <c r="I5225" s="2"/>
      <c r="J5225" s="2"/>
      <c r="K5225" s="2"/>
      <c r="L5225" s="2"/>
      <c r="M5225" s="2"/>
      <c r="N5225" s="2"/>
      <c r="O5225" s="2"/>
      <c r="P5225" s="2"/>
      <c r="Q5225" s="2"/>
      <c r="R5225" s="2"/>
      <c r="S5225" s="2"/>
      <c r="T5225" s="2"/>
      <c r="U5225" s="2"/>
      <c r="V5225" s="2"/>
      <c r="W5225" s="2"/>
    </row>
    <row r="5226" spans="1:23" x14ac:dyDescent="0.25">
      <c r="A5226" s="2"/>
      <c r="B5226" s="2"/>
      <c r="C5226" s="1"/>
      <c r="D5226" s="2"/>
      <c r="E5226" s="2"/>
      <c r="F5226" s="2"/>
      <c r="G5226" s="2"/>
      <c r="H5226" s="2"/>
      <c r="I5226" s="2"/>
      <c r="J5226" s="2"/>
      <c r="K5226" s="2"/>
      <c r="L5226" s="2"/>
      <c r="M5226" s="2"/>
      <c r="N5226" s="2"/>
      <c r="O5226" s="2"/>
      <c r="P5226" s="2"/>
      <c r="Q5226" s="2"/>
      <c r="R5226" s="2"/>
      <c r="S5226" s="2"/>
      <c r="T5226" s="2"/>
      <c r="U5226" s="2"/>
      <c r="V5226" s="2"/>
      <c r="W5226" s="2"/>
    </row>
    <row r="5227" spans="1:23" x14ac:dyDescent="0.25">
      <c r="A5227" s="2"/>
      <c r="B5227" s="2"/>
      <c r="C5227" s="1"/>
      <c r="D5227" s="2"/>
      <c r="E5227" s="2"/>
      <c r="F5227" s="2"/>
      <c r="G5227" s="2"/>
      <c r="H5227" s="2"/>
      <c r="I5227" s="2"/>
      <c r="J5227" s="2"/>
      <c r="K5227" s="2"/>
      <c r="L5227" s="2"/>
      <c r="M5227" s="2"/>
      <c r="N5227" s="2"/>
      <c r="O5227" s="2"/>
      <c r="P5227" s="2"/>
      <c r="Q5227" s="2"/>
      <c r="R5227" s="2"/>
      <c r="S5227" s="2"/>
      <c r="T5227" s="2"/>
      <c r="U5227" s="2"/>
      <c r="V5227" s="2"/>
      <c r="W5227" s="2"/>
    </row>
    <row r="5228" spans="1:23" x14ac:dyDescent="0.25">
      <c r="A5228" s="2"/>
      <c r="B5228" s="2"/>
      <c r="C5228" s="1"/>
      <c r="D5228" s="2"/>
      <c r="E5228" s="2"/>
      <c r="F5228" s="2"/>
      <c r="G5228" s="2"/>
      <c r="H5228" s="2"/>
      <c r="I5228" s="2"/>
      <c r="J5228" s="2"/>
      <c r="K5228" s="2"/>
      <c r="L5228" s="2"/>
      <c r="M5228" s="2"/>
      <c r="N5228" s="2"/>
      <c r="O5228" s="2"/>
      <c r="P5228" s="2"/>
      <c r="Q5228" s="2"/>
      <c r="R5228" s="2"/>
      <c r="S5228" s="2"/>
      <c r="T5228" s="2"/>
      <c r="U5228" s="2"/>
      <c r="V5228" s="2"/>
      <c r="W5228" s="2"/>
    </row>
    <row r="5229" spans="1:23" x14ac:dyDescent="0.25">
      <c r="A5229" s="2"/>
      <c r="B5229" s="2"/>
      <c r="C5229" s="1"/>
      <c r="D5229" s="2"/>
      <c r="E5229" s="2"/>
      <c r="F5229" s="2"/>
      <c r="G5229" s="2"/>
      <c r="H5229" s="2"/>
      <c r="I5229" s="2"/>
      <c r="J5229" s="2"/>
      <c r="K5229" s="2"/>
      <c r="L5229" s="2"/>
      <c r="M5229" s="2"/>
      <c r="N5229" s="2"/>
      <c r="O5229" s="2"/>
      <c r="P5229" s="2"/>
      <c r="Q5229" s="2"/>
      <c r="R5229" s="2"/>
      <c r="S5229" s="2"/>
      <c r="T5229" s="2"/>
      <c r="U5229" s="2"/>
      <c r="V5229" s="2"/>
      <c r="W5229" s="2"/>
    </row>
    <row r="5230" spans="1:23" x14ac:dyDescent="0.25">
      <c r="A5230" s="2"/>
      <c r="B5230" s="2"/>
      <c r="C5230" s="1"/>
      <c r="D5230" s="2"/>
      <c r="E5230" s="2"/>
      <c r="F5230" s="2"/>
      <c r="G5230" s="2"/>
      <c r="H5230" s="2"/>
      <c r="I5230" s="2"/>
      <c r="J5230" s="2"/>
      <c r="K5230" s="2"/>
      <c r="L5230" s="2"/>
      <c r="M5230" s="2"/>
      <c r="N5230" s="2"/>
      <c r="O5230" s="2"/>
      <c r="P5230" s="2"/>
      <c r="Q5230" s="2"/>
      <c r="R5230" s="2"/>
      <c r="S5230" s="2"/>
      <c r="T5230" s="2"/>
      <c r="U5230" s="2"/>
      <c r="V5230" s="2"/>
      <c r="W5230" s="2"/>
    </row>
    <row r="5231" spans="1:23" x14ac:dyDescent="0.25">
      <c r="A5231" s="2"/>
      <c r="B5231" s="2"/>
      <c r="C5231" s="1"/>
      <c r="D5231" s="2"/>
      <c r="E5231" s="2"/>
      <c r="F5231" s="2"/>
      <c r="G5231" s="2"/>
      <c r="H5231" s="2"/>
      <c r="I5231" s="2"/>
      <c r="J5231" s="2"/>
      <c r="K5231" s="2"/>
      <c r="L5231" s="2"/>
      <c r="M5231" s="2"/>
      <c r="N5231" s="2"/>
      <c r="O5231" s="2"/>
      <c r="P5231" s="2"/>
      <c r="Q5231" s="2"/>
      <c r="R5231" s="2"/>
      <c r="S5231" s="2"/>
      <c r="T5231" s="2"/>
      <c r="U5231" s="2"/>
      <c r="V5231" s="2"/>
      <c r="W5231" s="2"/>
    </row>
    <row r="5232" spans="1:23" x14ac:dyDescent="0.25">
      <c r="A5232" s="2"/>
      <c r="B5232" s="2"/>
      <c r="C5232" s="1"/>
      <c r="D5232" s="2"/>
      <c r="E5232" s="2"/>
      <c r="F5232" s="2"/>
      <c r="G5232" s="2"/>
      <c r="H5232" s="2"/>
      <c r="I5232" s="2"/>
      <c r="J5232" s="2"/>
      <c r="K5232" s="2"/>
      <c r="L5232" s="2"/>
      <c r="M5232" s="2"/>
      <c r="N5232" s="2"/>
      <c r="O5232" s="2"/>
      <c r="P5232" s="2"/>
      <c r="Q5232" s="2"/>
      <c r="R5232" s="2"/>
      <c r="S5232" s="2"/>
      <c r="T5232" s="2"/>
      <c r="U5232" s="2"/>
      <c r="V5232" s="2"/>
      <c r="W5232" s="2"/>
    </row>
    <row r="5233" spans="1:23" x14ac:dyDescent="0.25">
      <c r="A5233" s="2"/>
      <c r="B5233" s="2"/>
      <c r="C5233" s="1"/>
      <c r="D5233" s="2"/>
      <c r="E5233" s="2"/>
      <c r="F5233" s="2"/>
      <c r="G5233" s="2"/>
      <c r="H5233" s="2"/>
      <c r="I5233" s="2"/>
      <c r="J5233" s="2"/>
      <c r="K5233" s="2"/>
      <c r="L5233" s="2"/>
      <c r="M5233" s="2"/>
      <c r="N5233" s="2"/>
      <c r="O5233" s="2"/>
      <c r="P5233" s="2"/>
      <c r="Q5233" s="2"/>
      <c r="R5233" s="2"/>
      <c r="S5233" s="2"/>
      <c r="T5233" s="2"/>
      <c r="U5233" s="2"/>
      <c r="V5233" s="2"/>
      <c r="W5233" s="2"/>
    </row>
    <row r="5234" spans="1:23" x14ac:dyDescent="0.25">
      <c r="A5234" s="2"/>
      <c r="B5234" s="2"/>
      <c r="C5234" s="1"/>
      <c r="D5234" s="2"/>
      <c r="E5234" s="2"/>
      <c r="F5234" s="2"/>
      <c r="G5234" s="2"/>
      <c r="H5234" s="2"/>
      <c r="I5234" s="2"/>
      <c r="J5234" s="2"/>
      <c r="K5234" s="2"/>
      <c r="L5234" s="2"/>
      <c r="M5234" s="2"/>
      <c r="N5234" s="2"/>
      <c r="O5234" s="2"/>
      <c r="P5234" s="2"/>
      <c r="Q5234" s="2"/>
      <c r="R5234" s="2"/>
      <c r="S5234" s="2"/>
      <c r="T5234" s="2"/>
      <c r="U5234" s="2"/>
      <c r="V5234" s="2"/>
      <c r="W5234" s="2"/>
    </row>
    <row r="5235" spans="1:23" x14ac:dyDescent="0.25">
      <c r="A5235" s="2"/>
      <c r="B5235" s="2"/>
      <c r="C5235" s="1"/>
      <c r="D5235" s="2"/>
      <c r="E5235" s="2"/>
      <c r="F5235" s="2"/>
      <c r="G5235" s="2"/>
      <c r="H5235" s="2"/>
      <c r="I5235" s="2"/>
      <c r="J5235" s="2"/>
      <c r="K5235" s="2"/>
      <c r="L5235" s="2"/>
      <c r="M5235" s="2"/>
      <c r="N5235" s="2"/>
      <c r="O5235" s="2"/>
      <c r="P5235" s="2"/>
      <c r="Q5235" s="2"/>
      <c r="R5235" s="2"/>
      <c r="S5235" s="2"/>
      <c r="T5235" s="2"/>
      <c r="U5235" s="2"/>
      <c r="V5235" s="2"/>
      <c r="W5235" s="2"/>
    </row>
    <row r="5236" spans="1:23" x14ac:dyDescent="0.25">
      <c r="A5236" s="2"/>
      <c r="B5236" s="2"/>
      <c r="C5236" s="1"/>
      <c r="D5236" s="2"/>
      <c r="E5236" s="2"/>
      <c r="F5236" s="2"/>
      <c r="G5236" s="2"/>
      <c r="H5236" s="2"/>
      <c r="I5236" s="2"/>
      <c r="J5236" s="2"/>
      <c r="K5236" s="2"/>
      <c r="L5236" s="2"/>
      <c r="M5236" s="2"/>
      <c r="N5236" s="2"/>
      <c r="O5236" s="2"/>
      <c r="P5236" s="2"/>
      <c r="Q5236" s="2"/>
      <c r="R5236" s="2"/>
      <c r="S5236" s="2"/>
      <c r="T5236" s="2"/>
      <c r="U5236" s="2"/>
      <c r="V5236" s="2"/>
      <c r="W5236" s="2"/>
    </row>
    <row r="5237" spans="1:23" x14ac:dyDescent="0.25">
      <c r="A5237" s="2"/>
      <c r="B5237" s="2"/>
      <c r="C5237" s="1"/>
      <c r="D5237" s="2"/>
      <c r="E5237" s="2"/>
      <c r="F5237" s="2"/>
      <c r="G5237" s="2"/>
      <c r="H5237" s="2"/>
      <c r="I5237" s="2"/>
      <c r="J5237" s="2"/>
      <c r="K5237" s="2"/>
      <c r="L5237" s="2"/>
      <c r="M5237" s="2"/>
      <c r="N5237" s="2"/>
      <c r="O5237" s="2"/>
      <c r="P5237" s="2"/>
      <c r="Q5237" s="2"/>
      <c r="R5237" s="2"/>
      <c r="S5237" s="2"/>
      <c r="T5237" s="2"/>
      <c r="U5237" s="2"/>
      <c r="V5237" s="2"/>
      <c r="W5237" s="2"/>
    </row>
    <row r="5238" spans="1:23" x14ac:dyDescent="0.25">
      <c r="A5238" s="2"/>
      <c r="B5238" s="2"/>
      <c r="C5238" s="1"/>
      <c r="D5238" s="2"/>
      <c r="E5238" s="2"/>
      <c r="F5238" s="2"/>
      <c r="G5238" s="2"/>
      <c r="H5238" s="2"/>
      <c r="I5238" s="2"/>
      <c r="J5238" s="2"/>
      <c r="K5238" s="2"/>
      <c r="L5238" s="2"/>
      <c r="M5238" s="2"/>
      <c r="N5238" s="2"/>
      <c r="O5238" s="2"/>
      <c r="P5238" s="2"/>
      <c r="Q5238" s="2"/>
      <c r="R5238" s="2"/>
      <c r="S5238" s="2"/>
      <c r="T5238" s="2"/>
      <c r="U5238" s="2"/>
      <c r="V5238" s="2"/>
      <c r="W5238" s="2"/>
    </row>
    <row r="5239" spans="1:23" x14ac:dyDescent="0.25">
      <c r="A5239" s="2"/>
      <c r="B5239" s="2"/>
      <c r="C5239" s="1"/>
      <c r="D5239" s="2"/>
      <c r="E5239" s="2"/>
      <c r="F5239" s="2"/>
      <c r="G5239" s="2"/>
      <c r="H5239" s="2"/>
      <c r="I5239" s="2"/>
      <c r="J5239" s="2"/>
      <c r="K5239" s="2"/>
      <c r="L5239" s="2"/>
      <c r="M5239" s="2"/>
      <c r="N5239" s="2"/>
      <c r="O5239" s="2"/>
      <c r="P5239" s="2"/>
      <c r="Q5239" s="2"/>
      <c r="R5239" s="2"/>
      <c r="S5239" s="2"/>
      <c r="T5239" s="2"/>
      <c r="U5239" s="2"/>
      <c r="V5239" s="2"/>
      <c r="W5239" s="2"/>
    </row>
    <row r="5240" spans="1:23" x14ac:dyDescent="0.25">
      <c r="A5240" s="2"/>
      <c r="B5240" s="2"/>
      <c r="C5240" s="1"/>
      <c r="D5240" s="2"/>
      <c r="E5240" s="2"/>
      <c r="F5240" s="2"/>
      <c r="G5240" s="2"/>
      <c r="H5240" s="2"/>
      <c r="I5240" s="2"/>
      <c r="J5240" s="2"/>
      <c r="K5240" s="2"/>
      <c r="L5240" s="2"/>
      <c r="M5240" s="2"/>
      <c r="N5240" s="2"/>
      <c r="O5240" s="2"/>
      <c r="P5240" s="2"/>
      <c r="Q5240" s="2"/>
      <c r="R5240" s="2"/>
      <c r="S5240" s="2"/>
      <c r="T5240" s="2"/>
      <c r="U5240" s="2"/>
      <c r="V5240" s="2"/>
      <c r="W5240" s="2"/>
    </row>
    <row r="5241" spans="1:23" x14ac:dyDescent="0.25">
      <c r="A5241" s="2"/>
      <c r="B5241" s="2"/>
      <c r="C5241" s="1"/>
      <c r="D5241" s="2"/>
      <c r="E5241" s="2"/>
      <c r="F5241" s="2"/>
      <c r="G5241" s="2"/>
      <c r="H5241" s="2"/>
      <c r="I5241" s="2"/>
      <c r="J5241" s="2"/>
      <c r="K5241" s="2"/>
      <c r="L5241" s="2"/>
      <c r="M5241" s="2"/>
      <c r="N5241" s="2"/>
      <c r="O5241" s="2"/>
      <c r="P5241" s="2"/>
      <c r="Q5241" s="2"/>
      <c r="R5241" s="2"/>
      <c r="S5241" s="2"/>
      <c r="T5241" s="2"/>
      <c r="U5241" s="2"/>
      <c r="V5241" s="2"/>
      <c r="W5241" s="2"/>
    </row>
    <row r="5242" spans="1:23" x14ac:dyDescent="0.25">
      <c r="A5242" s="2"/>
      <c r="B5242" s="2"/>
      <c r="C5242" s="1"/>
      <c r="D5242" s="2"/>
      <c r="E5242" s="2"/>
      <c r="F5242" s="2"/>
      <c r="G5242" s="2"/>
      <c r="H5242" s="2"/>
      <c r="I5242" s="2"/>
      <c r="J5242" s="2"/>
      <c r="K5242" s="2"/>
      <c r="L5242" s="2"/>
      <c r="M5242" s="2"/>
      <c r="N5242" s="2"/>
      <c r="O5242" s="2"/>
      <c r="P5242" s="2"/>
      <c r="Q5242" s="2"/>
      <c r="R5242" s="2"/>
      <c r="S5242" s="2"/>
      <c r="T5242" s="2"/>
      <c r="U5242" s="2"/>
      <c r="V5242" s="2"/>
      <c r="W5242" s="2"/>
    </row>
    <row r="5243" spans="1:23" x14ac:dyDescent="0.25">
      <c r="A5243" s="2"/>
      <c r="B5243" s="2"/>
      <c r="C5243" s="1"/>
      <c r="D5243" s="2"/>
      <c r="E5243" s="2"/>
      <c r="F5243" s="2"/>
      <c r="G5243" s="2"/>
      <c r="H5243" s="2"/>
      <c r="I5243" s="2"/>
      <c r="J5243" s="2"/>
      <c r="K5243" s="2"/>
      <c r="L5243" s="2"/>
      <c r="M5243" s="2"/>
      <c r="N5243" s="2"/>
      <c r="O5243" s="2"/>
      <c r="P5243" s="2"/>
      <c r="Q5243" s="2"/>
      <c r="R5243" s="2"/>
      <c r="S5243" s="2"/>
      <c r="T5243" s="2"/>
      <c r="U5243" s="2"/>
      <c r="V5243" s="2"/>
      <c r="W5243" s="2"/>
    </row>
    <row r="5244" spans="1:23" x14ac:dyDescent="0.25">
      <c r="A5244" s="2"/>
      <c r="B5244" s="2"/>
      <c r="C5244" s="1"/>
      <c r="D5244" s="2"/>
      <c r="E5244" s="2"/>
      <c r="F5244" s="2"/>
      <c r="G5244" s="2"/>
      <c r="H5244" s="2"/>
      <c r="I5244" s="2"/>
      <c r="J5244" s="2"/>
      <c r="K5244" s="2"/>
      <c r="L5244" s="2"/>
      <c r="M5244" s="2"/>
      <c r="N5244" s="2"/>
      <c r="O5244" s="2"/>
      <c r="P5244" s="2"/>
      <c r="Q5244" s="2"/>
      <c r="R5244" s="2"/>
      <c r="S5244" s="2"/>
      <c r="T5244" s="2"/>
      <c r="U5244" s="2"/>
      <c r="V5244" s="2"/>
      <c r="W5244" s="2"/>
    </row>
    <row r="5245" spans="1:23" x14ac:dyDescent="0.25">
      <c r="A5245" s="2"/>
      <c r="B5245" s="2"/>
      <c r="C5245" s="1"/>
      <c r="D5245" s="2"/>
      <c r="E5245" s="2"/>
      <c r="F5245" s="2"/>
      <c r="G5245" s="2"/>
      <c r="H5245" s="2"/>
      <c r="I5245" s="2"/>
      <c r="J5245" s="2"/>
      <c r="K5245" s="2"/>
      <c r="L5245" s="2"/>
      <c r="M5245" s="2"/>
      <c r="N5245" s="2"/>
      <c r="O5245" s="2"/>
      <c r="P5245" s="2"/>
      <c r="Q5245" s="2"/>
      <c r="R5245" s="2"/>
      <c r="S5245" s="2"/>
      <c r="T5245" s="2"/>
      <c r="U5245" s="2"/>
      <c r="V5245" s="2"/>
      <c r="W5245" s="2"/>
    </row>
    <row r="5246" spans="1:23" x14ac:dyDescent="0.25">
      <c r="A5246" s="2"/>
      <c r="B5246" s="2"/>
      <c r="C5246" s="1"/>
      <c r="D5246" s="2"/>
      <c r="E5246" s="2"/>
      <c r="F5246" s="2"/>
      <c r="G5246" s="2"/>
      <c r="H5246" s="2"/>
      <c r="I5246" s="2"/>
      <c r="J5246" s="2"/>
      <c r="K5246" s="2"/>
      <c r="L5246" s="2"/>
      <c r="M5246" s="2"/>
      <c r="N5246" s="2"/>
      <c r="O5246" s="2"/>
      <c r="P5246" s="2"/>
      <c r="Q5246" s="2"/>
      <c r="R5246" s="2"/>
      <c r="S5246" s="2"/>
      <c r="T5246" s="2"/>
      <c r="U5246" s="2"/>
      <c r="V5246" s="2"/>
      <c r="W5246" s="2"/>
    </row>
    <row r="5247" spans="1:23" x14ac:dyDescent="0.25">
      <c r="A5247" s="2"/>
      <c r="B5247" s="2"/>
      <c r="C5247" s="1"/>
      <c r="D5247" s="2"/>
      <c r="E5247" s="2"/>
      <c r="F5247" s="2"/>
      <c r="G5247" s="2"/>
      <c r="H5247" s="2"/>
      <c r="I5247" s="2"/>
      <c r="J5247" s="2"/>
      <c r="K5247" s="2"/>
      <c r="L5247" s="2"/>
      <c r="M5247" s="2"/>
      <c r="N5247" s="2"/>
      <c r="O5247" s="2"/>
      <c r="P5247" s="2"/>
      <c r="Q5247" s="2"/>
      <c r="R5247" s="2"/>
      <c r="S5247" s="2"/>
      <c r="T5247" s="2"/>
      <c r="U5247" s="2"/>
      <c r="V5247" s="2"/>
      <c r="W5247" s="2"/>
    </row>
    <row r="5248" spans="1:23" x14ac:dyDescent="0.25">
      <c r="A5248" s="2"/>
      <c r="B5248" s="2"/>
      <c r="C5248" s="1"/>
      <c r="D5248" s="2"/>
      <c r="E5248" s="2"/>
      <c r="F5248" s="2"/>
      <c r="G5248" s="2"/>
      <c r="H5248" s="2"/>
      <c r="I5248" s="2"/>
      <c r="J5248" s="2"/>
      <c r="K5248" s="2"/>
      <c r="L5248" s="2"/>
      <c r="M5248" s="2"/>
      <c r="N5248" s="2"/>
      <c r="O5248" s="2"/>
      <c r="P5248" s="2"/>
      <c r="Q5248" s="2"/>
      <c r="R5248" s="2"/>
      <c r="S5248" s="2"/>
      <c r="T5248" s="2"/>
      <c r="U5248" s="2"/>
      <c r="V5248" s="2"/>
      <c r="W5248" s="2"/>
    </row>
    <row r="5249" spans="1:23" x14ac:dyDescent="0.25">
      <c r="A5249" s="2"/>
      <c r="B5249" s="2"/>
      <c r="C5249" s="1"/>
      <c r="D5249" s="2"/>
      <c r="E5249" s="2"/>
      <c r="F5249" s="2"/>
      <c r="G5249" s="2"/>
      <c r="H5249" s="2"/>
      <c r="I5249" s="2"/>
      <c r="J5249" s="2"/>
      <c r="K5249" s="2"/>
      <c r="L5249" s="2"/>
      <c r="M5249" s="2"/>
      <c r="N5249" s="2"/>
      <c r="O5249" s="2"/>
      <c r="P5249" s="2"/>
      <c r="Q5249" s="2"/>
      <c r="R5249" s="2"/>
      <c r="S5249" s="2"/>
      <c r="T5249" s="2"/>
      <c r="U5249" s="2"/>
      <c r="V5249" s="2"/>
      <c r="W5249" s="2"/>
    </row>
    <row r="5250" spans="1:23" x14ac:dyDescent="0.25">
      <c r="A5250" s="2"/>
      <c r="B5250" s="2"/>
      <c r="C5250" s="1"/>
      <c r="D5250" s="2"/>
      <c r="E5250" s="2"/>
      <c r="F5250" s="2"/>
      <c r="G5250" s="2"/>
      <c r="H5250" s="2"/>
      <c r="I5250" s="2"/>
      <c r="J5250" s="2"/>
      <c r="K5250" s="2"/>
      <c r="L5250" s="2"/>
      <c r="M5250" s="2"/>
      <c r="N5250" s="2"/>
      <c r="O5250" s="2"/>
      <c r="P5250" s="2"/>
      <c r="Q5250" s="2"/>
      <c r="R5250" s="2"/>
      <c r="S5250" s="2"/>
      <c r="T5250" s="2"/>
      <c r="U5250" s="2"/>
      <c r="V5250" s="2"/>
      <c r="W5250" s="2"/>
    </row>
    <row r="5251" spans="1:23" x14ac:dyDescent="0.25">
      <c r="A5251" s="2"/>
      <c r="B5251" s="2"/>
      <c r="C5251" s="1"/>
      <c r="D5251" s="2"/>
      <c r="E5251" s="2"/>
      <c r="F5251" s="2"/>
      <c r="G5251" s="2"/>
      <c r="H5251" s="2"/>
      <c r="I5251" s="2"/>
      <c r="J5251" s="2"/>
      <c r="K5251" s="2"/>
      <c r="L5251" s="2"/>
      <c r="M5251" s="2"/>
      <c r="N5251" s="2"/>
      <c r="O5251" s="2"/>
      <c r="P5251" s="2"/>
      <c r="Q5251" s="2"/>
      <c r="R5251" s="2"/>
      <c r="S5251" s="2"/>
      <c r="T5251" s="2"/>
      <c r="U5251" s="2"/>
      <c r="V5251" s="2"/>
      <c r="W5251" s="2"/>
    </row>
    <row r="5252" spans="1:23" x14ac:dyDescent="0.25">
      <c r="A5252" s="2"/>
      <c r="B5252" s="2"/>
      <c r="C5252" s="1"/>
      <c r="D5252" s="2"/>
      <c r="E5252" s="2"/>
      <c r="F5252" s="2"/>
      <c r="G5252" s="2"/>
      <c r="H5252" s="2"/>
      <c r="I5252" s="2"/>
      <c r="J5252" s="2"/>
      <c r="K5252" s="2"/>
      <c r="L5252" s="2"/>
      <c r="M5252" s="2"/>
      <c r="N5252" s="2"/>
      <c r="O5252" s="2"/>
      <c r="P5252" s="2"/>
      <c r="Q5252" s="2"/>
      <c r="R5252" s="2"/>
      <c r="S5252" s="2"/>
      <c r="T5252" s="2"/>
      <c r="U5252" s="2"/>
      <c r="V5252" s="2"/>
      <c r="W5252" s="2"/>
    </row>
    <row r="5253" spans="1:23" x14ac:dyDescent="0.25">
      <c r="A5253" s="2"/>
      <c r="B5253" s="2"/>
      <c r="C5253" s="1"/>
      <c r="D5253" s="2"/>
      <c r="E5253" s="2"/>
      <c r="F5253" s="2"/>
      <c r="G5253" s="2"/>
      <c r="H5253" s="2"/>
      <c r="I5253" s="2"/>
      <c r="J5253" s="2"/>
      <c r="K5253" s="2"/>
      <c r="L5253" s="2"/>
      <c r="M5253" s="2"/>
      <c r="N5253" s="2"/>
      <c r="O5253" s="2"/>
      <c r="P5253" s="2"/>
      <c r="Q5253" s="2"/>
      <c r="R5253" s="2"/>
      <c r="S5253" s="2"/>
      <c r="T5253" s="2"/>
      <c r="U5253" s="2"/>
      <c r="V5253" s="2"/>
      <c r="W5253" s="2"/>
    </row>
    <row r="5254" spans="1:23" x14ac:dyDescent="0.25">
      <c r="A5254" s="2"/>
      <c r="B5254" s="2"/>
      <c r="C5254" s="1"/>
      <c r="D5254" s="2"/>
      <c r="E5254" s="2"/>
      <c r="F5254" s="2"/>
      <c r="G5254" s="2"/>
      <c r="H5254" s="2"/>
      <c r="I5254" s="2"/>
      <c r="J5254" s="2"/>
      <c r="K5254" s="2"/>
      <c r="L5254" s="2"/>
      <c r="M5254" s="2"/>
      <c r="N5254" s="2"/>
      <c r="O5254" s="2"/>
      <c r="P5254" s="2"/>
      <c r="Q5254" s="2"/>
      <c r="R5254" s="2"/>
      <c r="S5254" s="2"/>
      <c r="T5254" s="2"/>
      <c r="U5254" s="2"/>
      <c r="V5254" s="2"/>
      <c r="W5254" s="2"/>
    </row>
    <row r="5255" spans="1:23" x14ac:dyDescent="0.25">
      <c r="A5255" s="2"/>
      <c r="B5255" s="2"/>
      <c r="C5255" s="1"/>
      <c r="D5255" s="2"/>
      <c r="E5255" s="2"/>
      <c r="F5255" s="2"/>
      <c r="G5255" s="2"/>
      <c r="H5255" s="2"/>
      <c r="I5255" s="2"/>
      <c r="J5255" s="2"/>
      <c r="K5255" s="2"/>
      <c r="L5255" s="2"/>
      <c r="M5255" s="2"/>
      <c r="N5255" s="2"/>
      <c r="O5255" s="2"/>
      <c r="P5255" s="2"/>
      <c r="Q5255" s="2"/>
      <c r="R5255" s="2"/>
      <c r="S5255" s="2"/>
      <c r="T5255" s="2"/>
      <c r="U5255" s="2"/>
      <c r="V5255" s="2"/>
      <c r="W5255" s="2"/>
    </row>
    <row r="5256" spans="1:23" x14ac:dyDescent="0.25">
      <c r="A5256" s="2"/>
      <c r="B5256" s="2"/>
      <c r="C5256" s="1"/>
      <c r="D5256" s="2"/>
      <c r="E5256" s="2"/>
      <c r="F5256" s="2"/>
      <c r="G5256" s="2"/>
      <c r="H5256" s="2"/>
      <c r="I5256" s="2"/>
      <c r="J5256" s="2"/>
      <c r="K5256" s="2"/>
      <c r="L5256" s="2"/>
      <c r="M5256" s="2"/>
      <c r="N5256" s="2"/>
      <c r="O5256" s="2"/>
      <c r="P5256" s="2"/>
      <c r="Q5256" s="2"/>
      <c r="R5256" s="2"/>
      <c r="S5256" s="2"/>
      <c r="T5256" s="2"/>
      <c r="U5256" s="2"/>
      <c r="V5256" s="2"/>
      <c r="W5256" s="2"/>
    </row>
    <row r="5257" spans="1:23" x14ac:dyDescent="0.25">
      <c r="A5257" s="2"/>
      <c r="B5257" s="2"/>
      <c r="C5257" s="1"/>
      <c r="D5257" s="2"/>
      <c r="E5257" s="2"/>
      <c r="F5257" s="2"/>
      <c r="G5257" s="2"/>
      <c r="H5257" s="2"/>
      <c r="I5257" s="2"/>
      <c r="J5257" s="2"/>
      <c r="K5257" s="2"/>
      <c r="L5257" s="2"/>
      <c r="M5257" s="2"/>
      <c r="N5257" s="2"/>
      <c r="O5257" s="2"/>
      <c r="P5257" s="2"/>
      <c r="Q5257" s="2"/>
      <c r="R5257" s="2"/>
      <c r="S5257" s="2"/>
      <c r="T5257" s="2"/>
      <c r="U5257" s="2"/>
      <c r="V5257" s="2"/>
      <c r="W5257" s="2"/>
    </row>
    <row r="5258" spans="1:23" x14ac:dyDescent="0.25">
      <c r="A5258" s="2"/>
      <c r="B5258" s="2"/>
      <c r="C5258" s="1"/>
      <c r="D5258" s="2"/>
      <c r="E5258" s="2"/>
      <c r="F5258" s="2"/>
      <c r="G5258" s="2"/>
      <c r="H5258" s="2"/>
      <c r="I5258" s="2"/>
      <c r="J5258" s="2"/>
      <c r="K5258" s="2"/>
      <c r="L5258" s="2"/>
      <c r="M5258" s="2"/>
      <c r="N5258" s="2"/>
      <c r="O5258" s="2"/>
      <c r="P5258" s="2"/>
      <c r="Q5258" s="2"/>
      <c r="R5258" s="2"/>
      <c r="S5258" s="2"/>
      <c r="T5258" s="2"/>
      <c r="U5258" s="2"/>
      <c r="V5258" s="2"/>
      <c r="W5258" s="2"/>
    </row>
    <row r="5259" spans="1:23" x14ac:dyDescent="0.25">
      <c r="A5259" s="2"/>
      <c r="B5259" s="2"/>
      <c r="C5259" s="1"/>
      <c r="D5259" s="2"/>
      <c r="E5259" s="2"/>
      <c r="F5259" s="2"/>
      <c r="G5259" s="2"/>
      <c r="H5259" s="2"/>
      <c r="I5259" s="2"/>
      <c r="J5259" s="2"/>
      <c r="K5259" s="2"/>
      <c r="L5259" s="2"/>
      <c r="M5259" s="2"/>
      <c r="N5259" s="2"/>
      <c r="O5259" s="2"/>
      <c r="P5259" s="2"/>
      <c r="Q5259" s="2"/>
      <c r="R5259" s="2"/>
      <c r="S5259" s="2"/>
      <c r="T5259" s="2"/>
      <c r="U5259" s="2"/>
      <c r="V5259" s="2"/>
      <c r="W5259" s="2"/>
    </row>
    <row r="5260" spans="1:23" x14ac:dyDescent="0.25">
      <c r="A5260" s="2"/>
      <c r="B5260" s="2"/>
      <c r="C5260" s="1"/>
      <c r="D5260" s="2"/>
      <c r="E5260" s="2"/>
      <c r="F5260" s="2"/>
      <c r="G5260" s="2"/>
      <c r="H5260" s="2"/>
      <c r="I5260" s="2"/>
      <c r="J5260" s="2"/>
      <c r="K5260" s="2"/>
      <c r="L5260" s="2"/>
      <c r="M5260" s="2"/>
      <c r="N5260" s="2"/>
      <c r="O5260" s="2"/>
      <c r="P5260" s="2"/>
      <c r="Q5260" s="2"/>
      <c r="R5260" s="2"/>
      <c r="S5260" s="2"/>
      <c r="T5260" s="2"/>
      <c r="U5260" s="2"/>
      <c r="V5260" s="2"/>
      <c r="W5260" s="2"/>
    </row>
    <row r="5261" spans="1:23" x14ac:dyDescent="0.25">
      <c r="A5261" s="2"/>
      <c r="B5261" s="2"/>
      <c r="C5261" s="1"/>
      <c r="D5261" s="2"/>
      <c r="E5261" s="2"/>
      <c r="F5261" s="2"/>
      <c r="G5261" s="2"/>
      <c r="H5261" s="2"/>
      <c r="I5261" s="2"/>
      <c r="J5261" s="2"/>
      <c r="K5261" s="2"/>
      <c r="L5261" s="2"/>
      <c r="M5261" s="2"/>
      <c r="N5261" s="2"/>
      <c r="O5261" s="2"/>
      <c r="P5261" s="2"/>
      <c r="Q5261" s="2"/>
      <c r="R5261" s="2"/>
      <c r="S5261" s="2"/>
      <c r="T5261" s="2"/>
      <c r="U5261" s="2"/>
      <c r="V5261" s="2"/>
      <c r="W5261" s="2"/>
    </row>
    <row r="5262" spans="1:23" x14ac:dyDescent="0.25">
      <c r="A5262" s="2"/>
      <c r="B5262" s="2"/>
      <c r="C5262" s="1"/>
      <c r="D5262" s="2"/>
      <c r="E5262" s="2"/>
      <c r="F5262" s="2"/>
      <c r="G5262" s="2"/>
      <c r="H5262" s="2"/>
      <c r="I5262" s="2"/>
      <c r="J5262" s="2"/>
      <c r="K5262" s="2"/>
      <c r="L5262" s="2"/>
      <c r="M5262" s="2"/>
      <c r="N5262" s="2"/>
      <c r="O5262" s="2"/>
      <c r="P5262" s="2"/>
      <c r="Q5262" s="2"/>
      <c r="R5262" s="2"/>
      <c r="S5262" s="2"/>
      <c r="T5262" s="2"/>
      <c r="U5262" s="2"/>
      <c r="V5262" s="2"/>
      <c r="W5262" s="2"/>
    </row>
    <row r="5263" spans="1:23" x14ac:dyDescent="0.25">
      <c r="A5263" s="2"/>
      <c r="B5263" s="2"/>
      <c r="C5263" s="1"/>
      <c r="D5263" s="2"/>
      <c r="E5263" s="2"/>
      <c r="F5263" s="2"/>
      <c r="G5263" s="2"/>
      <c r="H5263" s="2"/>
      <c r="I5263" s="2"/>
      <c r="J5263" s="2"/>
      <c r="K5263" s="2"/>
      <c r="L5263" s="2"/>
      <c r="M5263" s="2"/>
      <c r="N5263" s="2"/>
      <c r="O5263" s="2"/>
      <c r="P5263" s="2"/>
      <c r="Q5263" s="2"/>
      <c r="R5263" s="2"/>
      <c r="S5263" s="2"/>
      <c r="T5263" s="2"/>
      <c r="U5263" s="2"/>
      <c r="V5263" s="2"/>
      <c r="W5263" s="2"/>
    </row>
    <row r="5264" spans="1:23" x14ac:dyDescent="0.25">
      <c r="A5264" s="2"/>
      <c r="B5264" s="2"/>
      <c r="C5264" s="1"/>
      <c r="D5264" s="2"/>
      <c r="E5264" s="2"/>
      <c r="F5264" s="2"/>
      <c r="G5264" s="2"/>
      <c r="H5264" s="2"/>
      <c r="I5264" s="2"/>
      <c r="J5264" s="2"/>
      <c r="K5264" s="2"/>
      <c r="L5264" s="2"/>
      <c r="M5264" s="2"/>
      <c r="N5264" s="2"/>
      <c r="O5264" s="2"/>
      <c r="P5264" s="2"/>
      <c r="Q5264" s="2"/>
      <c r="R5264" s="2"/>
      <c r="S5264" s="2"/>
      <c r="T5264" s="2"/>
      <c r="U5264" s="2"/>
      <c r="V5264" s="2"/>
      <c r="W5264" s="2"/>
    </row>
    <row r="5265" spans="1:23" x14ac:dyDescent="0.25">
      <c r="A5265" s="2"/>
      <c r="B5265" s="2"/>
      <c r="C5265" s="1"/>
      <c r="D5265" s="2"/>
      <c r="E5265" s="2"/>
      <c r="F5265" s="2"/>
      <c r="G5265" s="2"/>
      <c r="H5265" s="2"/>
      <c r="I5265" s="2"/>
      <c r="J5265" s="2"/>
      <c r="K5265" s="2"/>
      <c r="L5265" s="2"/>
      <c r="M5265" s="2"/>
      <c r="N5265" s="2"/>
      <c r="O5265" s="2"/>
      <c r="P5265" s="2"/>
      <c r="Q5265" s="2"/>
      <c r="R5265" s="2"/>
      <c r="S5265" s="2"/>
      <c r="T5265" s="2"/>
      <c r="U5265" s="2"/>
      <c r="V5265" s="2"/>
      <c r="W5265" s="2"/>
    </row>
    <row r="5266" spans="1:23" x14ac:dyDescent="0.25">
      <c r="A5266" s="2"/>
      <c r="B5266" s="2"/>
      <c r="C5266" s="1"/>
      <c r="D5266" s="2"/>
      <c r="E5266" s="2"/>
      <c r="F5266" s="2"/>
      <c r="G5266" s="2"/>
      <c r="H5266" s="2"/>
      <c r="I5266" s="2"/>
      <c r="J5266" s="2"/>
      <c r="K5266" s="2"/>
      <c r="L5266" s="2"/>
      <c r="M5266" s="2"/>
      <c r="N5266" s="2"/>
      <c r="O5266" s="2"/>
      <c r="P5266" s="2"/>
      <c r="Q5266" s="2"/>
      <c r="R5266" s="2"/>
      <c r="S5266" s="2"/>
      <c r="T5266" s="2"/>
      <c r="U5266" s="2"/>
      <c r="V5266" s="2"/>
      <c r="W5266" s="2"/>
    </row>
    <row r="5267" spans="1:23" x14ac:dyDescent="0.25">
      <c r="A5267" s="2"/>
      <c r="B5267" s="2"/>
      <c r="C5267" s="1"/>
      <c r="D5267" s="2"/>
      <c r="E5267" s="2"/>
      <c r="F5267" s="2"/>
      <c r="G5267" s="2"/>
      <c r="H5267" s="2"/>
      <c r="I5267" s="2"/>
      <c r="J5267" s="2"/>
      <c r="K5267" s="2"/>
      <c r="L5267" s="2"/>
      <c r="M5267" s="2"/>
      <c r="N5267" s="2"/>
      <c r="O5267" s="2"/>
      <c r="P5267" s="2"/>
      <c r="Q5267" s="2"/>
      <c r="R5267" s="2"/>
      <c r="S5267" s="2"/>
      <c r="T5267" s="2"/>
      <c r="U5267" s="2"/>
      <c r="V5267" s="2"/>
      <c r="W5267" s="2"/>
    </row>
    <row r="5268" spans="1:23" x14ac:dyDescent="0.25">
      <c r="A5268" s="2"/>
      <c r="B5268" s="2"/>
      <c r="C5268" s="1"/>
      <c r="D5268" s="2"/>
      <c r="E5268" s="2"/>
      <c r="F5268" s="2"/>
      <c r="G5268" s="2"/>
      <c r="H5268" s="2"/>
      <c r="I5268" s="2"/>
      <c r="J5268" s="2"/>
      <c r="K5268" s="2"/>
      <c r="L5268" s="2"/>
      <c r="M5268" s="2"/>
      <c r="N5268" s="2"/>
      <c r="O5268" s="2"/>
      <c r="P5268" s="2"/>
      <c r="Q5268" s="2"/>
      <c r="R5268" s="2"/>
      <c r="S5268" s="2"/>
      <c r="T5268" s="2"/>
      <c r="U5268" s="2"/>
      <c r="V5268" s="2"/>
      <c r="W5268" s="2"/>
    </row>
    <row r="5269" spans="1:23" x14ac:dyDescent="0.25">
      <c r="A5269" s="2"/>
      <c r="B5269" s="2"/>
      <c r="C5269" s="1"/>
      <c r="D5269" s="2"/>
      <c r="E5269" s="2"/>
      <c r="F5269" s="2"/>
      <c r="G5269" s="2"/>
      <c r="H5269" s="2"/>
      <c r="I5269" s="2"/>
      <c r="J5269" s="2"/>
      <c r="K5269" s="2"/>
      <c r="L5269" s="2"/>
      <c r="M5269" s="2"/>
      <c r="N5269" s="2"/>
      <c r="O5269" s="2"/>
      <c r="P5269" s="2"/>
      <c r="Q5269" s="2"/>
      <c r="R5269" s="2"/>
      <c r="S5269" s="2"/>
      <c r="T5269" s="2"/>
      <c r="U5269" s="2"/>
      <c r="V5269" s="2"/>
      <c r="W5269" s="2"/>
    </row>
    <row r="5270" spans="1:23" x14ac:dyDescent="0.25">
      <c r="A5270" s="2"/>
      <c r="B5270" s="2"/>
      <c r="C5270" s="1"/>
      <c r="D5270" s="2"/>
      <c r="E5270" s="2"/>
      <c r="F5270" s="2"/>
      <c r="G5270" s="2"/>
      <c r="H5270" s="2"/>
      <c r="I5270" s="2"/>
      <c r="J5270" s="2"/>
      <c r="K5270" s="2"/>
      <c r="L5270" s="2"/>
      <c r="M5270" s="2"/>
      <c r="N5270" s="2"/>
      <c r="O5270" s="2"/>
      <c r="P5270" s="2"/>
      <c r="Q5270" s="2"/>
      <c r="R5270" s="2"/>
      <c r="S5270" s="2"/>
      <c r="T5270" s="2"/>
      <c r="U5270" s="2"/>
      <c r="V5270" s="2"/>
      <c r="W5270" s="2"/>
    </row>
    <row r="5271" spans="1:23" x14ac:dyDescent="0.25">
      <c r="A5271" s="2"/>
      <c r="B5271" s="2"/>
      <c r="C5271" s="1"/>
      <c r="D5271" s="2"/>
      <c r="E5271" s="2"/>
      <c r="F5271" s="2"/>
      <c r="G5271" s="2"/>
      <c r="H5271" s="2"/>
      <c r="I5271" s="2"/>
      <c r="J5271" s="2"/>
      <c r="K5271" s="2"/>
      <c r="L5271" s="2"/>
      <c r="M5271" s="2"/>
      <c r="N5271" s="2"/>
      <c r="O5271" s="2"/>
      <c r="P5271" s="2"/>
      <c r="Q5271" s="2"/>
      <c r="R5271" s="2"/>
      <c r="S5271" s="2"/>
      <c r="T5271" s="2"/>
      <c r="U5271" s="2"/>
      <c r="V5271" s="2"/>
      <c r="W5271" s="2"/>
    </row>
    <row r="5272" spans="1:23" x14ac:dyDescent="0.25">
      <c r="A5272" s="2"/>
      <c r="B5272" s="2"/>
      <c r="C5272" s="1"/>
      <c r="D5272" s="2"/>
      <c r="E5272" s="2"/>
      <c r="F5272" s="2"/>
      <c r="G5272" s="2"/>
      <c r="H5272" s="2"/>
      <c r="I5272" s="2"/>
      <c r="J5272" s="2"/>
      <c r="K5272" s="2"/>
      <c r="L5272" s="2"/>
      <c r="M5272" s="2"/>
      <c r="N5272" s="2"/>
      <c r="O5272" s="2"/>
      <c r="P5272" s="2"/>
      <c r="Q5272" s="2"/>
      <c r="R5272" s="2"/>
      <c r="S5272" s="2"/>
      <c r="T5272" s="2"/>
      <c r="U5272" s="2"/>
      <c r="V5272" s="2"/>
      <c r="W5272" s="2"/>
    </row>
    <row r="5273" spans="1:23" x14ac:dyDescent="0.25">
      <c r="A5273" s="2"/>
      <c r="B5273" s="2"/>
      <c r="C5273" s="1"/>
      <c r="D5273" s="2"/>
      <c r="E5273" s="2"/>
      <c r="F5273" s="2"/>
      <c r="G5273" s="2"/>
      <c r="H5273" s="2"/>
      <c r="I5273" s="2"/>
      <c r="J5273" s="2"/>
      <c r="K5273" s="2"/>
      <c r="L5273" s="2"/>
      <c r="M5273" s="2"/>
      <c r="N5273" s="2"/>
      <c r="O5273" s="2"/>
      <c r="P5273" s="2"/>
      <c r="Q5273" s="2"/>
      <c r="R5273" s="2"/>
      <c r="S5273" s="2"/>
      <c r="T5273" s="2"/>
      <c r="U5273" s="2"/>
      <c r="V5273" s="2"/>
      <c r="W5273" s="2"/>
    </row>
    <row r="5274" spans="1:23" x14ac:dyDescent="0.25">
      <c r="A5274" s="2"/>
      <c r="B5274" s="2"/>
      <c r="C5274" s="1"/>
      <c r="D5274" s="2"/>
      <c r="E5274" s="2"/>
      <c r="F5274" s="2"/>
      <c r="G5274" s="2"/>
      <c r="H5274" s="2"/>
      <c r="I5274" s="2"/>
      <c r="J5274" s="2"/>
      <c r="K5274" s="2"/>
      <c r="L5274" s="2"/>
      <c r="M5274" s="2"/>
      <c r="N5274" s="2"/>
      <c r="O5274" s="2"/>
      <c r="P5274" s="2"/>
      <c r="Q5274" s="2"/>
      <c r="R5274" s="2"/>
      <c r="S5274" s="2"/>
      <c r="T5274" s="2"/>
      <c r="U5274" s="2"/>
      <c r="V5274" s="2"/>
      <c r="W5274" s="2"/>
    </row>
    <row r="5275" spans="1:23" x14ac:dyDescent="0.25">
      <c r="A5275" s="2"/>
      <c r="B5275" s="2"/>
      <c r="C5275" s="1"/>
      <c r="D5275" s="2"/>
      <c r="E5275" s="2"/>
      <c r="F5275" s="2"/>
      <c r="G5275" s="2"/>
      <c r="H5275" s="2"/>
      <c r="I5275" s="2"/>
      <c r="J5275" s="2"/>
      <c r="K5275" s="2"/>
      <c r="L5275" s="2"/>
      <c r="M5275" s="2"/>
      <c r="N5275" s="2"/>
      <c r="O5275" s="2"/>
      <c r="P5275" s="2"/>
      <c r="Q5275" s="2"/>
      <c r="R5275" s="2"/>
      <c r="S5275" s="2"/>
      <c r="T5275" s="2"/>
      <c r="U5275" s="2"/>
      <c r="V5275" s="2"/>
      <c r="W5275" s="2"/>
    </row>
    <row r="5276" spans="1:23" x14ac:dyDescent="0.25">
      <c r="A5276" s="2"/>
      <c r="B5276" s="2"/>
      <c r="C5276" s="1"/>
      <c r="D5276" s="2"/>
      <c r="E5276" s="2"/>
      <c r="F5276" s="2"/>
      <c r="G5276" s="2"/>
      <c r="H5276" s="2"/>
      <c r="I5276" s="2"/>
      <c r="J5276" s="2"/>
      <c r="K5276" s="2"/>
      <c r="L5276" s="2"/>
      <c r="M5276" s="2"/>
      <c r="N5276" s="2"/>
      <c r="O5276" s="2"/>
      <c r="P5276" s="2"/>
      <c r="Q5276" s="2"/>
      <c r="R5276" s="2"/>
      <c r="S5276" s="2"/>
      <c r="T5276" s="2"/>
      <c r="U5276" s="2"/>
      <c r="V5276" s="2"/>
      <c r="W5276" s="2"/>
    </row>
    <row r="5277" spans="1:23" x14ac:dyDescent="0.25">
      <c r="A5277" s="2"/>
      <c r="B5277" s="2"/>
      <c r="C5277" s="1"/>
      <c r="D5277" s="2"/>
      <c r="E5277" s="2"/>
      <c r="F5277" s="2"/>
      <c r="G5277" s="2"/>
      <c r="H5277" s="2"/>
      <c r="I5277" s="2"/>
      <c r="J5277" s="2"/>
      <c r="K5277" s="2"/>
      <c r="L5277" s="2"/>
      <c r="M5277" s="2"/>
      <c r="N5277" s="2"/>
      <c r="O5277" s="2"/>
      <c r="P5277" s="2"/>
      <c r="Q5277" s="2"/>
      <c r="R5277" s="2"/>
      <c r="S5277" s="2"/>
      <c r="T5277" s="2"/>
      <c r="U5277" s="2"/>
      <c r="V5277" s="2"/>
      <c r="W5277" s="2"/>
    </row>
    <row r="5278" spans="1:23" x14ac:dyDescent="0.25">
      <c r="A5278" s="2"/>
      <c r="B5278" s="2"/>
      <c r="C5278" s="1"/>
      <c r="D5278" s="2"/>
      <c r="E5278" s="2"/>
      <c r="F5278" s="2"/>
      <c r="G5278" s="2"/>
      <c r="H5278" s="2"/>
      <c r="I5278" s="2"/>
      <c r="J5278" s="2"/>
      <c r="K5278" s="2"/>
      <c r="L5278" s="2"/>
      <c r="M5278" s="2"/>
      <c r="N5278" s="2"/>
      <c r="O5278" s="2"/>
      <c r="P5278" s="2"/>
      <c r="Q5278" s="2"/>
      <c r="R5278" s="2"/>
      <c r="S5278" s="2"/>
      <c r="T5278" s="2"/>
      <c r="U5278" s="2"/>
      <c r="V5278" s="2"/>
      <c r="W5278" s="2"/>
    </row>
    <row r="5279" spans="1:23" x14ac:dyDescent="0.25">
      <c r="A5279" s="2"/>
      <c r="B5279" s="2"/>
      <c r="C5279" s="1"/>
      <c r="D5279" s="2"/>
      <c r="E5279" s="2"/>
      <c r="F5279" s="2"/>
      <c r="G5279" s="2"/>
      <c r="H5279" s="2"/>
      <c r="I5279" s="2"/>
      <c r="J5279" s="2"/>
      <c r="K5279" s="2"/>
      <c r="L5279" s="2"/>
      <c r="M5279" s="2"/>
      <c r="N5279" s="2"/>
      <c r="O5279" s="2"/>
      <c r="P5279" s="2"/>
      <c r="Q5279" s="2"/>
      <c r="R5279" s="2"/>
      <c r="S5279" s="2"/>
      <c r="T5279" s="2"/>
      <c r="U5279" s="2"/>
      <c r="V5279" s="2"/>
      <c r="W5279" s="2"/>
    </row>
    <row r="5280" spans="1:23" x14ac:dyDescent="0.25">
      <c r="A5280" s="2"/>
      <c r="B5280" s="2"/>
      <c r="C5280" s="1"/>
      <c r="D5280" s="2"/>
      <c r="E5280" s="2"/>
      <c r="F5280" s="2"/>
      <c r="G5280" s="2"/>
      <c r="H5280" s="2"/>
      <c r="I5280" s="2"/>
      <c r="J5280" s="2"/>
      <c r="K5280" s="2"/>
      <c r="L5280" s="2"/>
      <c r="M5280" s="2"/>
      <c r="N5280" s="2"/>
      <c r="O5280" s="2"/>
      <c r="P5280" s="2"/>
      <c r="Q5280" s="2"/>
      <c r="R5280" s="2"/>
      <c r="S5280" s="2"/>
      <c r="T5280" s="2"/>
      <c r="U5280" s="2"/>
      <c r="V5280" s="2"/>
      <c r="W5280" s="2"/>
    </row>
    <row r="5281" spans="1:23" x14ac:dyDescent="0.25">
      <c r="A5281" s="2"/>
      <c r="B5281" s="2"/>
      <c r="C5281" s="1"/>
      <c r="D5281" s="2"/>
      <c r="E5281" s="2"/>
      <c r="F5281" s="2"/>
      <c r="G5281" s="2"/>
      <c r="H5281" s="2"/>
      <c r="I5281" s="2"/>
      <c r="J5281" s="2"/>
      <c r="K5281" s="2"/>
      <c r="L5281" s="2"/>
      <c r="M5281" s="2"/>
      <c r="N5281" s="2"/>
      <c r="O5281" s="2"/>
      <c r="P5281" s="2"/>
      <c r="Q5281" s="2"/>
      <c r="R5281" s="2"/>
      <c r="S5281" s="2"/>
      <c r="T5281" s="2"/>
      <c r="U5281" s="2"/>
      <c r="V5281" s="2"/>
      <c r="W5281" s="2"/>
    </row>
    <row r="5282" spans="1:23" x14ac:dyDescent="0.25">
      <c r="A5282" s="2"/>
      <c r="B5282" s="2"/>
      <c r="C5282" s="1"/>
      <c r="D5282" s="2"/>
      <c r="E5282" s="2"/>
      <c r="F5282" s="2"/>
      <c r="G5282" s="2"/>
      <c r="H5282" s="2"/>
      <c r="I5282" s="2"/>
      <c r="J5282" s="2"/>
      <c r="K5282" s="2"/>
      <c r="L5282" s="2"/>
      <c r="M5282" s="2"/>
      <c r="N5282" s="2"/>
      <c r="O5282" s="2"/>
      <c r="P5282" s="2"/>
      <c r="Q5282" s="2"/>
      <c r="R5282" s="2"/>
      <c r="S5282" s="2"/>
      <c r="T5282" s="2"/>
      <c r="U5282" s="2"/>
      <c r="V5282" s="2"/>
      <c r="W5282" s="2"/>
    </row>
    <row r="5283" spans="1:23" x14ac:dyDescent="0.25">
      <c r="A5283" s="2"/>
      <c r="B5283" s="2"/>
      <c r="C5283" s="1"/>
      <c r="D5283" s="2"/>
      <c r="E5283" s="2"/>
      <c r="F5283" s="2"/>
      <c r="G5283" s="2"/>
      <c r="H5283" s="2"/>
      <c r="I5283" s="2"/>
      <c r="J5283" s="2"/>
      <c r="K5283" s="2"/>
      <c r="L5283" s="2"/>
      <c r="M5283" s="2"/>
      <c r="N5283" s="2"/>
      <c r="O5283" s="2"/>
      <c r="P5283" s="2"/>
      <c r="Q5283" s="2"/>
      <c r="R5283" s="2"/>
      <c r="S5283" s="2"/>
      <c r="T5283" s="2"/>
      <c r="U5283" s="2"/>
      <c r="V5283" s="2"/>
      <c r="W5283" s="2"/>
    </row>
    <row r="5284" spans="1:23" x14ac:dyDescent="0.25">
      <c r="A5284" s="2"/>
      <c r="B5284" s="2"/>
      <c r="C5284" s="1"/>
      <c r="D5284" s="2"/>
      <c r="E5284" s="2"/>
      <c r="F5284" s="2"/>
      <c r="G5284" s="2"/>
      <c r="H5284" s="2"/>
      <c r="I5284" s="2"/>
      <c r="J5284" s="2"/>
      <c r="K5284" s="2"/>
      <c r="L5284" s="2"/>
      <c r="M5284" s="2"/>
      <c r="N5284" s="2"/>
      <c r="O5284" s="2"/>
      <c r="P5284" s="2"/>
      <c r="Q5284" s="2"/>
      <c r="R5284" s="2"/>
      <c r="S5284" s="2"/>
      <c r="T5284" s="2"/>
      <c r="U5284" s="2"/>
      <c r="V5284" s="2"/>
      <c r="W5284" s="2"/>
    </row>
    <row r="5285" spans="1:23" x14ac:dyDescent="0.25">
      <c r="A5285" s="2"/>
      <c r="B5285" s="2"/>
      <c r="C5285" s="1"/>
      <c r="D5285" s="2"/>
      <c r="E5285" s="2"/>
      <c r="F5285" s="2"/>
      <c r="G5285" s="2"/>
      <c r="H5285" s="2"/>
      <c r="I5285" s="2"/>
      <c r="J5285" s="2"/>
      <c r="K5285" s="2"/>
      <c r="L5285" s="2"/>
      <c r="M5285" s="2"/>
      <c r="N5285" s="2"/>
      <c r="O5285" s="2"/>
      <c r="P5285" s="2"/>
      <c r="Q5285" s="2"/>
      <c r="R5285" s="2"/>
      <c r="S5285" s="2"/>
      <c r="T5285" s="2"/>
      <c r="U5285" s="2"/>
      <c r="V5285" s="2"/>
      <c r="W5285" s="2"/>
    </row>
    <row r="5286" spans="1:23" x14ac:dyDescent="0.25">
      <c r="A5286" s="2"/>
      <c r="B5286" s="2"/>
      <c r="C5286" s="1"/>
      <c r="D5286" s="2"/>
      <c r="E5286" s="2"/>
      <c r="F5286" s="2"/>
      <c r="G5286" s="2"/>
      <c r="H5286" s="2"/>
      <c r="I5286" s="2"/>
      <c r="J5286" s="2"/>
      <c r="K5286" s="2"/>
      <c r="L5286" s="2"/>
      <c r="M5286" s="2"/>
      <c r="N5286" s="2"/>
      <c r="O5286" s="2"/>
      <c r="P5286" s="2"/>
      <c r="Q5286" s="2"/>
      <c r="R5286" s="2"/>
      <c r="S5286" s="2"/>
      <c r="T5286" s="2"/>
      <c r="U5286" s="2"/>
      <c r="V5286" s="2"/>
      <c r="W5286" s="2"/>
    </row>
    <row r="5287" spans="1:23" x14ac:dyDescent="0.25">
      <c r="A5287" s="2"/>
      <c r="B5287" s="2"/>
      <c r="C5287" s="1"/>
      <c r="D5287" s="2"/>
      <c r="E5287" s="2"/>
      <c r="F5287" s="2"/>
      <c r="G5287" s="2"/>
      <c r="H5287" s="2"/>
      <c r="I5287" s="2"/>
      <c r="J5287" s="2"/>
      <c r="K5287" s="2"/>
      <c r="L5287" s="2"/>
      <c r="M5287" s="2"/>
      <c r="N5287" s="2"/>
      <c r="O5287" s="2"/>
      <c r="P5287" s="2"/>
      <c r="Q5287" s="2"/>
      <c r="R5287" s="2"/>
      <c r="S5287" s="2"/>
      <c r="T5287" s="2"/>
      <c r="U5287" s="2"/>
      <c r="V5287" s="2"/>
      <c r="W5287" s="2"/>
    </row>
    <row r="5288" spans="1:23" x14ac:dyDescent="0.25">
      <c r="A5288" s="2"/>
      <c r="B5288" s="2"/>
      <c r="C5288" s="1"/>
      <c r="D5288" s="2"/>
      <c r="E5288" s="2"/>
      <c r="F5288" s="2"/>
      <c r="G5288" s="2"/>
      <c r="H5288" s="2"/>
      <c r="I5288" s="2"/>
      <c r="J5288" s="2"/>
      <c r="K5288" s="2"/>
      <c r="L5288" s="2"/>
      <c r="M5288" s="2"/>
      <c r="N5288" s="2"/>
      <c r="O5288" s="2"/>
      <c r="P5288" s="2"/>
      <c r="Q5288" s="2"/>
      <c r="R5288" s="2"/>
      <c r="S5288" s="2"/>
      <c r="T5288" s="2"/>
      <c r="U5288" s="2"/>
      <c r="V5288" s="2"/>
      <c r="W5288" s="2"/>
    </row>
    <row r="5289" spans="1:23" x14ac:dyDescent="0.25">
      <c r="A5289" s="2"/>
      <c r="B5289" s="2"/>
      <c r="C5289" s="1"/>
      <c r="D5289" s="2"/>
      <c r="E5289" s="2"/>
      <c r="F5289" s="2"/>
      <c r="G5289" s="2"/>
      <c r="H5289" s="2"/>
      <c r="I5289" s="2"/>
      <c r="J5289" s="2"/>
      <c r="K5289" s="2"/>
      <c r="L5289" s="2"/>
      <c r="M5289" s="2"/>
      <c r="N5289" s="2"/>
      <c r="O5289" s="2"/>
      <c r="P5289" s="2"/>
      <c r="Q5289" s="2"/>
      <c r="R5289" s="2"/>
      <c r="S5289" s="2"/>
      <c r="T5289" s="2"/>
      <c r="U5289" s="2"/>
      <c r="V5289" s="2"/>
      <c r="W5289" s="2"/>
    </row>
    <row r="5290" spans="1:23" x14ac:dyDescent="0.25">
      <c r="A5290" s="2"/>
      <c r="B5290" s="2"/>
      <c r="C5290" s="1"/>
      <c r="D5290" s="2"/>
      <c r="E5290" s="2"/>
      <c r="F5290" s="2"/>
      <c r="G5290" s="2"/>
      <c r="H5290" s="2"/>
      <c r="I5290" s="2"/>
      <c r="J5290" s="2"/>
      <c r="K5290" s="2"/>
      <c r="L5290" s="2"/>
      <c r="M5290" s="2"/>
      <c r="N5290" s="2"/>
      <c r="O5290" s="2"/>
      <c r="P5290" s="2"/>
      <c r="Q5290" s="2"/>
      <c r="R5290" s="2"/>
      <c r="S5290" s="2"/>
      <c r="T5290" s="2"/>
      <c r="U5290" s="2"/>
      <c r="V5290" s="2"/>
      <c r="W5290" s="2"/>
    </row>
    <row r="5291" spans="1:23" x14ac:dyDescent="0.25">
      <c r="A5291" s="2"/>
      <c r="B5291" s="2"/>
      <c r="C5291" s="1"/>
      <c r="D5291" s="2"/>
      <c r="E5291" s="2"/>
      <c r="F5291" s="2"/>
      <c r="G5291" s="2"/>
      <c r="H5291" s="2"/>
      <c r="I5291" s="2"/>
      <c r="J5291" s="2"/>
      <c r="K5291" s="2"/>
      <c r="L5291" s="2"/>
      <c r="M5291" s="2"/>
      <c r="N5291" s="2"/>
      <c r="O5291" s="2"/>
      <c r="P5291" s="2"/>
      <c r="Q5291" s="2"/>
      <c r="R5291" s="2"/>
      <c r="S5291" s="2"/>
      <c r="T5291" s="2"/>
      <c r="U5291" s="2"/>
      <c r="V5291" s="2"/>
      <c r="W5291" s="2"/>
    </row>
    <row r="5292" spans="1:23" x14ac:dyDescent="0.25">
      <c r="A5292" s="2"/>
      <c r="B5292" s="2"/>
      <c r="C5292" s="1"/>
      <c r="D5292" s="2"/>
      <c r="E5292" s="2"/>
      <c r="F5292" s="2"/>
      <c r="G5292" s="2"/>
      <c r="H5292" s="2"/>
      <c r="I5292" s="2"/>
      <c r="J5292" s="2"/>
      <c r="K5292" s="2"/>
      <c r="L5292" s="2"/>
      <c r="M5292" s="2"/>
      <c r="N5292" s="2"/>
      <c r="O5292" s="2"/>
      <c r="P5292" s="2"/>
      <c r="Q5292" s="2"/>
      <c r="R5292" s="2"/>
      <c r="S5292" s="2"/>
      <c r="T5292" s="2"/>
      <c r="U5292" s="2"/>
      <c r="V5292" s="2"/>
      <c r="W5292" s="2"/>
    </row>
    <row r="5293" spans="1:23" x14ac:dyDescent="0.25">
      <c r="A5293" s="2"/>
      <c r="B5293" s="2"/>
      <c r="C5293" s="1"/>
      <c r="D5293" s="2"/>
      <c r="E5293" s="2"/>
      <c r="F5293" s="2"/>
      <c r="G5293" s="2"/>
      <c r="H5293" s="2"/>
      <c r="I5293" s="2"/>
      <c r="J5293" s="2"/>
      <c r="K5293" s="2"/>
      <c r="L5293" s="2"/>
      <c r="M5293" s="2"/>
      <c r="N5293" s="2"/>
      <c r="O5293" s="2"/>
      <c r="P5293" s="2"/>
      <c r="Q5293" s="2"/>
      <c r="R5293" s="2"/>
      <c r="S5293" s="2"/>
      <c r="T5293" s="2"/>
      <c r="U5293" s="2"/>
      <c r="V5293" s="2"/>
      <c r="W5293" s="2"/>
    </row>
    <row r="5294" spans="1:23" x14ac:dyDescent="0.25">
      <c r="A5294" s="2"/>
      <c r="B5294" s="2"/>
      <c r="C5294" s="1"/>
      <c r="D5294" s="2"/>
      <c r="E5294" s="2"/>
      <c r="F5294" s="2"/>
      <c r="G5294" s="2"/>
      <c r="H5294" s="2"/>
      <c r="I5294" s="2"/>
      <c r="J5294" s="2"/>
      <c r="K5294" s="2"/>
      <c r="L5294" s="2"/>
      <c r="M5294" s="2"/>
      <c r="N5294" s="2"/>
      <c r="O5294" s="2"/>
      <c r="P5294" s="2"/>
      <c r="Q5294" s="2"/>
      <c r="R5294" s="2"/>
      <c r="S5294" s="2"/>
      <c r="T5294" s="2"/>
      <c r="U5294" s="2"/>
      <c r="V5294" s="2"/>
      <c r="W5294" s="2"/>
    </row>
    <row r="5295" spans="1:23" x14ac:dyDescent="0.25">
      <c r="A5295" s="2"/>
      <c r="B5295" s="2"/>
      <c r="C5295" s="1"/>
      <c r="D5295" s="2"/>
      <c r="E5295" s="2"/>
      <c r="F5295" s="2"/>
      <c r="G5295" s="2"/>
      <c r="H5295" s="2"/>
      <c r="I5295" s="2"/>
      <c r="J5295" s="2"/>
      <c r="K5295" s="2"/>
      <c r="L5295" s="2"/>
      <c r="M5295" s="2"/>
      <c r="N5295" s="2"/>
      <c r="O5295" s="2"/>
      <c r="P5295" s="2"/>
      <c r="Q5295" s="2"/>
      <c r="R5295" s="2"/>
      <c r="S5295" s="2"/>
      <c r="T5295" s="2"/>
      <c r="U5295" s="2"/>
      <c r="V5295" s="2"/>
      <c r="W5295" s="2"/>
    </row>
    <row r="5296" spans="1:23" x14ac:dyDescent="0.25">
      <c r="A5296" s="2"/>
      <c r="B5296" s="2"/>
      <c r="C5296" s="1"/>
      <c r="D5296" s="2"/>
      <c r="E5296" s="2"/>
      <c r="F5296" s="2"/>
      <c r="G5296" s="2"/>
      <c r="H5296" s="2"/>
      <c r="I5296" s="2"/>
      <c r="J5296" s="2"/>
      <c r="K5296" s="2"/>
      <c r="L5296" s="2"/>
      <c r="M5296" s="2"/>
      <c r="N5296" s="2"/>
      <c r="O5296" s="2"/>
      <c r="P5296" s="2"/>
      <c r="Q5296" s="2"/>
      <c r="R5296" s="2"/>
      <c r="S5296" s="2"/>
      <c r="T5296" s="2"/>
      <c r="U5296" s="2"/>
      <c r="V5296" s="2"/>
      <c r="W5296" s="2"/>
    </row>
    <row r="5297" spans="1:23" x14ac:dyDescent="0.25">
      <c r="A5297" s="2"/>
      <c r="B5297" s="2"/>
      <c r="C5297" s="1"/>
      <c r="D5297" s="2"/>
      <c r="E5297" s="2"/>
      <c r="F5297" s="2"/>
      <c r="G5297" s="2"/>
      <c r="H5297" s="2"/>
      <c r="I5297" s="2"/>
      <c r="J5297" s="2"/>
      <c r="K5297" s="2"/>
      <c r="L5297" s="2"/>
      <c r="M5297" s="2"/>
      <c r="N5297" s="2"/>
      <c r="O5297" s="2"/>
      <c r="P5297" s="2"/>
      <c r="Q5297" s="2"/>
      <c r="R5297" s="2"/>
      <c r="S5297" s="2"/>
      <c r="T5297" s="2"/>
      <c r="U5297" s="2"/>
      <c r="V5297" s="2"/>
      <c r="W5297" s="2"/>
    </row>
    <row r="5298" spans="1:23" x14ac:dyDescent="0.25">
      <c r="A5298" s="2"/>
      <c r="B5298" s="2"/>
      <c r="C5298" s="1"/>
      <c r="D5298" s="2"/>
      <c r="E5298" s="2"/>
      <c r="F5298" s="2"/>
      <c r="G5298" s="2"/>
      <c r="H5298" s="2"/>
      <c r="I5298" s="2"/>
      <c r="J5298" s="2"/>
      <c r="K5298" s="2"/>
      <c r="L5298" s="2"/>
      <c r="M5298" s="2"/>
      <c r="N5298" s="2"/>
      <c r="O5298" s="2"/>
      <c r="P5298" s="2"/>
      <c r="Q5298" s="2"/>
      <c r="R5298" s="2"/>
      <c r="S5298" s="2"/>
      <c r="T5298" s="2"/>
      <c r="U5298" s="2"/>
      <c r="V5298" s="2"/>
      <c r="W5298" s="2"/>
    </row>
    <row r="5299" spans="1:23" x14ac:dyDescent="0.25">
      <c r="A5299" s="2"/>
      <c r="B5299" s="2"/>
      <c r="C5299" s="1"/>
      <c r="D5299" s="2"/>
      <c r="E5299" s="2"/>
      <c r="F5299" s="2"/>
      <c r="G5299" s="2"/>
      <c r="H5299" s="2"/>
      <c r="I5299" s="2"/>
      <c r="J5299" s="2"/>
      <c r="K5299" s="2"/>
      <c r="L5299" s="2"/>
      <c r="M5299" s="2"/>
      <c r="N5299" s="2"/>
      <c r="O5299" s="2"/>
      <c r="P5299" s="2"/>
      <c r="Q5299" s="2"/>
      <c r="R5299" s="2"/>
      <c r="S5299" s="2"/>
      <c r="T5299" s="2"/>
      <c r="U5299" s="2"/>
      <c r="V5299" s="2"/>
      <c r="W5299" s="2"/>
    </row>
    <row r="5300" spans="1:23" x14ac:dyDescent="0.25">
      <c r="A5300" s="2"/>
      <c r="B5300" s="2"/>
      <c r="C5300" s="1"/>
      <c r="D5300" s="2"/>
      <c r="E5300" s="2"/>
      <c r="F5300" s="2"/>
      <c r="G5300" s="2"/>
      <c r="H5300" s="2"/>
      <c r="I5300" s="2"/>
      <c r="J5300" s="2"/>
      <c r="K5300" s="2"/>
      <c r="L5300" s="2"/>
      <c r="M5300" s="2"/>
      <c r="N5300" s="2"/>
      <c r="O5300" s="2"/>
      <c r="P5300" s="2"/>
      <c r="Q5300" s="2"/>
      <c r="R5300" s="2"/>
      <c r="S5300" s="2"/>
      <c r="T5300" s="2"/>
      <c r="U5300" s="2"/>
      <c r="V5300" s="2"/>
      <c r="W5300" s="2"/>
    </row>
    <row r="5301" spans="1:23" x14ac:dyDescent="0.25">
      <c r="A5301" s="2"/>
      <c r="B5301" s="2"/>
      <c r="C5301" s="1"/>
      <c r="D5301" s="2"/>
      <c r="E5301" s="2"/>
      <c r="F5301" s="2"/>
      <c r="G5301" s="2"/>
      <c r="H5301" s="2"/>
      <c r="I5301" s="2"/>
      <c r="J5301" s="2"/>
      <c r="K5301" s="2"/>
      <c r="L5301" s="2"/>
      <c r="M5301" s="2"/>
      <c r="N5301" s="2"/>
      <c r="O5301" s="2"/>
      <c r="P5301" s="2"/>
      <c r="Q5301" s="2"/>
      <c r="R5301" s="2"/>
      <c r="S5301" s="2"/>
      <c r="T5301" s="2"/>
      <c r="U5301" s="2"/>
      <c r="V5301" s="2"/>
      <c r="W5301" s="2"/>
    </row>
    <row r="5302" spans="1:23" x14ac:dyDescent="0.25">
      <c r="A5302" s="2"/>
      <c r="B5302" s="2"/>
      <c r="C5302" s="1"/>
      <c r="D5302" s="2"/>
      <c r="E5302" s="2"/>
      <c r="F5302" s="2"/>
      <c r="G5302" s="2"/>
      <c r="H5302" s="2"/>
      <c r="I5302" s="2"/>
      <c r="J5302" s="2"/>
      <c r="K5302" s="2"/>
      <c r="L5302" s="2"/>
      <c r="M5302" s="2"/>
      <c r="N5302" s="2"/>
      <c r="O5302" s="2"/>
      <c r="P5302" s="2"/>
      <c r="Q5302" s="2"/>
      <c r="R5302" s="2"/>
      <c r="S5302" s="2"/>
      <c r="T5302" s="2"/>
      <c r="U5302" s="2"/>
      <c r="V5302" s="2"/>
      <c r="W5302" s="2"/>
    </row>
    <row r="5303" spans="1:23" x14ac:dyDescent="0.25">
      <c r="A5303" s="2"/>
      <c r="B5303" s="2"/>
      <c r="C5303" s="1"/>
      <c r="D5303" s="2"/>
      <c r="E5303" s="2"/>
      <c r="F5303" s="2"/>
      <c r="G5303" s="2"/>
      <c r="H5303" s="2"/>
      <c r="I5303" s="2"/>
      <c r="J5303" s="2"/>
      <c r="K5303" s="2"/>
      <c r="L5303" s="2"/>
      <c r="M5303" s="2"/>
      <c r="N5303" s="2"/>
      <c r="O5303" s="2"/>
      <c r="P5303" s="2"/>
      <c r="Q5303" s="2"/>
      <c r="R5303" s="2"/>
      <c r="S5303" s="2"/>
      <c r="T5303" s="2"/>
      <c r="U5303" s="2"/>
      <c r="V5303" s="2"/>
      <c r="W5303" s="2"/>
    </row>
    <row r="5304" spans="1:23" x14ac:dyDescent="0.25">
      <c r="A5304" s="2"/>
      <c r="B5304" s="2"/>
      <c r="C5304" s="1"/>
      <c r="D5304" s="2"/>
      <c r="E5304" s="2"/>
      <c r="F5304" s="2"/>
      <c r="G5304" s="2"/>
      <c r="H5304" s="2"/>
      <c r="I5304" s="2"/>
      <c r="J5304" s="2"/>
      <c r="K5304" s="2"/>
      <c r="L5304" s="2"/>
      <c r="M5304" s="2"/>
      <c r="N5304" s="2"/>
      <c r="O5304" s="2"/>
      <c r="P5304" s="2"/>
      <c r="Q5304" s="2"/>
      <c r="R5304" s="2"/>
      <c r="S5304" s="2"/>
      <c r="T5304" s="2"/>
      <c r="U5304" s="2"/>
      <c r="V5304" s="2"/>
      <c r="W5304" s="2"/>
    </row>
    <row r="5305" spans="1:23" x14ac:dyDescent="0.25">
      <c r="A5305" s="2"/>
      <c r="B5305" s="2"/>
      <c r="C5305" s="1"/>
      <c r="D5305" s="2"/>
      <c r="E5305" s="2"/>
      <c r="F5305" s="2"/>
      <c r="G5305" s="2"/>
      <c r="H5305" s="2"/>
      <c r="I5305" s="2"/>
      <c r="J5305" s="2"/>
      <c r="K5305" s="2"/>
      <c r="L5305" s="2"/>
      <c r="M5305" s="2"/>
      <c r="N5305" s="2"/>
      <c r="O5305" s="2"/>
      <c r="P5305" s="2"/>
      <c r="Q5305" s="2"/>
      <c r="R5305" s="2"/>
      <c r="S5305" s="2"/>
      <c r="T5305" s="2"/>
      <c r="U5305" s="2"/>
      <c r="V5305" s="2"/>
      <c r="W5305" s="2"/>
    </row>
    <row r="5306" spans="1:23" x14ac:dyDescent="0.25">
      <c r="A5306" s="2"/>
      <c r="B5306" s="2"/>
      <c r="C5306" s="1"/>
      <c r="D5306" s="2"/>
      <c r="E5306" s="2"/>
      <c r="F5306" s="2"/>
      <c r="G5306" s="2"/>
      <c r="H5306" s="2"/>
      <c r="I5306" s="2"/>
      <c r="J5306" s="2"/>
      <c r="K5306" s="2"/>
      <c r="L5306" s="2"/>
      <c r="M5306" s="2"/>
      <c r="N5306" s="2"/>
      <c r="O5306" s="2"/>
      <c r="P5306" s="2"/>
      <c r="Q5306" s="2"/>
      <c r="R5306" s="2"/>
      <c r="S5306" s="2"/>
      <c r="T5306" s="2"/>
      <c r="U5306" s="2"/>
      <c r="V5306" s="2"/>
      <c r="W5306" s="2"/>
    </row>
    <row r="5307" spans="1:23" x14ac:dyDescent="0.25">
      <c r="A5307" s="2"/>
      <c r="B5307" s="2"/>
      <c r="C5307" s="1"/>
      <c r="D5307" s="2"/>
      <c r="E5307" s="2"/>
      <c r="F5307" s="2"/>
      <c r="G5307" s="2"/>
      <c r="H5307" s="2"/>
      <c r="I5307" s="2"/>
      <c r="J5307" s="2"/>
      <c r="K5307" s="2"/>
      <c r="L5307" s="2"/>
      <c r="M5307" s="2"/>
      <c r="N5307" s="2"/>
      <c r="O5307" s="2"/>
      <c r="P5307" s="2"/>
      <c r="Q5307" s="2"/>
      <c r="R5307" s="2"/>
      <c r="S5307" s="2"/>
      <c r="T5307" s="2"/>
      <c r="U5307" s="2"/>
      <c r="V5307" s="2"/>
      <c r="W5307" s="2"/>
    </row>
    <row r="5308" spans="1:23" x14ac:dyDescent="0.25">
      <c r="A5308" s="2"/>
      <c r="B5308" s="2"/>
      <c r="C5308" s="1"/>
      <c r="D5308" s="2"/>
      <c r="E5308" s="2"/>
      <c r="F5308" s="2"/>
      <c r="G5308" s="2"/>
      <c r="H5308" s="2"/>
      <c r="I5308" s="2"/>
      <c r="J5308" s="2"/>
      <c r="K5308" s="2"/>
      <c r="L5308" s="2"/>
      <c r="M5308" s="2"/>
      <c r="N5308" s="2"/>
      <c r="O5308" s="2"/>
      <c r="P5308" s="2"/>
      <c r="Q5308" s="2"/>
      <c r="R5308" s="2"/>
      <c r="S5308" s="2"/>
      <c r="T5308" s="2"/>
      <c r="U5308" s="2"/>
      <c r="V5308" s="2"/>
      <c r="W5308" s="2"/>
    </row>
    <row r="5309" spans="1:23" x14ac:dyDescent="0.25">
      <c r="A5309" s="2"/>
      <c r="B5309" s="2"/>
      <c r="C5309" s="1"/>
      <c r="D5309" s="2"/>
      <c r="E5309" s="2"/>
      <c r="F5309" s="2"/>
      <c r="G5309" s="2"/>
      <c r="H5309" s="2"/>
      <c r="I5309" s="2"/>
      <c r="J5309" s="2"/>
      <c r="K5309" s="2"/>
      <c r="L5309" s="2"/>
      <c r="M5309" s="2"/>
      <c r="N5309" s="2"/>
      <c r="O5309" s="2"/>
      <c r="P5309" s="2"/>
      <c r="Q5309" s="2"/>
      <c r="R5309" s="2"/>
      <c r="S5309" s="2"/>
      <c r="T5309" s="2"/>
      <c r="U5309" s="2"/>
      <c r="V5309" s="2"/>
      <c r="W5309" s="2"/>
    </row>
    <row r="5310" spans="1:23" x14ac:dyDescent="0.25">
      <c r="A5310" s="2"/>
      <c r="B5310" s="2"/>
      <c r="C5310" s="1"/>
      <c r="D5310" s="2"/>
      <c r="E5310" s="2"/>
      <c r="F5310" s="2"/>
      <c r="G5310" s="2"/>
      <c r="H5310" s="2"/>
      <c r="I5310" s="2"/>
      <c r="J5310" s="2"/>
      <c r="K5310" s="2"/>
      <c r="L5310" s="2"/>
      <c r="M5310" s="2"/>
      <c r="N5310" s="2"/>
      <c r="O5310" s="2"/>
      <c r="P5310" s="2"/>
      <c r="Q5310" s="2"/>
      <c r="R5310" s="2"/>
      <c r="S5310" s="2"/>
      <c r="T5310" s="2"/>
      <c r="U5310" s="2"/>
      <c r="V5310" s="2"/>
      <c r="W5310" s="2"/>
    </row>
    <row r="5311" spans="1:23" x14ac:dyDescent="0.25">
      <c r="A5311" s="2"/>
      <c r="B5311" s="2"/>
      <c r="C5311" s="1"/>
      <c r="D5311" s="2"/>
      <c r="E5311" s="2"/>
      <c r="F5311" s="2"/>
      <c r="G5311" s="2"/>
      <c r="H5311" s="2"/>
      <c r="I5311" s="2"/>
      <c r="J5311" s="2"/>
      <c r="K5311" s="2"/>
      <c r="L5311" s="2"/>
      <c r="M5311" s="2"/>
      <c r="N5311" s="2"/>
      <c r="O5311" s="2"/>
      <c r="P5311" s="2"/>
      <c r="Q5311" s="2"/>
      <c r="R5311" s="2"/>
      <c r="S5311" s="2"/>
      <c r="T5311" s="2"/>
      <c r="U5311" s="2"/>
      <c r="V5311" s="2"/>
      <c r="W5311" s="2"/>
    </row>
    <row r="5312" spans="1:23" x14ac:dyDescent="0.25">
      <c r="A5312" s="2"/>
      <c r="B5312" s="2"/>
      <c r="C5312" s="1"/>
      <c r="D5312" s="2"/>
      <c r="E5312" s="2"/>
      <c r="F5312" s="2"/>
      <c r="G5312" s="2"/>
      <c r="H5312" s="2"/>
      <c r="I5312" s="2"/>
      <c r="J5312" s="2"/>
      <c r="K5312" s="2"/>
      <c r="L5312" s="2"/>
      <c r="M5312" s="2"/>
      <c r="N5312" s="2"/>
      <c r="O5312" s="2"/>
      <c r="P5312" s="2"/>
      <c r="Q5312" s="2"/>
      <c r="R5312" s="2"/>
      <c r="S5312" s="2"/>
      <c r="T5312" s="2"/>
      <c r="U5312" s="2"/>
      <c r="V5312" s="2"/>
      <c r="W5312" s="2"/>
    </row>
    <row r="5313" spans="1:23" x14ac:dyDescent="0.25">
      <c r="A5313" s="2"/>
      <c r="B5313" s="2"/>
      <c r="C5313" s="1"/>
      <c r="D5313" s="2"/>
      <c r="E5313" s="2"/>
      <c r="F5313" s="2"/>
      <c r="G5313" s="2"/>
      <c r="H5313" s="2"/>
      <c r="I5313" s="2"/>
      <c r="J5313" s="2"/>
      <c r="K5313" s="2"/>
      <c r="L5313" s="2"/>
      <c r="M5313" s="2"/>
      <c r="N5313" s="2"/>
      <c r="O5313" s="2"/>
      <c r="P5313" s="2"/>
      <c r="Q5313" s="2"/>
      <c r="R5313" s="2"/>
      <c r="S5313" s="2"/>
      <c r="T5313" s="2"/>
      <c r="U5313" s="2"/>
      <c r="V5313" s="2"/>
      <c r="W5313" s="2"/>
    </row>
    <row r="5314" spans="1:23" x14ac:dyDescent="0.25">
      <c r="A5314" s="2"/>
      <c r="B5314" s="2"/>
      <c r="C5314" s="1"/>
      <c r="D5314" s="2"/>
      <c r="E5314" s="2"/>
      <c r="F5314" s="2"/>
      <c r="G5314" s="2"/>
      <c r="H5314" s="2"/>
      <c r="I5314" s="2"/>
      <c r="J5314" s="2"/>
      <c r="K5314" s="2"/>
      <c r="L5314" s="2"/>
      <c r="M5314" s="2"/>
      <c r="N5314" s="2"/>
      <c r="O5314" s="2"/>
      <c r="P5314" s="2"/>
      <c r="Q5314" s="2"/>
      <c r="R5314" s="2"/>
      <c r="S5314" s="2"/>
      <c r="T5314" s="2"/>
      <c r="U5314" s="2"/>
      <c r="V5314" s="2"/>
      <c r="W5314" s="2"/>
    </row>
    <row r="5315" spans="1:23" x14ac:dyDescent="0.25">
      <c r="A5315" s="2"/>
      <c r="B5315" s="2"/>
      <c r="C5315" s="1"/>
      <c r="D5315" s="2"/>
      <c r="E5315" s="2"/>
      <c r="F5315" s="2"/>
      <c r="G5315" s="2"/>
      <c r="H5315" s="2"/>
      <c r="I5315" s="2"/>
      <c r="J5315" s="2"/>
      <c r="K5315" s="2"/>
      <c r="L5315" s="2"/>
      <c r="M5315" s="2"/>
      <c r="N5315" s="2"/>
      <c r="O5315" s="2"/>
      <c r="P5315" s="2"/>
      <c r="Q5315" s="2"/>
      <c r="R5315" s="2"/>
      <c r="S5315" s="2"/>
      <c r="T5315" s="2"/>
      <c r="U5315" s="2"/>
      <c r="V5315" s="2"/>
      <c r="W5315" s="2"/>
    </row>
    <row r="5316" spans="1:23" x14ac:dyDescent="0.25">
      <c r="A5316" s="2"/>
      <c r="B5316" s="2"/>
      <c r="C5316" s="1"/>
      <c r="D5316" s="2"/>
      <c r="E5316" s="2"/>
      <c r="F5316" s="2"/>
      <c r="G5316" s="2"/>
      <c r="H5316" s="2"/>
      <c r="I5316" s="2"/>
      <c r="J5316" s="2"/>
      <c r="K5316" s="2"/>
      <c r="L5316" s="2"/>
      <c r="M5316" s="2"/>
      <c r="N5316" s="2"/>
      <c r="O5316" s="2"/>
      <c r="P5316" s="2"/>
      <c r="Q5316" s="2"/>
      <c r="R5316" s="2"/>
      <c r="S5316" s="2"/>
      <c r="T5316" s="2"/>
      <c r="U5316" s="2"/>
      <c r="V5316" s="2"/>
      <c r="W5316" s="2"/>
    </row>
    <row r="5317" spans="1:23" x14ac:dyDescent="0.25">
      <c r="A5317" s="2"/>
      <c r="B5317" s="2"/>
      <c r="C5317" s="1"/>
      <c r="D5317" s="2"/>
      <c r="E5317" s="2"/>
      <c r="F5317" s="2"/>
      <c r="G5317" s="2"/>
      <c r="H5317" s="2"/>
      <c r="I5317" s="2"/>
      <c r="J5317" s="2"/>
      <c r="K5317" s="2"/>
      <c r="L5317" s="2"/>
      <c r="M5317" s="2"/>
      <c r="N5317" s="2"/>
      <c r="O5317" s="2"/>
      <c r="P5317" s="2"/>
      <c r="Q5317" s="2"/>
      <c r="R5317" s="2"/>
      <c r="S5317" s="2"/>
      <c r="T5317" s="2"/>
      <c r="U5317" s="2"/>
      <c r="V5317" s="2"/>
      <c r="W5317" s="2"/>
    </row>
    <row r="5318" spans="1:23" x14ac:dyDescent="0.25">
      <c r="A5318" s="2"/>
      <c r="B5318" s="2"/>
      <c r="C5318" s="1"/>
      <c r="D5318" s="2"/>
      <c r="E5318" s="2"/>
      <c r="F5318" s="2"/>
      <c r="G5318" s="2"/>
      <c r="H5318" s="2"/>
      <c r="I5318" s="2"/>
      <c r="J5318" s="2"/>
      <c r="K5318" s="2"/>
      <c r="L5318" s="2"/>
      <c r="M5318" s="2"/>
      <c r="N5318" s="2"/>
      <c r="O5318" s="2"/>
      <c r="P5318" s="2"/>
      <c r="Q5318" s="2"/>
      <c r="R5318" s="2"/>
      <c r="S5318" s="2"/>
      <c r="T5318" s="2"/>
      <c r="U5318" s="2"/>
      <c r="V5318" s="2"/>
      <c r="W5318" s="2"/>
    </row>
    <row r="5319" spans="1:23" x14ac:dyDescent="0.25">
      <c r="A5319" s="2"/>
      <c r="B5319" s="2"/>
      <c r="C5319" s="1"/>
      <c r="D5319" s="2"/>
      <c r="E5319" s="2"/>
      <c r="F5319" s="2"/>
      <c r="G5319" s="2"/>
      <c r="H5319" s="2"/>
      <c r="I5319" s="2"/>
      <c r="J5319" s="2"/>
      <c r="K5319" s="2"/>
      <c r="L5319" s="2"/>
      <c r="M5319" s="2"/>
      <c r="N5319" s="2"/>
      <c r="O5319" s="2"/>
      <c r="P5319" s="2"/>
      <c r="Q5319" s="2"/>
      <c r="R5319" s="2"/>
      <c r="S5319" s="2"/>
      <c r="T5319" s="2"/>
      <c r="U5319" s="2"/>
      <c r="V5319" s="2"/>
      <c r="W5319" s="2"/>
    </row>
    <row r="5320" spans="1:23" x14ac:dyDescent="0.25">
      <c r="A5320" s="2"/>
      <c r="B5320" s="2"/>
      <c r="C5320" s="1"/>
      <c r="D5320" s="2"/>
      <c r="E5320" s="2"/>
      <c r="F5320" s="2"/>
      <c r="G5320" s="2"/>
      <c r="H5320" s="2"/>
      <c r="I5320" s="2"/>
      <c r="J5320" s="2"/>
      <c r="K5320" s="2"/>
      <c r="L5320" s="2"/>
      <c r="M5320" s="2"/>
      <c r="N5320" s="2"/>
      <c r="O5320" s="2"/>
      <c r="P5320" s="2"/>
      <c r="Q5320" s="2"/>
      <c r="R5320" s="2"/>
      <c r="S5320" s="2"/>
      <c r="T5320" s="2"/>
      <c r="U5320" s="2"/>
      <c r="V5320" s="2"/>
      <c r="W5320" s="2"/>
    </row>
    <row r="5321" spans="1:23" x14ac:dyDescent="0.25">
      <c r="A5321" s="2"/>
      <c r="B5321" s="2"/>
      <c r="C5321" s="1"/>
      <c r="D5321" s="2"/>
      <c r="E5321" s="2"/>
      <c r="F5321" s="2"/>
      <c r="G5321" s="2"/>
      <c r="H5321" s="2"/>
      <c r="I5321" s="2"/>
      <c r="J5321" s="2"/>
      <c r="K5321" s="2"/>
      <c r="L5321" s="2"/>
      <c r="M5321" s="2"/>
      <c r="N5321" s="2"/>
      <c r="O5321" s="2"/>
      <c r="P5321" s="2"/>
      <c r="Q5321" s="2"/>
      <c r="R5321" s="2"/>
      <c r="S5321" s="2"/>
      <c r="T5321" s="2"/>
      <c r="U5321" s="2"/>
      <c r="V5321" s="2"/>
      <c r="W5321" s="2"/>
    </row>
    <row r="5322" spans="1:23" x14ac:dyDescent="0.25">
      <c r="A5322" s="2"/>
      <c r="B5322" s="2"/>
      <c r="C5322" s="1"/>
      <c r="D5322" s="2"/>
      <c r="E5322" s="2"/>
      <c r="F5322" s="2"/>
      <c r="G5322" s="2"/>
      <c r="H5322" s="2"/>
      <c r="I5322" s="2"/>
      <c r="J5322" s="2"/>
      <c r="K5322" s="2"/>
      <c r="L5322" s="2"/>
      <c r="M5322" s="2"/>
      <c r="N5322" s="2"/>
      <c r="O5322" s="2"/>
      <c r="P5322" s="2"/>
      <c r="Q5322" s="2"/>
      <c r="R5322" s="2"/>
      <c r="S5322" s="2"/>
      <c r="T5322" s="2"/>
      <c r="U5322" s="2"/>
      <c r="V5322" s="2"/>
      <c r="W5322" s="2"/>
    </row>
    <row r="5323" spans="1:23" x14ac:dyDescent="0.25">
      <c r="A5323" s="2"/>
      <c r="B5323" s="2"/>
      <c r="C5323" s="1"/>
      <c r="D5323" s="2"/>
      <c r="E5323" s="2"/>
      <c r="F5323" s="2"/>
      <c r="G5323" s="2"/>
      <c r="H5323" s="2"/>
      <c r="I5323" s="2"/>
      <c r="J5323" s="2"/>
      <c r="K5323" s="2"/>
      <c r="L5323" s="2"/>
      <c r="M5323" s="2"/>
      <c r="N5323" s="2"/>
      <c r="O5323" s="2"/>
      <c r="P5323" s="2"/>
      <c r="Q5323" s="2"/>
      <c r="R5323" s="2"/>
      <c r="S5323" s="2"/>
      <c r="T5323" s="2"/>
      <c r="U5323" s="2"/>
      <c r="V5323" s="2"/>
      <c r="W5323" s="2"/>
    </row>
    <row r="5324" spans="1:23" x14ac:dyDescent="0.25">
      <c r="A5324" s="2"/>
      <c r="B5324" s="2"/>
      <c r="C5324" s="1"/>
      <c r="D5324" s="2"/>
      <c r="E5324" s="2"/>
      <c r="F5324" s="2"/>
      <c r="G5324" s="2"/>
      <c r="H5324" s="2"/>
      <c r="I5324" s="2"/>
      <c r="J5324" s="2"/>
      <c r="K5324" s="2"/>
      <c r="L5324" s="2"/>
      <c r="M5324" s="2"/>
      <c r="N5324" s="2"/>
      <c r="O5324" s="2"/>
      <c r="P5324" s="2"/>
      <c r="Q5324" s="2"/>
      <c r="R5324" s="2"/>
      <c r="S5324" s="2"/>
      <c r="T5324" s="2"/>
      <c r="U5324" s="2"/>
      <c r="V5324" s="2"/>
      <c r="W5324" s="2"/>
    </row>
    <row r="5325" spans="1:23" x14ac:dyDescent="0.25">
      <c r="A5325" s="2"/>
      <c r="B5325" s="2"/>
      <c r="C5325" s="1"/>
      <c r="D5325" s="2"/>
      <c r="E5325" s="2"/>
      <c r="F5325" s="2"/>
      <c r="G5325" s="2"/>
      <c r="H5325" s="2"/>
      <c r="I5325" s="2"/>
      <c r="J5325" s="2"/>
      <c r="K5325" s="2"/>
      <c r="L5325" s="2"/>
      <c r="M5325" s="2"/>
      <c r="N5325" s="2"/>
      <c r="O5325" s="2"/>
      <c r="P5325" s="2"/>
      <c r="Q5325" s="2"/>
      <c r="R5325" s="2"/>
      <c r="S5325" s="2"/>
      <c r="T5325" s="2"/>
      <c r="U5325" s="2"/>
      <c r="V5325" s="2"/>
      <c r="W5325" s="2"/>
    </row>
    <row r="5326" spans="1:23" x14ac:dyDescent="0.25">
      <c r="A5326" s="2"/>
      <c r="B5326" s="2"/>
      <c r="C5326" s="1"/>
      <c r="D5326" s="2"/>
      <c r="E5326" s="2"/>
      <c r="F5326" s="2"/>
      <c r="G5326" s="2"/>
      <c r="H5326" s="2"/>
      <c r="I5326" s="2"/>
      <c r="J5326" s="2"/>
      <c r="K5326" s="2"/>
      <c r="L5326" s="2"/>
      <c r="M5326" s="2"/>
      <c r="N5326" s="2"/>
      <c r="O5326" s="2"/>
      <c r="P5326" s="2"/>
      <c r="Q5326" s="2"/>
      <c r="R5326" s="2"/>
      <c r="S5326" s="2"/>
      <c r="T5326" s="2"/>
      <c r="U5326" s="2"/>
      <c r="V5326" s="2"/>
      <c r="W5326" s="2"/>
    </row>
    <row r="5327" spans="1:23" x14ac:dyDescent="0.25">
      <c r="A5327" s="2"/>
      <c r="B5327" s="2"/>
      <c r="C5327" s="1"/>
      <c r="D5327" s="2"/>
      <c r="E5327" s="2"/>
      <c r="F5327" s="2"/>
      <c r="G5327" s="2"/>
      <c r="H5327" s="2"/>
      <c r="I5327" s="2"/>
      <c r="J5327" s="2"/>
      <c r="K5327" s="2"/>
      <c r="L5327" s="2"/>
      <c r="M5327" s="2"/>
      <c r="N5327" s="2"/>
      <c r="O5327" s="2"/>
      <c r="P5327" s="2"/>
      <c r="Q5327" s="2"/>
      <c r="R5327" s="2"/>
      <c r="S5327" s="2"/>
      <c r="T5327" s="2"/>
      <c r="U5327" s="2"/>
      <c r="V5327" s="2"/>
      <c r="W5327" s="2"/>
    </row>
    <row r="5328" spans="1:23" x14ac:dyDescent="0.25">
      <c r="A5328" s="2"/>
      <c r="B5328" s="2"/>
      <c r="C5328" s="1"/>
      <c r="D5328" s="2"/>
      <c r="E5328" s="2"/>
      <c r="F5328" s="2"/>
      <c r="G5328" s="2"/>
      <c r="H5328" s="2"/>
      <c r="I5328" s="2"/>
      <c r="J5328" s="2"/>
      <c r="K5328" s="2"/>
      <c r="L5328" s="2"/>
      <c r="M5328" s="2"/>
      <c r="N5328" s="2"/>
      <c r="O5328" s="2"/>
      <c r="P5328" s="2"/>
      <c r="Q5328" s="2"/>
      <c r="R5328" s="2"/>
      <c r="S5328" s="2"/>
      <c r="T5328" s="2"/>
      <c r="U5328" s="2"/>
      <c r="V5328" s="2"/>
      <c r="W5328" s="2"/>
    </row>
    <row r="5329" spans="1:23" x14ac:dyDescent="0.25">
      <c r="A5329" s="2"/>
      <c r="B5329" s="2"/>
      <c r="C5329" s="1"/>
      <c r="D5329" s="2"/>
      <c r="E5329" s="2"/>
      <c r="F5329" s="2"/>
      <c r="G5329" s="2"/>
      <c r="H5329" s="2"/>
      <c r="I5329" s="2"/>
      <c r="J5329" s="2"/>
      <c r="K5329" s="2"/>
      <c r="L5329" s="2"/>
      <c r="M5329" s="2"/>
      <c r="N5329" s="2"/>
      <c r="O5329" s="2"/>
      <c r="P5329" s="2"/>
      <c r="Q5329" s="2"/>
      <c r="R5329" s="2"/>
      <c r="S5329" s="2"/>
      <c r="T5329" s="2"/>
      <c r="U5329" s="2"/>
      <c r="V5329" s="2"/>
      <c r="W5329" s="2"/>
    </row>
    <row r="5330" spans="1:23" x14ac:dyDescent="0.25">
      <c r="A5330" s="2"/>
      <c r="B5330" s="2"/>
      <c r="C5330" s="1"/>
      <c r="D5330" s="2"/>
      <c r="E5330" s="2"/>
      <c r="F5330" s="2"/>
      <c r="G5330" s="2"/>
      <c r="H5330" s="2"/>
      <c r="I5330" s="2"/>
      <c r="J5330" s="2"/>
      <c r="K5330" s="2"/>
      <c r="L5330" s="2"/>
      <c r="M5330" s="2"/>
      <c r="N5330" s="2"/>
      <c r="O5330" s="2"/>
      <c r="P5330" s="2"/>
      <c r="Q5330" s="2"/>
      <c r="R5330" s="2"/>
      <c r="S5330" s="2"/>
      <c r="T5330" s="2"/>
      <c r="U5330" s="2"/>
      <c r="V5330" s="2"/>
      <c r="W5330" s="2"/>
    </row>
    <row r="5331" spans="1:23" x14ac:dyDescent="0.25">
      <c r="A5331" s="2"/>
      <c r="B5331" s="2"/>
      <c r="C5331" s="1"/>
      <c r="D5331" s="2"/>
      <c r="E5331" s="2"/>
      <c r="F5331" s="2"/>
      <c r="G5331" s="2"/>
      <c r="H5331" s="2"/>
      <c r="I5331" s="2"/>
      <c r="J5331" s="2"/>
      <c r="K5331" s="2"/>
      <c r="L5331" s="2"/>
      <c r="M5331" s="2"/>
      <c r="N5331" s="2"/>
      <c r="O5331" s="2"/>
      <c r="P5331" s="2"/>
      <c r="Q5331" s="2"/>
      <c r="R5331" s="2"/>
      <c r="S5331" s="2"/>
      <c r="T5331" s="2"/>
      <c r="U5331" s="2"/>
      <c r="V5331" s="2"/>
      <c r="W5331" s="2"/>
    </row>
    <row r="5332" spans="1:23" x14ac:dyDescent="0.25">
      <c r="A5332" s="2"/>
      <c r="B5332" s="2"/>
      <c r="C5332" s="1"/>
      <c r="D5332" s="2"/>
      <c r="E5332" s="2"/>
      <c r="F5332" s="2"/>
      <c r="G5332" s="2"/>
      <c r="H5332" s="2"/>
      <c r="I5332" s="2"/>
      <c r="J5332" s="2"/>
      <c r="K5332" s="2"/>
      <c r="L5332" s="2"/>
      <c r="M5332" s="2"/>
      <c r="N5332" s="2"/>
      <c r="O5332" s="2"/>
      <c r="P5332" s="2"/>
      <c r="Q5332" s="2"/>
      <c r="R5332" s="2"/>
      <c r="S5332" s="2"/>
      <c r="T5332" s="2"/>
      <c r="U5332" s="2"/>
      <c r="V5332" s="2"/>
      <c r="W5332" s="2"/>
    </row>
    <row r="5333" spans="1:23" x14ac:dyDescent="0.25">
      <c r="A5333" s="2"/>
      <c r="B5333" s="2"/>
      <c r="C5333" s="1"/>
      <c r="D5333" s="2"/>
      <c r="E5333" s="2"/>
      <c r="F5333" s="2"/>
      <c r="G5333" s="2"/>
      <c r="H5333" s="2"/>
      <c r="I5333" s="2"/>
      <c r="J5333" s="2"/>
      <c r="K5333" s="2"/>
      <c r="L5333" s="2"/>
      <c r="M5333" s="2"/>
      <c r="N5333" s="2"/>
      <c r="O5333" s="2"/>
      <c r="P5333" s="2"/>
      <c r="Q5333" s="2"/>
      <c r="R5333" s="2"/>
      <c r="S5333" s="2"/>
      <c r="T5333" s="2"/>
      <c r="U5333" s="2"/>
      <c r="V5333" s="2"/>
      <c r="W5333" s="2"/>
    </row>
    <row r="5334" spans="1:23" x14ac:dyDescent="0.25">
      <c r="A5334" s="2"/>
      <c r="B5334" s="2"/>
      <c r="C5334" s="1"/>
      <c r="D5334" s="2"/>
      <c r="E5334" s="2"/>
      <c r="F5334" s="2"/>
      <c r="G5334" s="2"/>
      <c r="H5334" s="2"/>
      <c r="I5334" s="2"/>
      <c r="J5334" s="2"/>
      <c r="K5334" s="2"/>
      <c r="L5334" s="2"/>
      <c r="M5334" s="2"/>
      <c r="N5334" s="2"/>
      <c r="O5334" s="2"/>
      <c r="P5334" s="2"/>
      <c r="Q5334" s="2"/>
      <c r="R5334" s="2"/>
      <c r="S5334" s="2"/>
      <c r="T5334" s="2"/>
      <c r="U5334" s="2"/>
      <c r="V5334" s="2"/>
      <c r="W5334" s="2"/>
    </row>
    <row r="5335" spans="1:23" x14ac:dyDescent="0.25">
      <c r="A5335" s="2"/>
      <c r="B5335" s="2"/>
      <c r="C5335" s="1"/>
      <c r="D5335" s="2"/>
      <c r="E5335" s="2"/>
      <c r="F5335" s="2"/>
      <c r="G5335" s="2"/>
      <c r="H5335" s="2"/>
      <c r="I5335" s="2"/>
      <c r="J5335" s="2"/>
      <c r="K5335" s="2"/>
      <c r="L5335" s="2"/>
      <c r="M5335" s="2"/>
      <c r="N5335" s="2"/>
      <c r="O5335" s="2"/>
      <c r="P5335" s="2"/>
      <c r="Q5335" s="2"/>
      <c r="R5335" s="2"/>
      <c r="S5335" s="2"/>
      <c r="T5335" s="2"/>
      <c r="U5335" s="2"/>
      <c r="V5335" s="2"/>
      <c r="W5335" s="2"/>
    </row>
    <row r="5336" spans="1:23" x14ac:dyDescent="0.25">
      <c r="A5336" s="2"/>
      <c r="B5336" s="2"/>
      <c r="C5336" s="1"/>
      <c r="D5336" s="2"/>
      <c r="E5336" s="2"/>
      <c r="F5336" s="2"/>
      <c r="G5336" s="2"/>
      <c r="H5336" s="2"/>
      <c r="I5336" s="2"/>
      <c r="J5336" s="2"/>
      <c r="K5336" s="2"/>
      <c r="L5336" s="2"/>
      <c r="M5336" s="2"/>
      <c r="N5336" s="2"/>
      <c r="O5336" s="2"/>
      <c r="P5336" s="2"/>
      <c r="Q5336" s="2"/>
      <c r="R5336" s="2"/>
      <c r="S5336" s="2"/>
      <c r="T5336" s="2"/>
      <c r="U5336" s="2"/>
      <c r="V5336" s="2"/>
      <c r="W5336" s="2"/>
    </row>
    <row r="5337" spans="1:23" x14ac:dyDescent="0.25">
      <c r="A5337" s="2"/>
      <c r="B5337" s="2"/>
      <c r="C5337" s="1"/>
      <c r="D5337" s="2"/>
      <c r="E5337" s="2"/>
      <c r="F5337" s="2"/>
      <c r="G5337" s="2"/>
      <c r="H5337" s="2"/>
      <c r="I5337" s="2"/>
      <c r="J5337" s="2"/>
      <c r="K5337" s="2"/>
      <c r="L5337" s="2"/>
      <c r="M5337" s="2"/>
      <c r="N5337" s="2"/>
      <c r="O5337" s="2"/>
      <c r="P5337" s="2"/>
      <c r="Q5337" s="2"/>
      <c r="R5337" s="2"/>
      <c r="S5337" s="2"/>
      <c r="T5337" s="2"/>
      <c r="U5337" s="2"/>
      <c r="V5337" s="2"/>
      <c r="W5337" s="2"/>
    </row>
    <row r="5338" spans="1:23" x14ac:dyDescent="0.25">
      <c r="A5338" s="2"/>
      <c r="B5338" s="2"/>
      <c r="C5338" s="1"/>
      <c r="D5338" s="2"/>
      <c r="E5338" s="2"/>
      <c r="F5338" s="2"/>
      <c r="G5338" s="2"/>
      <c r="H5338" s="2"/>
      <c r="I5338" s="2"/>
      <c r="J5338" s="2"/>
      <c r="K5338" s="2"/>
      <c r="L5338" s="2"/>
      <c r="M5338" s="2"/>
      <c r="N5338" s="2"/>
      <c r="O5338" s="2"/>
      <c r="P5338" s="2"/>
      <c r="Q5338" s="2"/>
      <c r="R5338" s="2"/>
      <c r="S5338" s="2"/>
      <c r="T5338" s="2"/>
      <c r="U5338" s="2"/>
      <c r="V5338" s="2"/>
      <c r="W5338" s="2"/>
    </row>
    <row r="5339" spans="1:23" x14ac:dyDescent="0.25">
      <c r="A5339" s="2"/>
      <c r="B5339" s="2"/>
      <c r="C5339" s="1"/>
      <c r="D5339" s="2"/>
      <c r="E5339" s="2"/>
      <c r="F5339" s="2"/>
      <c r="G5339" s="2"/>
      <c r="H5339" s="2"/>
      <c r="I5339" s="2"/>
      <c r="J5339" s="2"/>
      <c r="K5339" s="2"/>
      <c r="L5339" s="2"/>
      <c r="M5339" s="2"/>
      <c r="N5339" s="2"/>
      <c r="O5339" s="2"/>
      <c r="P5339" s="2"/>
      <c r="Q5339" s="2"/>
      <c r="R5339" s="2"/>
      <c r="S5339" s="2"/>
      <c r="T5339" s="2"/>
      <c r="U5339" s="2"/>
      <c r="V5339" s="2"/>
      <c r="W5339" s="2"/>
    </row>
    <row r="5340" spans="1:23" x14ac:dyDescent="0.25">
      <c r="A5340" s="2"/>
      <c r="B5340" s="2"/>
      <c r="C5340" s="1"/>
      <c r="D5340" s="2"/>
      <c r="E5340" s="2"/>
      <c r="F5340" s="2"/>
      <c r="G5340" s="2"/>
      <c r="H5340" s="2"/>
      <c r="I5340" s="2"/>
      <c r="J5340" s="2"/>
      <c r="K5340" s="2"/>
      <c r="L5340" s="2"/>
      <c r="M5340" s="2"/>
      <c r="N5340" s="2"/>
      <c r="O5340" s="2"/>
      <c r="P5340" s="2"/>
      <c r="Q5340" s="2"/>
      <c r="R5340" s="2"/>
      <c r="S5340" s="2"/>
      <c r="T5340" s="2"/>
      <c r="U5340" s="2"/>
      <c r="V5340" s="2"/>
      <c r="W5340" s="2"/>
    </row>
    <row r="5341" spans="1:23" x14ac:dyDescent="0.25">
      <c r="A5341" s="2"/>
      <c r="B5341" s="2"/>
      <c r="C5341" s="1"/>
      <c r="D5341" s="2"/>
      <c r="E5341" s="2"/>
      <c r="F5341" s="2"/>
      <c r="G5341" s="2"/>
      <c r="H5341" s="2"/>
      <c r="I5341" s="2"/>
      <c r="J5341" s="2"/>
      <c r="K5341" s="2"/>
      <c r="L5341" s="2"/>
      <c r="M5341" s="2"/>
      <c r="N5341" s="2"/>
      <c r="O5341" s="2"/>
      <c r="P5341" s="2"/>
      <c r="Q5341" s="2"/>
      <c r="R5341" s="2"/>
      <c r="S5341" s="2"/>
      <c r="T5341" s="2"/>
      <c r="U5341" s="2"/>
      <c r="V5341" s="2"/>
      <c r="W5341" s="2"/>
    </row>
    <row r="5342" spans="1:23" x14ac:dyDescent="0.25">
      <c r="A5342" s="2"/>
      <c r="B5342" s="2"/>
      <c r="C5342" s="1"/>
      <c r="D5342" s="2"/>
      <c r="E5342" s="2"/>
      <c r="F5342" s="2"/>
      <c r="G5342" s="2"/>
      <c r="H5342" s="2"/>
      <c r="I5342" s="2"/>
      <c r="J5342" s="2"/>
      <c r="K5342" s="2"/>
      <c r="L5342" s="2"/>
      <c r="M5342" s="2"/>
      <c r="N5342" s="2"/>
      <c r="O5342" s="2"/>
      <c r="P5342" s="2"/>
      <c r="Q5342" s="2"/>
      <c r="R5342" s="2"/>
      <c r="S5342" s="2"/>
      <c r="T5342" s="2"/>
      <c r="U5342" s="2"/>
      <c r="V5342" s="2"/>
      <c r="W5342" s="2"/>
    </row>
    <row r="5343" spans="1:23" x14ac:dyDescent="0.25">
      <c r="A5343" s="2"/>
      <c r="B5343" s="2"/>
      <c r="C5343" s="1"/>
      <c r="D5343" s="2"/>
      <c r="E5343" s="2"/>
      <c r="F5343" s="2"/>
      <c r="G5343" s="2"/>
      <c r="H5343" s="2"/>
      <c r="I5343" s="2"/>
      <c r="J5343" s="2"/>
      <c r="K5343" s="2"/>
      <c r="L5343" s="2"/>
      <c r="M5343" s="2"/>
      <c r="N5343" s="2"/>
      <c r="O5343" s="2"/>
      <c r="P5343" s="2"/>
      <c r="Q5343" s="2"/>
      <c r="R5343" s="2"/>
      <c r="S5343" s="2"/>
      <c r="T5343" s="2"/>
      <c r="U5343" s="2"/>
      <c r="V5343" s="2"/>
      <c r="W5343" s="2"/>
    </row>
    <row r="5344" spans="1:23" x14ac:dyDescent="0.25">
      <c r="A5344" s="2"/>
      <c r="B5344" s="2"/>
      <c r="C5344" s="1"/>
      <c r="D5344" s="2"/>
      <c r="E5344" s="2"/>
      <c r="F5344" s="2"/>
      <c r="G5344" s="2"/>
      <c r="H5344" s="2"/>
      <c r="I5344" s="2"/>
      <c r="J5344" s="2"/>
      <c r="K5344" s="2"/>
      <c r="L5344" s="2"/>
      <c r="M5344" s="2"/>
      <c r="N5344" s="2"/>
      <c r="O5344" s="2"/>
      <c r="P5344" s="2"/>
      <c r="Q5344" s="2"/>
      <c r="R5344" s="2"/>
      <c r="S5344" s="2"/>
      <c r="T5344" s="2"/>
      <c r="U5344" s="2"/>
      <c r="V5344" s="2"/>
      <c r="W5344" s="2"/>
    </row>
    <row r="5345" spans="1:23" x14ac:dyDescent="0.25">
      <c r="A5345" s="2"/>
      <c r="B5345" s="2"/>
      <c r="C5345" s="1"/>
      <c r="D5345" s="2"/>
      <c r="E5345" s="2"/>
      <c r="F5345" s="2"/>
      <c r="G5345" s="2"/>
      <c r="H5345" s="2"/>
      <c r="I5345" s="2"/>
      <c r="J5345" s="2"/>
      <c r="K5345" s="2"/>
      <c r="L5345" s="2"/>
      <c r="M5345" s="2"/>
      <c r="N5345" s="2"/>
      <c r="O5345" s="2"/>
      <c r="P5345" s="2"/>
      <c r="Q5345" s="2"/>
      <c r="R5345" s="2"/>
      <c r="S5345" s="2"/>
      <c r="T5345" s="2"/>
      <c r="U5345" s="2"/>
      <c r="V5345" s="2"/>
      <c r="W5345" s="2"/>
    </row>
    <row r="5346" spans="1:23" x14ac:dyDescent="0.25">
      <c r="A5346" s="2"/>
      <c r="B5346" s="2"/>
      <c r="C5346" s="1"/>
      <c r="D5346" s="2"/>
      <c r="E5346" s="2"/>
      <c r="F5346" s="2"/>
      <c r="G5346" s="2"/>
      <c r="H5346" s="2"/>
      <c r="I5346" s="2"/>
      <c r="J5346" s="2"/>
      <c r="K5346" s="2"/>
      <c r="L5346" s="2"/>
      <c r="M5346" s="2"/>
      <c r="N5346" s="2"/>
      <c r="O5346" s="2"/>
      <c r="P5346" s="2"/>
      <c r="Q5346" s="2"/>
      <c r="R5346" s="2"/>
      <c r="S5346" s="2"/>
      <c r="T5346" s="2"/>
      <c r="U5346" s="2"/>
      <c r="V5346" s="2"/>
      <c r="W5346" s="2"/>
    </row>
    <row r="5347" spans="1:23" x14ac:dyDescent="0.25">
      <c r="A5347" s="2"/>
      <c r="B5347" s="2"/>
      <c r="C5347" s="1"/>
      <c r="D5347" s="2"/>
      <c r="E5347" s="2"/>
      <c r="F5347" s="2"/>
      <c r="G5347" s="2"/>
      <c r="H5347" s="2"/>
      <c r="I5347" s="2"/>
      <c r="J5347" s="2"/>
      <c r="K5347" s="2"/>
      <c r="L5347" s="2"/>
      <c r="M5347" s="2"/>
      <c r="N5347" s="2"/>
      <c r="O5347" s="2"/>
      <c r="P5347" s="2"/>
      <c r="Q5347" s="2"/>
      <c r="R5347" s="2"/>
      <c r="S5347" s="2"/>
      <c r="T5347" s="2"/>
      <c r="U5347" s="2"/>
      <c r="V5347" s="2"/>
      <c r="W5347" s="2"/>
    </row>
    <row r="5348" spans="1:23" x14ac:dyDescent="0.25">
      <c r="A5348" s="2"/>
      <c r="B5348" s="2"/>
      <c r="C5348" s="1"/>
      <c r="D5348" s="2"/>
      <c r="E5348" s="2"/>
      <c r="F5348" s="2"/>
      <c r="G5348" s="2"/>
      <c r="H5348" s="2"/>
      <c r="I5348" s="2"/>
      <c r="J5348" s="2"/>
      <c r="K5348" s="2"/>
      <c r="L5348" s="2"/>
      <c r="M5348" s="2"/>
      <c r="N5348" s="2"/>
      <c r="O5348" s="2"/>
      <c r="P5348" s="2"/>
      <c r="Q5348" s="2"/>
      <c r="R5348" s="2"/>
      <c r="S5348" s="2"/>
      <c r="T5348" s="2"/>
      <c r="U5348" s="2"/>
      <c r="V5348" s="2"/>
      <c r="W5348" s="2"/>
    </row>
    <row r="5349" spans="1:23" x14ac:dyDescent="0.25">
      <c r="A5349" s="2"/>
      <c r="B5349" s="2"/>
      <c r="C5349" s="1"/>
      <c r="D5349" s="2"/>
      <c r="E5349" s="2"/>
      <c r="F5349" s="2"/>
      <c r="G5349" s="2"/>
      <c r="H5349" s="2"/>
      <c r="I5349" s="2"/>
      <c r="J5349" s="2"/>
      <c r="K5349" s="2"/>
      <c r="L5349" s="2"/>
      <c r="M5349" s="2"/>
      <c r="N5349" s="2"/>
      <c r="O5349" s="2"/>
      <c r="P5349" s="2"/>
      <c r="Q5349" s="2"/>
      <c r="R5349" s="2"/>
      <c r="S5349" s="2"/>
      <c r="T5349" s="2"/>
      <c r="U5349" s="2"/>
      <c r="V5349" s="2"/>
      <c r="W5349" s="2"/>
    </row>
    <row r="5350" spans="1:23" x14ac:dyDescent="0.25">
      <c r="A5350" s="2"/>
      <c r="B5350" s="2"/>
      <c r="C5350" s="1"/>
      <c r="D5350" s="2"/>
      <c r="E5350" s="2"/>
      <c r="F5350" s="2"/>
      <c r="G5350" s="2"/>
      <c r="H5350" s="2"/>
      <c r="I5350" s="2"/>
      <c r="J5350" s="2"/>
      <c r="K5350" s="2"/>
      <c r="L5350" s="2"/>
      <c r="M5350" s="2"/>
      <c r="N5350" s="2"/>
      <c r="O5350" s="2"/>
      <c r="P5350" s="2"/>
      <c r="Q5350" s="2"/>
      <c r="R5350" s="2"/>
      <c r="S5350" s="2"/>
      <c r="T5350" s="2"/>
      <c r="U5350" s="2"/>
      <c r="V5350" s="2"/>
      <c r="W5350" s="2"/>
    </row>
    <row r="5351" spans="1:23" x14ac:dyDescent="0.25">
      <c r="A5351" s="2"/>
      <c r="B5351" s="2"/>
      <c r="C5351" s="1"/>
      <c r="D5351" s="2"/>
      <c r="E5351" s="2"/>
      <c r="F5351" s="2"/>
      <c r="G5351" s="2"/>
      <c r="H5351" s="2"/>
      <c r="I5351" s="2"/>
      <c r="J5351" s="2"/>
      <c r="K5351" s="2"/>
      <c r="L5351" s="2"/>
      <c r="M5351" s="2"/>
      <c r="N5351" s="2"/>
      <c r="O5351" s="2"/>
      <c r="P5351" s="2"/>
      <c r="Q5351" s="2"/>
      <c r="R5351" s="2"/>
      <c r="S5351" s="2"/>
      <c r="T5351" s="2"/>
      <c r="U5351" s="2"/>
      <c r="V5351" s="2"/>
      <c r="W5351" s="2"/>
    </row>
    <row r="5352" spans="1:23" x14ac:dyDescent="0.25">
      <c r="A5352" s="2"/>
      <c r="B5352" s="2"/>
      <c r="C5352" s="1"/>
      <c r="D5352" s="2"/>
      <c r="E5352" s="2"/>
      <c r="F5352" s="2"/>
      <c r="G5352" s="2"/>
      <c r="H5352" s="2"/>
      <c r="I5352" s="2"/>
      <c r="J5352" s="2"/>
      <c r="K5352" s="2"/>
      <c r="L5352" s="2"/>
      <c r="M5352" s="2"/>
      <c r="N5352" s="2"/>
      <c r="O5352" s="2"/>
      <c r="P5352" s="2"/>
      <c r="Q5352" s="2"/>
      <c r="R5352" s="2"/>
      <c r="S5352" s="2"/>
      <c r="T5352" s="2"/>
      <c r="U5352" s="2"/>
      <c r="V5352" s="2"/>
      <c r="W5352" s="2"/>
    </row>
    <row r="5353" spans="1:23" x14ac:dyDescent="0.25">
      <c r="A5353" s="2"/>
      <c r="B5353" s="2"/>
      <c r="C5353" s="1"/>
      <c r="D5353" s="2"/>
      <c r="E5353" s="2"/>
      <c r="F5353" s="2"/>
      <c r="G5353" s="2"/>
      <c r="H5353" s="2"/>
      <c r="I5353" s="2"/>
      <c r="J5353" s="2"/>
      <c r="K5353" s="2"/>
      <c r="L5353" s="2"/>
      <c r="M5353" s="2"/>
      <c r="N5353" s="2"/>
      <c r="O5353" s="2"/>
      <c r="P5353" s="2"/>
      <c r="Q5353" s="2"/>
      <c r="R5353" s="2"/>
      <c r="S5353" s="2"/>
      <c r="T5353" s="2"/>
      <c r="U5353" s="2"/>
      <c r="V5353" s="2"/>
      <c r="W5353" s="2"/>
    </row>
    <row r="5354" spans="1:23" x14ac:dyDescent="0.25">
      <c r="A5354" s="2"/>
      <c r="B5354" s="2"/>
      <c r="C5354" s="1"/>
      <c r="D5354" s="2"/>
      <c r="E5354" s="2"/>
      <c r="F5354" s="2"/>
      <c r="G5354" s="2"/>
      <c r="H5354" s="2"/>
      <c r="I5354" s="2"/>
      <c r="J5354" s="2"/>
      <c r="K5354" s="2"/>
      <c r="L5354" s="2"/>
      <c r="M5354" s="2"/>
      <c r="N5354" s="2"/>
      <c r="O5354" s="2"/>
      <c r="P5354" s="2"/>
      <c r="Q5354" s="2"/>
      <c r="R5354" s="2"/>
      <c r="S5354" s="2"/>
      <c r="T5354" s="2"/>
      <c r="U5354" s="2"/>
      <c r="V5354" s="2"/>
      <c r="W5354" s="2"/>
    </row>
    <row r="5355" spans="1:23" x14ac:dyDescent="0.25">
      <c r="A5355" s="2"/>
      <c r="B5355" s="2"/>
      <c r="C5355" s="1"/>
      <c r="D5355" s="2"/>
      <c r="E5355" s="2"/>
      <c r="F5355" s="2"/>
      <c r="G5355" s="2"/>
      <c r="H5355" s="2"/>
      <c r="I5355" s="2"/>
      <c r="J5355" s="2"/>
      <c r="K5355" s="2"/>
      <c r="L5355" s="2"/>
      <c r="M5355" s="2"/>
      <c r="N5355" s="2"/>
      <c r="O5355" s="2"/>
      <c r="P5355" s="2"/>
      <c r="Q5355" s="2"/>
      <c r="R5355" s="2"/>
      <c r="S5355" s="2"/>
      <c r="T5355" s="2"/>
      <c r="U5355" s="2"/>
      <c r="V5355" s="2"/>
      <c r="W5355" s="2"/>
    </row>
    <row r="5356" spans="1:23" x14ac:dyDescent="0.25">
      <c r="A5356" s="2"/>
      <c r="B5356" s="2"/>
      <c r="C5356" s="1"/>
      <c r="D5356" s="2"/>
      <c r="E5356" s="2"/>
      <c r="F5356" s="2"/>
      <c r="G5356" s="2"/>
      <c r="H5356" s="2"/>
      <c r="I5356" s="2"/>
      <c r="J5356" s="2"/>
      <c r="K5356" s="2"/>
      <c r="L5356" s="2"/>
      <c r="M5356" s="2"/>
      <c r="N5356" s="2"/>
      <c r="O5356" s="2"/>
      <c r="P5356" s="2"/>
      <c r="Q5356" s="2"/>
      <c r="R5356" s="2"/>
      <c r="S5356" s="2"/>
      <c r="T5356" s="2"/>
      <c r="U5356" s="2"/>
      <c r="V5356" s="2"/>
      <c r="W5356" s="2"/>
    </row>
    <row r="5357" spans="1:23" x14ac:dyDescent="0.25">
      <c r="A5357" s="2"/>
      <c r="B5357" s="2"/>
      <c r="C5357" s="1"/>
      <c r="D5357" s="2"/>
      <c r="E5357" s="2"/>
      <c r="F5357" s="2"/>
      <c r="G5357" s="2"/>
      <c r="H5357" s="2"/>
      <c r="I5357" s="2"/>
      <c r="J5357" s="2"/>
      <c r="K5357" s="2"/>
      <c r="L5357" s="2"/>
      <c r="M5357" s="2"/>
      <c r="N5357" s="2"/>
      <c r="O5357" s="2"/>
      <c r="P5357" s="2"/>
      <c r="Q5357" s="2"/>
      <c r="R5357" s="2"/>
      <c r="S5357" s="2"/>
      <c r="T5357" s="2"/>
      <c r="U5357" s="2"/>
      <c r="V5357" s="2"/>
      <c r="W5357" s="2"/>
    </row>
    <row r="5358" spans="1:23" x14ac:dyDescent="0.25">
      <c r="A5358" s="2"/>
      <c r="B5358" s="2"/>
      <c r="C5358" s="1"/>
      <c r="D5358" s="2"/>
      <c r="E5358" s="2"/>
      <c r="F5358" s="2"/>
      <c r="G5358" s="2"/>
      <c r="H5358" s="2"/>
      <c r="I5358" s="2"/>
      <c r="J5358" s="2"/>
      <c r="K5358" s="2"/>
      <c r="L5358" s="2"/>
      <c r="M5358" s="2"/>
      <c r="N5358" s="2"/>
      <c r="O5358" s="2"/>
      <c r="P5358" s="2"/>
      <c r="Q5358" s="2"/>
      <c r="R5358" s="2"/>
      <c r="S5358" s="2"/>
      <c r="T5358" s="2"/>
      <c r="U5358" s="2"/>
      <c r="V5358" s="2"/>
      <c r="W5358" s="2"/>
    </row>
    <row r="5359" spans="1:23" x14ac:dyDescent="0.25">
      <c r="A5359" s="2"/>
      <c r="B5359" s="2"/>
      <c r="C5359" s="1"/>
      <c r="D5359" s="2"/>
      <c r="E5359" s="2"/>
      <c r="F5359" s="2"/>
      <c r="G5359" s="2"/>
      <c r="H5359" s="2"/>
      <c r="I5359" s="2"/>
      <c r="J5359" s="2"/>
      <c r="K5359" s="2"/>
      <c r="L5359" s="2"/>
      <c r="M5359" s="2"/>
      <c r="N5359" s="2"/>
      <c r="O5359" s="2"/>
      <c r="P5359" s="2"/>
      <c r="Q5359" s="2"/>
      <c r="R5359" s="2"/>
      <c r="S5359" s="2"/>
      <c r="T5359" s="2"/>
      <c r="U5359" s="2"/>
      <c r="V5359" s="2"/>
      <c r="W5359" s="2"/>
    </row>
    <row r="5360" spans="1:23" x14ac:dyDescent="0.25">
      <c r="A5360" s="2"/>
      <c r="B5360" s="2"/>
      <c r="C5360" s="1"/>
      <c r="D5360" s="2"/>
      <c r="E5360" s="2"/>
      <c r="F5360" s="2"/>
      <c r="G5360" s="2"/>
      <c r="H5360" s="2"/>
      <c r="I5360" s="2"/>
      <c r="J5360" s="2"/>
      <c r="K5360" s="2"/>
      <c r="L5360" s="2"/>
      <c r="M5360" s="2"/>
      <c r="N5360" s="2"/>
      <c r="O5360" s="2"/>
      <c r="P5360" s="2"/>
      <c r="Q5360" s="2"/>
      <c r="R5360" s="2"/>
      <c r="S5360" s="2"/>
      <c r="T5360" s="2"/>
      <c r="U5360" s="2"/>
      <c r="V5360" s="2"/>
      <c r="W5360" s="2"/>
    </row>
    <row r="5361" spans="1:23" x14ac:dyDescent="0.25">
      <c r="A5361" s="2"/>
      <c r="B5361" s="2"/>
      <c r="C5361" s="1"/>
      <c r="D5361" s="2"/>
      <c r="E5361" s="2"/>
      <c r="F5361" s="2"/>
      <c r="G5361" s="2"/>
      <c r="H5361" s="2"/>
      <c r="I5361" s="2"/>
      <c r="J5361" s="2"/>
      <c r="K5361" s="2"/>
      <c r="L5361" s="2"/>
      <c r="M5361" s="2"/>
      <c r="N5361" s="2"/>
      <c r="O5361" s="2"/>
      <c r="P5361" s="2"/>
      <c r="Q5361" s="2"/>
      <c r="R5361" s="2"/>
      <c r="S5361" s="2"/>
      <c r="T5361" s="2"/>
      <c r="U5361" s="2"/>
      <c r="V5361" s="2"/>
      <c r="W5361" s="2"/>
    </row>
    <row r="5362" spans="1:23" x14ac:dyDescent="0.25">
      <c r="A5362" s="2"/>
      <c r="B5362" s="2"/>
      <c r="C5362" s="1"/>
      <c r="D5362" s="2"/>
      <c r="E5362" s="2"/>
      <c r="F5362" s="2"/>
      <c r="G5362" s="2"/>
      <c r="H5362" s="2"/>
      <c r="I5362" s="2"/>
      <c r="J5362" s="2"/>
      <c r="K5362" s="2"/>
      <c r="L5362" s="2"/>
      <c r="M5362" s="2"/>
      <c r="N5362" s="2"/>
      <c r="O5362" s="2"/>
      <c r="P5362" s="2"/>
      <c r="Q5362" s="2"/>
      <c r="R5362" s="2"/>
      <c r="S5362" s="2"/>
      <c r="T5362" s="2"/>
      <c r="U5362" s="2"/>
      <c r="V5362" s="2"/>
      <c r="W5362" s="2"/>
    </row>
    <row r="5363" spans="1:23" x14ac:dyDescent="0.25">
      <c r="A5363" s="2"/>
      <c r="B5363" s="2"/>
      <c r="C5363" s="1"/>
      <c r="D5363" s="2"/>
      <c r="E5363" s="2"/>
      <c r="F5363" s="2"/>
      <c r="G5363" s="2"/>
      <c r="H5363" s="2"/>
      <c r="I5363" s="2"/>
      <c r="J5363" s="2"/>
      <c r="K5363" s="2"/>
      <c r="L5363" s="2"/>
      <c r="M5363" s="2"/>
      <c r="N5363" s="2"/>
      <c r="O5363" s="2"/>
      <c r="P5363" s="2"/>
      <c r="Q5363" s="2"/>
      <c r="R5363" s="2"/>
      <c r="S5363" s="2"/>
      <c r="T5363" s="2"/>
      <c r="U5363" s="2"/>
      <c r="V5363" s="2"/>
      <c r="W5363" s="2"/>
    </row>
    <row r="5364" spans="1:23" x14ac:dyDescent="0.25">
      <c r="A5364" s="2"/>
      <c r="B5364" s="2"/>
      <c r="C5364" s="1"/>
      <c r="D5364" s="2"/>
      <c r="E5364" s="2"/>
      <c r="F5364" s="2"/>
      <c r="G5364" s="2"/>
      <c r="H5364" s="2"/>
      <c r="I5364" s="2"/>
      <c r="J5364" s="2"/>
      <c r="K5364" s="2"/>
      <c r="L5364" s="2"/>
      <c r="M5364" s="2"/>
      <c r="N5364" s="2"/>
      <c r="O5364" s="2"/>
      <c r="P5364" s="2"/>
      <c r="Q5364" s="2"/>
      <c r="R5364" s="2"/>
      <c r="S5364" s="2"/>
      <c r="T5364" s="2"/>
      <c r="U5364" s="2"/>
      <c r="V5364" s="2"/>
      <c r="W5364" s="2"/>
    </row>
    <row r="5365" spans="1:23" x14ac:dyDescent="0.25">
      <c r="A5365" s="2"/>
      <c r="B5365" s="2"/>
      <c r="C5365" s="1"/>
      <c r="D5365" s="2"/>
      <c r="E5365" s="2"/>
      <c r="F5365" s="2"/>
      <c r="G5365" s="2"/>
      <c r="H5365" s="2"/>
      <c r="I5365" s="2"/>
      <c r="J5365" s="2"/>
      <c r="K5365" s="2"/>
      <c r="L5365" s="2"/>
      <c r="M5365" s="2"/>
      <c r="N5365" s="2"/>
      <c r="O5365" s="2"/>
      <c r="P5365" s="2"/>
      <c r="Q5365" s="2"/>
      <c r="R5365" s="2"/>
      <c r="S5365" s="2"/>
      <c r="T5365" s="2"/>
      <c r="U5365" s="2"/>
      <c r="V5365" s="2"/>
      <c r="W5365" s="2"/>
    </row>
    <row r="5366" spans="1:23" x14ac:dyDescent="0.25">
      <c r="A5366" s="2"/>
      <c r="B5366" s="2"/>
      <c r="C5366" s="1"/>
      <c r="D5366" s="2"/>
      <c r="E5366" s="2"/>
      <c r="F5366" s="2"/>
      <c r="G5366" s="2"/>
      <c r="H5366" s="2"/>
      <c r="I5366" s="2"/>
      <c r="J5366" s="2"/>
      <c r="K5366" s="2"/>
      <c r="L5366" s="2"/>
      <c r="M5366" s="2"/>
      <c r="N5366" s="2"/>
      <c r="O5366" s="2"/>
      <c r="P5366" s="2"/>
      <c r="Q5366" s="2"/>
      <c r="R5366" s="2"/>
      <c r="S5366" s="2"/>
      <c r="T5366" s="2"/>
      <c r="U5366" s="2"/>
      <c r="V5366" s="2"/>
      <c r="W5366" s="2"/>
    </row>
    <row r="5367" spans="1:23" x14ac:dyDescent="0.25">
      <c r="A5367" s="2"/>
      <c r="B5367" s="2"/>
      <c r="C5367" s="1"/>
      <c r="D5367" s="2"/>
      <c r="E5367" s="2"/>
      <c r="F5367" s="2"/>
      <c r="G5367" s="2"/>
      <c r="H5367" s="2"/>
      <c r="I5367" s="2"/>
      <c r="J5367" s="2"/>
      <c r="K5367" s="2"/>
      <c r="L5367" s="2"/>
      <c r="M5367" s="2"/>
      <c r="N5367" s="2"/>
      <c r="O5367" s="2"/>
      <c r="P5367" s="2"/>
      <c r="Q5367" s="2"/>
      <c r="R5367" s="2"/>
      <c r="S5367" s="2"/>
      <c r="T5367" s="2"/>
      <c r="U5367" s="2"/>
      <c r="V5367" s="2"/>
      <c r="W5367" s="2"/>
    </row>
    <row r="5368" spans="1:23" x14ac:dyDescent="0.25">
      <c r="A5368" s="2"/>
      <c r="B5368" s="2"/>
      <c r="C5368" s="1"/>
      <c r="D5368" s="2"/>
      <c r="E5368" s="2"/>
      <c r="F5368" s="2"/>
      <c r="G5368" s="2"/>
      <c r="H5368" s="2"/>
      <c r="I5368" s="2"/>
      <c r="J5368" s="2"/>
      <c r="K5368" s="2"/>
      <c r="L5368" s="2"/>
      <c r="M5368" s="2"/>
      <c r="N5368" s="2"/>
      <c r="O5368" s="2"/>
      <c r="P5368" s="2"/>
      <c r="Q5368" s="2"/>
      <c r="R5368" s="2"/>
      <c r="S5368" s="2"/>
      <c r="T5368" s="2"/>
      <c r="U5368" s="2"/>
      <c r="V5368" s="2"/>
      <c r="W5368" s="2"/>
    </row>
    <row r="5369" spans="1:23" x14ac:dyDescent="0.25">
      <c r="A5369" s="2"/>
      <c r="B5369" s="2"/>
      <c r="C5369" s="1"/>
      <c r="D5369" s="2"/>
      <c r="E5369" s="2"/>
      <c r="F5369" s="2"/>
      <c r="G5369" s="2"/>
      <c r="H5369" s="2"/>
      <c r="I5369" s="2"/>
      <c r="J5369" s="2"/>
      <c r="K5369" s="2"/>
      <c r="L5369" s="2"/>
      <c r="M5369" s="2"/>
      <c r="N5369" s="2"/>
      <c r="O5369" s="2"/>
      <c r="P5369" s="2"/>
      <c r="Q5369" s="2"/>
      <c r="R5369" s="2"/>
      <c r="S5369" s="2"/>
      <c r="T5369" s="2"/>
      <c r="U5369" s="2"/>
      <c r="V5369" s="2"/>
      <c r="W5369" s="2"/>
    </row>
    <row r="5370" spans="1:23" x14ac:dyDescent="0.25">
      <c r="A5370" s="2"/>
      <c r="B5370" s="2"/>
      <c r="C5370" s="1"/>
      <c r="D5370" s="2"/>
      <c r="E5370" s="2"/>
      <c r="F5370" s="2"/>
      <c r="G5370" s="2"/>
      <c r="H5370" s="2"/>
      <c r="I5370" s="2"/>
      <c r="J5370" s="2"/>
      <c r="K5370" s="2"/>
      <c r="L5370" s="2"/>
      <c r="M5370" s="2"/>
      <c r="N5370" s="2"/>
      <c r="O5370" s="2"/>
      <c r="P5370" s="2"/>
      <c r="Q5370" s="2"/>
      <c r="R5370" s="2"/>
      <c r="S5370" s="2"/>
      <c r="T5370" s="2"/>
      <c r="U5370" s="2"/>
      <c r="V5370" s="2"/>
      <c r="W5370" s="2"/>
    </row>
    <row r="5371" spans="1:23" x14ac:dyDescent="0.25">
      <c r="A5371" s="2"/>
      <c r="B5371" s="2"/>
      <c r="C5371" s="1"/>
      <c r="D5371" s="2"/>
      <c r="E5371" s="2"/>
      <c r="F5371" s="2"/>
      <c r="G5371" s="2"/>
      <c r="H5371" s="2"/>
      <c r="I5371" s="2"/>
      <c r="J5371" s="2"/>
      <c r="K5371" s="2"/>
      <c r="L5371" s="2"/>
      <c r="M5371" s="2"/>
      <c r="N5371" s="2"/>
      <c r="O5371" s="2"/>
      <c r="P5371" s="2"/>
      <c r="Q5371" s="2"/>
      <c r="R5371" s="2"/>
      <c r="S5371" s="2"/>
      <c r="T5371" s="2"/>
      <c r="U5371" s="2"/>
      <c r="V5371" s="2"/>
      <c r="W5371" s="2"/>
    </row>
    <row r="5372" spans="1:23" x14ac:dyDescent="0.25">
      <c r="A5372" s="2"/>
      <c r="B5372" s="2"/>
      <c r="C5372" s="1"/>
      <c r="D5372" s="2"/>
      <c r="E5372" s="2"/>
      <c r="F5372" s="2"/>
      <c r="G5372" s="2"/>
      <c r="H5372" s="2"/>
      <c r="I5372" s="2"/>
      <c r="J5372" s="2"/>
      <c r="K5372" s="2"/>
      <c r="L5372" s="2"/>
      <c r="M5372" s="2"/>
      <c r="N5372" s="2"/>
      <c r="O5372" s="2"/>
      <c r="P5372" s="2"/>
      <c r="Q5372" s="2"/>
      <c r="R5372" s="2"/>
      <c r="S5372" s="2"/>
      <c r="T5372" s="2"/>
      <c r="U5372" s="2"/>
      <c r="V5372" s="2"/>
      <c r="W5372" s="2"/>
    </row>
    <row r="5373" spans="1:23" x14ac:dyDescent="0.25">
      <c r="A5373" s="2"/>
      <c r="B5373" s="2"/>
      <c r="C5373" s="1"/>
      <c r="D5373" s="2"/>
      <c r="E5373" s="2"/>
      <c r="F5373" s="2"/>
      <c r="G5373" s="2"/>
      <c r="H5373" s="2"/>
      <c r="I5373" s="2"/>
      <c r="J5373" s="2"/>
      <c r="K5373" s="2"/>
      <c r="L5373" s="2"/>
      <c r="M5373" s="2"/>
      <c r="N5373" s="2"/>
      <c r="O5373" s="2"/>
      <c r="P5373" s="2"/>
      <c r="Q5373" s="2"/>
      <c r="R5373" s="2"/>
      <c r="S5373" s="2"/>
      <c r="T5373" s="2"/>
      <c r="U5373" s="2"/>
      <c r="V5373" s="2"/>
      <c r="W5373" s="2"/>
    </row>
    <row r="5374" spans="1:23" x14ac:dyDescent="0.25">
      <c r="A5374" s="2"/>
      <c r="B5374" s="2"/>
      <c r="C5374" s="1"/>
      <c r="D5374" s="2"/>
      <c r="E5374" s="2"/>
      <c r="F5374" s="2"/>
      <c r="G5374" s="2"/>
      <c r="H5374" s="2"/>
      <c r="I5374" s="2"/>
      <c r="J5374" s="2"/>
      <c r="K5374" s="2"/>
      <c r="L5374" s="2"/>
      <c r="M5374" s="2"/>
      <c r="N5374" s="2"/>
      <c r="O5374" s="2"/>
      <c r="P5374" s="2"/>
      <c r="Q5374" s="2"/>
      <c r="R5374" s="2"/>
      <c r="S5374" s="2"/>
      <c r="T5374" s="2"/>
      <c r="U5374" s="2"/>
      <c r="V5374" s="2"/>
      <c r="W5374" s="2"/>
    </row>
    <row r="5375" spans="1:23" x14ac:dyDescent="0.25">
      <c r="A5375" s="2"/>
      <c r="B5375" s="2"/>
      <c r="C5375" s="1"/>
      <c r="D5375" s="2"/>
      <c r="E5375" s="2"/>
      <c r="F5375" s="2"/>
      <c r="G5375" s="2"/>
      <c r="H5375" s="2"/>
      <c r="I5375" s="2"/>
      <c r="J5375" s="2"/>
      <c r="K5375" s="2"/>
      <c r="L5375" s="2"/>
      <c r="M5375" s="2"/>
      <c r="N5375" s="2"/>
      <c r="O5375" s="2"/>
      <c r="P5375" s="2"/>
      <c r="Q5375" s="2"/>
      <c r="R5375" s="2"/>
      <c r="S5375" s="2"/>
      <c r="T5375" s="2"/>
      <c r="U5375" s="2"/>
      <c r="V5375" s="2"/>
      <c r="W5375" s="2"/>
    </row>
    <row r="5376" spans="1:23" x14ac:dyDescent="0.25">
      <c r="A5376" s="2"/>
      <c r="B5376" s="2"/>
      <c r="C5376" s="1"/>
      <c r="D5376" s="2"/>
      <c r="E5376" s="2"/>
      <c r="F5376" s="2"/>
      <c r="G5376" s="2"/>
      <c r="H5376" s="2"/>
      <c r="I5376" s="2"/>
      <c r="J5376" s="2"/>
      <c r="K5376" s="2"/>
      <c r="L5376" s="2"/>
      <c r="M5376" s="2"/>
      <c r="N5376" s="2"/>
      <c r="O5376" s="2"/>
      <c r="P5376" s="2"/>
      <c r="Q5376" s="2"/>
      <c r="R5376" s="2"/>
      <c r="S5376" s="2"/>
      <c r="T5376" s="2"/>
      <c r="U5376" s="2"/>
      <c r="V5376" s="2"/>
      <c r="W5376" s="2"/>
    </row>
    <row r="5377" spans="1:23" x14ac:dyDescent="0.25">
      <c r="A5377" s="2"/>
      <c r="B5377" s="2"/>
      <c r="C5377" s="1"/>
      <c r="D5377" s="2"/>
      <c r="E5377" s="2"/>
      <c r="F5377" s="2"/>
      <c r="G5377" s="2"/>
      <c r="H5377" s="2"/>
      <c r="I5377" s="2"/>
      <c r="J5377" s="2"/>
      <c r="K5377" s="2"/>
      <c r="L5377" s="2"/>
      <c r="M5377" s="2"/>
      <c r="N5377" s="2"/>
      <c r="O5377" s="2"/>
      <c r="P5377" s="2"/>
      <c r="Q5377" s="2"/>
      <c r="R5377" s="2"/>
      <c r="S5377" s="2"/>
      <c r="T5377" s="2"/>
      <c r="U5377" s="2"/>
      <c r="V5377" s="2"/>
      <c r="W5377" s="2"/>
    </row>
    <row r="5378" spans="1:23" x14ac:dyDescent="0.25">
      <c r="A5378" s="2"/>
      <c r="B5378" s="2"/>
      <c r="C5378" s="1"/>
      <c r="D5378" s="2"/>
      <c r="E5378" s="2"/>
      <c r="F5378" s="2"/>
      <c r="G5378" s="2"/>
      <c r="H5378" s="2"/>
      <c r="I5378" s="2"/>
      <c r="J5378" s="2"/>
      <c r="K5378" s="2"/>
      <c r="L5378" s="2"/>
      <c r="M5378" s="2"/>
      <c r="N5378" s="2"/>
      <c r="O5378" s="2"/>
      <c r="P5378" s="2"/>
      <c r="Q5378" s="2"/>
      <c r="R5378" s="2"/>
      <c r="S5378" s="2"/>
      <c r="T5378" s="2"/>
      <c r="U5378" s="2"/>
      <c r="V5378" s="2"/>
      <c r="W5378" s="2"/>
    </row>
    <row r="5379" spans="1:23" x14ac:dyDescent="0.25">
      <c r="A5379" s="2"/>
      <c r="B5379" s="2"/>
      <c r="C5379" s="1"/>
      <c r="D5379" s="2"/>
      <c r="E5379" s="2"/>
      <c r="F5379" s="2"/>
      <c r="G5379" s="2"/>
      <c r="H5379" s="2"/>
      <c r="I5379" s="2"/>
      <c r="J5379" s="2"/>
      <c r="K5379" s="2"/>
      <c r="L5379" s="2"/>
      <c r="M5379" s="2"/>
      <c r="N5379" s="2"/>
      <c r="O5379" s="2"/>
      <c r="P5379" s="2"/>
      <c r="Q5379" s="2"/>
      <c r="R5379" s="2"/>
      <c r="S5379" s="2"/>
      <c r="T5379" s="2"/>
      <c r="U5379" s="2"/>
      <c r="V5379" s="2"/>
      <c r="W5379" s="2"/>
    </row>
    <row r="5380" spans="1:23" x14ac:dyDescent="0.25">
      <c r="A5380" s="2"/>
      <c r="B5380" s="2"/>
      <c r="C5380" s="1"/>
      <c r="D5380" s="2"/>
      <c r="E5380" s="2"/>
      <c r="F5380" s="2"/>
      <c r="G5380" s="2"/>
      <c r="H5380" s="2"/>
      <c r="I5380" s="2"/>
      <c r="J5380" s="2"/>
      <c r="K5380" s="2"/>
      <c r="L5380" s="2"/>
      <c r="M5380" s="2"/>
      <c r="N5380" s="2"/>
      <c r="O5380" s="2"/>
      <c r="P5380" s="2"/>
      <c r="Q5380" s="2"/>
      <c r="R5380" s="2"/>
      <c r="S5380" s="2"/>
      <c r="T5380" s="2"/>
      <c r="U5380" s="2"/>
      <c r="V5380" s="2"/>
      <c r="W5380" s="2"/>
    </row>
    <row r="5381" spans="1:23" x14ac:dyDescent="0.25">
      <c r="A5381" s="2"/>
      <c r="B5381" s="2"/>
      <c r="C5381" s="1"/>
      <c r="D5381" s="2"/>
      <c r="E5381" s="2"/>
      <c r="F5381" s="2"/>
      <c r="G5381" s="2"/>
      <c r="H5381" s="2"/>
      <c r="I5381" s="2"/>
      <c r="J5381" s="2"/>
      <c r="K5381" s="2"/>
      <c r="L5381" s="2"/>
      <c r="M5381" s="2"/>
      <c r="N5381" s="2"/>
      <c r="O5381" s="2"/>
      <c r="P5381" s="2"/>
      <c r="Q5381" s="2"/>
      <c r="R5381" s="2"/>
      <c r="S5381" s="2"/>
      <c r="T5381" s="2"/>
      <c r="U5381" s="2"/>
      <c r="V5381" s="2"/>
      <c r="W5381" s="2"/>
    </row>
    <row r="5382" spans="1:23" x14ac:dyDescent="0.25">
      <c r="A5382" s="2"/>
      <c r="B5382" s="2"/>
      <c r="C5382" s="1"/>
      <c r="D5382" s="2"/>
      <c r="E5382" s="2"/>
      <c r="F5382" s="2"/>
      <c r="G5382" s="2"/>
      <c r="H5382" s="2"/>
      <c r="I5382" s="2"/>
      <c r="J5382" s="2"/>
      <c r="K5382" s="2"/>
      <c r="L5382" s="2"/>
      <c r="M5382" s="2"/>
      <c r="N5382" s="2"/>
      <c r="O5382" s="2"/>
      <c r="P5382" s="2"/>
      <c r="Q5382" s="2"/>
      <c r="R5382" s="2"/>
      <c r="S5382" s="2"/>
      <c r="T5382" s="2"/>
      <c r="U5382" s="2"/>
      <c r="V5382" s="2"/>
      <c r="W5382" s="2"/>
    </row>
    <row r="5383" spans="1:23" x14ac:dyDescent="0.25">
      <c r="A5383" s="2"/>
      <c r="B5383" s="2"/>
      <c r="C5383" s="1"/>
      <c r="D5383" s="2"/>
      <c r="E5383" s="2"/>
      <c r="F5383" s="2"/>
      <c r="G5383" s="2"/>
      <c r="H5383" s="2"/>
      <c r="I5383" s="2"/>
      <c r="J5383" s="2"/>
      <c r="K5383" s="2"/>
      <c r="L5383" s="2"/>
      <c r="M5383" s="2"/>
      <c r="N5383" s="2"/>
      <c r="O5383" s="2"/>
      <c r="P5383" s="2"/>
      <c r="Q5383" s="2"/>
      <c r="R5383" s="2"/>
      <c r="S5383" s="2"/>
      <c r="T5383" s="2"/>
      <c r="U5383" s="2"/>
      <c r="V5383" s="2"/>
      <c r="W5383" s="2"/>
    </row>
    <row r="5384" spans="1:23" x14ac:dyDescent="0.25">
      <c r="A5384" s="2"/>
      <c r="B5384" s="2"/>
      <c r="C5384" s="1"/>
      <c r="D5384" s="2"/>
      <c r="E5384" s="2"/>
      <c r="F5384" s="2"/>
      <c r="G5384" s="2"/>
      <c r="H5384" s="2"/>
      <c r="I5384" s="2"/>
      <c r="J5384" s="2"/>
      <c r="K5384" s="2"/>
      <c r="L5384" s="2"/>
      <c r="M5384" s="2"/>
      <c r="N5384" s="2"/>
      <c r="O5384" s="2"/>
      <c r="P5384" s="2"/>
      <c r="Q5384" s="2"/>
      <c r="R5384" s="2"/>
      <c r="S5384" s="2"/>
      <c r="T5384" s="2"/>
      <c r="U5384" s="2"/>
      <c r="V5384" s="2"/>
      <c r="W5384" s="2"/>
    </row>
    <row r="5385" spans="1:23" x14ac:dyDescent="0.25">
      <c r="A5385" s="2"/>
      <c r="B5385" s="2"/>
      <c r="C5385" s="1"/>
      <c r="D5385" s="2"/>
      <c r="E5385" s="2"/>
      <c r="F5385" s="2"/>
      <c r="G5385" s="2"/>
      <c r="H5385" s="2"/>
      <c r="I5385" s="2"/>
      <c r="J5385" s="2"/>
      <c r="K5385" s="2"/>
      <c r="L5385" s="2"/>
      <c r="M5385" s="2"/>
      <c r="N5385" s="2"/>
      <c r="O5385" s="2"/>
      <c r="P5385" s="2"/>
      <c r="Q5385" s="2"/>
      <c r="R5385" s="2"/>
      <c r="S5385" s="2"/>
      <c r="T5385" s="2"/>
      <c r="U5385" s="2"/>
      <c r="V5385" s="2"/>
      <c r="W5385" s="2"/>
    </row>
    <row r="5386" spans="1:23" x14ac:dyDescent="0.25">
      <c r="A5386" s="2"/>
      <c r="B5386" s="2"/>
      <c r="C5386" s="1"/>
      <c r="D5386" s="2"/>
      <c r="E5386" s="2"/>
      <c r="F5386" s="2"/>
      <c r="G5386" s="2"/>
      <c r="H5386" s="2"/>
      <c r="I5386" s="2"/>
      <c r="J5386" s="2"/>
      <c r="K5386" s="2"/>
      <c r="L5386" s="2"/>
      <c r="M5386" s="2"/>
      <c r="N5386" s="2"/>
      <c r="O5386" s="2"/>
      <c r="P5386" s="2"/>
      <c r="Q5386" s="2"/>
      <c r="R5386" s="2"/>
      <c r="S5386" s="2"/>
      <c r="T5386" s="2"/>
      <c r="U5386" s="2"/>
      <c r="V5386" s="2"/>
      <c r="W5386" s="2"/>
    </row>
    <row r="5387" spans="1:23" x14ac:dyDescent="0.25">
      <c r="A5387" s="2"/>
      <c r="B5387" s="2"/>
      <c r="C5387" s="1"/>
      <c r="D5387" s="2"/>
      <c r="E5387" s="2"/>
      <c r="F5387" s="2"/>
      <c r="G5387" s="2"/>
      <c r="H5387" s="2"/>
      <c r="I5387" s="2"/>
      <c r="J5387" s="2"/>
      <c r="K5387" s="2"/>
      <c r="L5387" s="2"/>
      <c r="M5387" s="2"/>
      <c r="N5387" s="2"/>
      <c r="O5387" s="2"/>
      <c r="P5387" s="2"/>
      <c r="Q5387" s="2"/>
      <c r="R5387" s="2"/>
      <c r="S5387" s="2"/>
      <c r="T5387" s="2"/>
      <c r="U5387" s="2"/>
      <c r="V5387" s="2"/>
      <c r="W5387" s="2"/>
    </row>
    <row r="5388" spans="1:23" x14ac:dyDescent="0.25">
      <c r="A5388" s="2"/>
      <c r="B5388" s="2"/>
      <c r="C5388" s="1"/>
      <c r="D5388" s="2"/>
      <c r="E5388" s="2"/>
      <c r="F5388" s="2"/>
      <c r="G5388" s="2"/>
      <c r="H5388" s="2"/>
      <c r="I5388" s="2"/>
      <c r="J5388" s="2"/>
      <c r="K5388" s="2"/>
      <c r="L5388" s="2"/>
      <c r="M5388" s="2"/>
      <c r="N5388" s="2"/>
      <c r="O5388" s="2"/>
      <c r="P5388" s="2"/>
      <c r="Q5388" s="2"/>
      <c r="R5388" s="2"/>
      <c r="S5388" s="2"/>
      <c r="T5388" s="2"/>
      <c r="U5388" s="2"/>
      <c r="V5388" s="2"/>
      <c r="W5388" s="2"/>
    </row>
    <row r="5389" spans="1:23" x14ac:dyDescent="0.25">
      <c r="A5389" s="2"/>
      <c r="B5389" s="2"/>
      <c r="C5389" s="1"/>
      <c r="D5389" s="2"/>
      <c r="E5389" s="2"/>
      <c r="F5389" s="2"/>
      <c r="G5389" s="2"/>
      <c r="H5389" s="2"/>
      <c r="I5389" s="2"/>
      <c r="J5389" s="2"/>
      <c r="K5389" s="2"/>
      <c r="L5389" s="2"/>
      <c r="M5389" s="2"/>
      <c r="N5389" s="2"/>
      <c r="O5389" s="2"/>
      <c r="P5389" s="2"/>
      <c r="Q5389" s="2"/>
      <c r="R5389" s="2"/>
      <c r="S5389" s="2"/>
      <c r="T5389" s="2"/>
      <c r="U5389" s="2"/>
      <c r="V5389" s="2"/>
      <c r="W5389" s="2"/>
    </row>
    <row r="5390" spans="1:23" x14ac:dyDescent="0.25">
      <c r="A5390" s="2"/>
      <c r="B5390" s="2"/>
      <c r="C5390" s="1"/>
      <c r="D5390" s="2"/>
      <c r="E5390" s="2"/>
      <c r="F5390" s="2"/>
      <c r="G5390" s="2"/>
      <c r="H5390" s="2"/>
      <c r="I5390" s="2"/>
      <c r="J5390" s="2"/>
      <c r="K5390" s="2"/>
      <c r="L5390" s="2"/>
      <c r="M5390" s="2"/>
      <c r="N5390" s="2"/>
      <c r="O5390" s="2"/>
      <c r="P5390" s="2"/>
      <c r="Q5390" s="2"/>
      <c r="R5390" s="2"/>
      <c r="S5390" s="2"/>
      <c r="T5390" s="2"/>
      <c r="U5390" s="2"/>
      <c r="V5390" s="2"/>
      <c r="W5390" s="2"/>
    </row>
    <row r="5391" spans="1:23" x14ac:dyDescent="0.25">
      <c r="A5391" s="2"/>
      <c r="B5391" s="2"/>
      <c r="C5391" s="1"/>
      <c r="D5391" s="2"/>
      <c r="E5391" s="2"/>
      <c r="F5391" s="2"/>
      <c r="G5391" s="2"/>
      <c r="H5391" s="2"/>
      <c r="I5391" s="2"/>
      <c r="J5391" s="2"/>
      <c r="K5391" s="2"/>
      <c r="L5391" s="2"/>
      <c r="M5391" s="2"/>
      <c r="N5391" s="2"/>
      <c r="O5391" s="2"/>
      <c r="P5391" s="2"/>
      <c r="Q5391" s="2"/>
      <c r="R5391" s="2"/>
      <c r="S5391" s="2"/>
      <c r="T5391" s="2"/>
      <c r="U5391" s="2"/>
      <c r="V5391" s="2"/>
      <c r="W5391" s="2"/>
    </row>
    <row r="5392" spans="1:23" x14ac:dyDescent="0.25">
      <c r="A5392" s="2"/>
      <c r="B5392" s="2"/>
      <c r="C5392" s="1"/>
      <c r="D5392" s="2"/>
      <c r="E5392" s="2"/>
      <c r="F5392" s="2"/>
      <c r="G5392" s="2"/>
      <c r="H5392" s="2"/>
      <c r="I5392" s="2"/>
      <c r="J5392" s="2"/>
      <c r="K5392" s="2"/>
      <c r="L5392" s="2"/>
      <c r="M5392" s="2"/>
      <c r="N5392" s="2"/>
      <c r="O5392" s="2"/>
      <c r="P5392" s="2"/>
      <c r="Q5392" s="2"/>
      <c r="R5392" s="2"/>
      <c r="S5392" s="2"/>
      <c r="T5392" s="2"/>
      <c r="U5392" s="2"/>
      <c r="V5392" s="2"/>
      <c r="W5392" s="2"/>
    </row>
    <row r="5393" spans="1:23" x14ac:dyDescent="0.25">
      <c r="A5393" s="2"/>
      <c r="B5393" s="2"/>
      <c r="C5393" s="1"/>
      <c r="D5393" s="2"/>
      <c r="E5393" s="2"/>
      <c r="F5393" s="2"/>
      <c r="G5393" s="2"/>
      <c r="H5393" s="2"/>
      <c r="I5393" s="2"/>
      <c r="J5393" s="2"/>
      <c r="K5393" s="2"/>
      <c r="L5393" s="2"/>
      <c r="M5393" s="2"/>
      <c r="N5393" s="2"/>
      <c r="O5393" s="2"/>
      <c r="P5393" s="2"/>
      <c r="Q5393" s="2"/>
      <c r="R5393" s="2"/>
      <c r="S5393" s="2"/>
      <c r="T5393" s="2"/>
      <c r="U5393" s="2"/>
      <c r="V5393" s="2"/>
      <c r="W5393" s="2"/>
    </row>
    <row r="5394" spans="1:23" x14ac:dyDescent="0.25">
      <c r="A5394" s="2"/>
      <c r="B5394" s="2"/>
      <c r="C5394" s="1"/>
      <c r="D5394" s="2"/>
      <c r="E5394" s="2"/>
      <c r="F5394" s="2"/>
      <c r="G5394" s="2"/>
      <c r="H5394" s="2"/>
      <c r="I5394" s="2"/>
      <c r="J5394" s="2"/>
      <c r="K5394" s="2"/>
      <c r="L5394" s="2"/>
      <c r="M5394" s="2"/>
      <c r="N5394" s="2"/>
      <c r="O5394" s="2"/>
      <c r="P5394" s="2"/>
      <c r="Q5394" s="2"/>
      <c r="R5394" s="2"/>
      <c r="S5394" s="2"/>
      <c r="T5394" s="2"/>
      <c r="U5394" s="2"/>
      <c r="V5394" s="2"/>
      <c r="W5394" s="2"/>
    </row>
    <row r="5395" spans="1:23" x14ac:dyDescent="0.25">
      <c r="A5395" s="2"/>
      <c r="B5395" s="2"/>
      <c r="C5395" s="1"/>
      <c r="D5395" s="2"/>
      <c r="E5395" s="2"/>
      <c r="F5395" s="2"/>
      <c r="G5395" s="2"/>
      <c r="H5395" s="2"/>
      <c r="I5395" s="2"/>
      <c r="J5395" s="2"/>
      <c r="K5395" s="2"/>
      <c r="L5395" s="2"/>
      <c r="M5395" s="2"/>
      <c r="N5395" s="2"/>
      <c r="O5395" s="2"/>
      <c r="P5395" s="2"/>
      <c r="Q5395" s="2"/>
      <c r="R5395" s="2"/>
      <c r="S5395" s="2"/>
      <c r="T5395" s="2"/>
      <c r="U5395" s="2"/>
      <c r="V5395" s="2"/>
      <c r="W5395" s="2"/>
    </row>
    <row r="5396" spans="1:23" x14ac:dyDescent="0.25">
      <c r="A5396" s="2"/>
      <c r="B5396" s="2"/>
      <c r="C5396" s="1"/>
      <c r="D5396" s="2"/>
      <c r="E5396" s="2"/>
      <c r="F5396" s="2"/>
      <c r="G5396" s="2"/>
      <c r="H5396" s="2"/>
      <c r="I5396" s="2"/>
      <c r="J5396" s="2"/>
      <c r="K5396" s="2"/>
      <c r="L5396" s="2"/>
      <c r="M5396" s="2"/>
      <c r="N5396" s="2"/>
      <c r="O5396" s="2"/>
      <c r="P5396" s="2"/>
      <c r="Q5396" s="2"/>
      <c r="R5396" s="2"/>
      <c r="S5396" s="2"/>
      <c r="T5396" s="2"/>
      <c r="U5396" s="2"/>
      <c r="V5396" s="2"/>
      <c r="W5396" s="2"/>
    </row>
    <row r="5397" spans="1:23" x14ac:dyDescent="0.25">
      <c r="A5397" s="2"/>
      <c r="B5397" s="2"/>
      <c r="C5397" s="1"/>
      <c r="D5397" s="2"/>
      <c r="E5397" s="2"/>
      <c r="F5397" s="2"/>
      <c r="G5397" s="2"/>
      <c r="H5397" s="2"/>
      <c r="I5397" s="2"/>
      <c r="J5397" s="2"/>
      <c r="K5397" s="2"/>
      <c r="L5397" s="2"/>
      <c r="M5397" s="2"/>
      <c r="N5397" s="2"/>
      <c r="O5397" s="2"/>
      <c r="P5397" s="2"/>
      <c r="Q5397" s="2"/>
      <c r="R5397" s="2"/>
      <c r="S5397" s="2"/>
      <c r="T5397" s="2"/>
      <c r="U5397" s="2"/>
      <c r="V5397" s="2"/>
      <c r="W5397" s="2"/>
    </row>
    <row r="5398" spans="1:23" x14ac:dyDescent="0.25">
      <c r="A5398" s="2"/>
      <c r="B5398" s="2"/>
      <c r="C5398" s="1"/>
      <c r="D5398" s="2"/>
      <c r="E5398" s="2"/>
      <c r="F5398" s="2"/>
      <c r="G5398" s="2"/>
      <c r="H5398" s="2"/>
      <c r="I5398" s="2"/>
      <c r="J5398" s="2"/>
      <c r="K5398" s="2"/>
      <c r="L5398" s="2"/>
      <c r="M5398" s="2"/>
      <c r="N5398" s="2"/>
      <c r="O5398" s="2"/>
      <c r="P5398" s="2"/>
      <c r="Q5398" s="2"/>
      <c r="R5398" s="2"/>
      <c r="S5398" s="2"/>
      <c r="T5398" s="2"/>
      <c r="U5398" s="2"/>
      <c r="V5398" s="2"/>
      <c r="W5398" s="2"/>
    </row>
    <row r="5399" spans="1:23" x14ac:dyDescent="0.25">
      <c r="A5399" s="2"/>
      <c r="B5399" s="2"/>
      <c r="C5399" s="1"/>
      <c r="D5399" s="2"/>
      <c r="E5399" s="2"/>
      <c r="F5399" s="2"/>
      <c r="G5399" s="2"/>
      <c r="H5399" s="2"/>
      <c r="I5399" s="2"/>
      <c r="J5399" s="2"/>
      <c r="K5399" s="2"/>
      <c r="L5399" s="2"/>
      <c r="M5399" s="2"/>
      <c r="N5399" s="2"/>
      <c r="O5399" s="2"/>
      <c r="P5399" s="2"/>
      <c r="Q5399" s="2"/>
      <c r="R5399" s="2"/>
      <c r="S5399" s="2"/>
      <c r="T5399" s="2"/>
      <c r="U5399" s="2"/>
      <c r="V5399" s="2"/>
      <c r="W5399" s="2"/>
    </row>
    <row r="5400" spans="1:23" x14ac:dyDescent="0.25">
      <c r="A5400" s="2"/>
      <c r="B5400" s="2"/>
      <c r="C5400" s="1"/>
      <c r="D5400" s="2"/>
      <c r="E5400" s="2"/>
      <c r="F5400" s="2"/>
      <c r="G5400" s="2"/>
      <c r="H5400" s="2"/>
      <c r="I5400" s="2"/>
      <c r="J5400" s="2"/>
      <c r="K5400" s="2"/>
      <c r="L5400" s="2"/>
      <c r="M5400" s="2"/>
      <c r="N5400" s="2"/>
      <c r="O5400" s="2"/>
      <c r="P5400" s="2"/>
      <c r="Q5400" s="2"/>
      <c r="R5400" s="2"/>
      <c r="S5400" s="2"/>
      <c r="T5400" s="2"/>
      <c r="U5400" s="2"/>
      <c r="V5400" s="2"/>
      <c r="W5400" s="2"/>
    </row>
    <row r="5401" spans="1:23" x14ac:dyDescent="0.25">
      <c r="A5401" s="2"/>
      <c r="B5401" s="2"/>
      <c r="C5401" s="1"/>
      <c r="D5401" s="2"/>
      <c r="E5401" s="2"/>
      <c r="F5401" s="2"/>
      <c r="G5401" s="2"/>
      <c r="H5401" s="2"/>
      <c r="I5401" s="2"/>
      <c r="J5401" s="2"/>
      <c r="K5401" s="2"/>
      <c r="L5401" s="2"/>
      <c r="M5401" s="2"/>
      <c r="N5401" s="2"/>
      <c r="O5401" s="2"/>
      <c r="P5401" s="2"/>
      <c r="Q5401" s="2"/>
      <c r="R5401" s="2"/>
      <c r="S5401" s="2"/>
      <c r="T5401" s="2"/>
      <c r="U5401" s="2"/>
      <c r="V5401" s="2"/>
      <c r="W5401" s="2"/>
    </row>
    <row r="5402" spans="1:23" x14ac:dyDescent="0.25">
      <c r="A5402" s="2"/>
      <c r="B5402" s="2"/>
      <c r="C5402" s="1"/>
      <c r="D5402" s="2"/>
      <c r="E5402" s="2"/>
      <c r="F5402" s="2"/>
      <c r="G5402" s="2"/>
      <c r="H5402" s="2"/>
      <c r="I5402" s="2"/>
      <c r="J5402" s="2"/>
      <c r="K5402" s="2"/>
      <c r="L5402" s="2"/>
      <c r="M5402" s="2"/>
      <c r="N5402" s="2"/>
      <c r="O5402" s="2"/>
      <c r="P5402" s="2"/>
      <c r="Q5402" s="2"/>
      <c r="R5402" s="2"/>
      <c r="S5402" s="2"/>
      <c r="T5402" s="2"/>
      <c r="U5402" s="2"/>
      <c r="V5402" s="2"/>
      <c r="W5402" s="2"/>
    </row>
    <row r="5403" spans="1:23" x14ac:dyDescent="0.25">
      <c r="A5403" s="2"/>
      <c r="B5403" s="2"/>
      <c r="C5403" s="1"/>
      <c r="D5403" s="2"/>
      <c r="E5403" s="2"/>
      <c r="F5403" s="2"/>
      <c r="G5403" s="2"/>
      <c r="H5403" s="2"/>
      <c r="I5403" s="2"/>
      <c r="J5403" s="2"/>
      <c r="K5403" s="2"/>
      <c r="L5403" s="2"/>
      <c r="M5403" s="2"/>
      <c r="N5403" s="2"/>
      <c r="O5403" s="2"/>
      <c r="P5403" s="2"/>
      <c r="Q5403" s="2"/>
      <c r="R5403" s="2"/>
      <c r="S5403" s="2"/>
      <c r="T5403" s="2"/>
      <c r="U5403" s="2"/>
      <c r="V5403" s="2"/>
      <c r="W5403" s="2"/>
    </row>
    <row r="5404" spans="1:23" x14ac:dyDescent="0.25">
      <c r="A5404" s="2"/>
      <c r="B5404" s="2"/>
      <c r="C5404" s="1"/>
      <c r="D5404" s="2"/>
      <c r="E5404" s="2"/>
      <c r="F5404" s="2"/>
      <c r="G5404" s="2"/>
      <c r="H5404" s="2"/>
      <c r="I5404" s="2"/>
      <c r="J5404" s="2"/>
      <c r="K5404" s="2"/>
      <c r="L5404" s="2"/>
      <c r="M5404" s="2"/>
      <c r="N5404" s="2"/>
      <c r="O5404" s="2"/>
      <c r="P5404" s="2"/>
      <c r="Q5404" s="2"/>
      <c r="R5404" s="2"/>
      <c r="S5404" s="2"/>
      <c r="T5404" s="2"/>
      <c r="U5404" s="2"/>
      <c r="V5404" s="2"/>
      <c r="W5404" s="2"/>
    </row>
    <row r="5405" spans="1:23" x14ac:dyDescent="0.25">
      <c r="A5405" s="2"/>
      <c r="B5405" s="2"/>
      <c r="C5405" s="1"/>
      <c r="D5405" s="2"/>
      <c r="E5405" s="2"/>
      <c r="F5405" s="2"/>
      <c r="G5405" s="2"/>
      <c r="H5405" s="2"/>
      <c r="I5405" s="2"/>
      <c r="J5405" s="2"/>
      <c r="K5405" s="2"/>
      <c r="L5405" s="2"/>
      <c r="M5405" s="2"/>
      <c r="N5405" s="2"/>
      <c r="O5405" s="2"/>
      <c r="P5405" s="2"/>
      <c r="Q5405" s="2"/>
      <c r="R5405" s="2"/>
      <c r="S5405" s="2"/>
      <c r="T5405" s="2"/>
      <c r="U5405" s="2"/>
      <c r="V5405" s="2"/>
      <c r="W5405" s="2"/>
    </row>
    <row r="5406" spans="1:23" x14ac:dyDescent="0.25">
      <c r="A5406" s="2"/>
      <c r="B5406" s="2"/>
      <c r="C5406" s="1"/>
      <c r="D5406" s="2"/>
      <c r="E5406" s="2"/>
      <c r="F5406" s="2"/>
      <c r="G5406" s="2"/>
      <c r="H5406" s="2"/>
      <c r="I5406" s="2"/>
      <c r="J5406" s="2"/>
      <c r="K5406" s="2"/>
      <c r="L5406" s="2"/>
      <c r="M5406" s="2"/>
      <c r="N5406" s="2"/>
      <c r="O5406" s="2"/>
      <c r="P5406" s="2"/>
      <c r="Q5406" s="2"/>
      <c r="R5406" s="2"/>
      <c r="S5406" s="2"/>
      <c r="T5406" s="2"/>
      <c r="U5406" s="2"/>
      <c r="V5406" s="2"/>
      <c r="W5406" s="2"/>
    </row>
    <row r="5407" spans="1:23" x14ac:dyDescent="0.25">
      <c r="A5407" s="2"/>
      <c r="B5407" s="2"/>
      <c r="C5407" s="1"/>
      <c r="D5407" s="2"/>
      <c r="E5407" s="2"/>
      <c r="F5407" s="2"/>
      <c r="G5407" s="2"/>
      <c r="H5407" s="2"/>
      <c r="I5407" s="2"/>
      <c r="J5407" s="2"/>
      <c r="K5407" s="2"/>
      <c r="L5407" s="2"/>
      <c r="M5407" s="2"/>
      <c r="N5407" s="2"/>
      <c r="O5407" s="2"/>
      <c r="P5407" s="2"/>
      <c r="Q5407" s="2"/>
      <c r="R5407" s="2"/>
      <c r="S5407" s="2"/>
      <c r="T5407" s="2"/>
      <c r="U5407" s="2"/>
      <c r="V5407" s="2"/>
      <c r="W5407" s="2"/>
    </row>
    <row r="5408" spans="1:23" x14ac:dyDescent="0.25">
      <c r="A5408" s="2"/>
      <c r="B5408" s="2"/>
      <c r="C5408" s="1"/>
      <c r="D5408" s="2"/>
      <c r="E5408" s="2"/>
      <c r="F5408" s="2"/>
      <c r="G5408" s="2"/>
      <c r="H5408" s="2"/>
      <c r="I5408" s="2"/>
      <c r="J5408" s="2"/>
      <c r="K5408" s="2"/>
      <c r="L5408" s="2"/>
      <c r="M5408" s="2"/>
      <c r="N5408" s="2"/>
      <c r="O5408" s="2"/>
      <c r="P5408" s="2"/>
      <c r="Q5408" s="2"/>
      <c r="R5408" s="2"/>
      <c r="S5408" s="2"/>
      <c r="T5408" s="2"/>
      <c r="U5408" s="2"/>
      <c r="V5408" s="2"/>
      <c r="W5408" s="2"/>
    </row>
    <row r="5409" spans="1:23" x14ac:dyDescent="0.25">
      <c r="A5409" s="2"/>
      <c r="B5409" s="2"/>
      <c r="C5409" s="1"/>
      <c r="D5409" s="2"/>
      <c r="E5409" s="2"/>
      <c r="F5409" s="2"/>
      <c r="G5409" s="2"/>
      <c r="H5409" s="2"/>
      <c r="I5409" s="2"/>
      <c r="J5409" s="2"/>
      <c r="K5409" s="2"/>
      <c r="L5409" s="2"/>
      <c r="M5409" s="2"/>
      <c r="N5409" s="2"/>
      <c r="O5409" s="2"/>
      <c r="P5409" s="2"/>
      <c r="Q5409" s="2"/>
      <c r="R5409" s="2"/>
      <c r="S5409" s="2"/>
      <c r="T5409" s="2"/>
      <c r="U5409" s="2"/>
      <c r="V5409" s="2"/>
      <c r="W5409" s="2"/>
    </row>
    <row r="5410" spans="1:23" x14ac:dyDescent="0.25">
      <c r="A5410" s="2"/>
      <c r="B5410" s="2"/>
      <c r="C5410" s="1"/>
      <c r="D5410" s="2"/>
      <c r="E5410" s="2"/>
      <c r="F5410" s="2"/>
      <c r="G5410" s="2"/>
      <c r="H5410" s="2"/>
      <c r="I5410" s="2"/>
      <c r="J5410" s="2"/>
      <c r="K5410" s="2"/>
      <c r="L5410" s="2"/>
      <c r="M5410" s="2"/>
      <c r="N5410" s="2"/>
      <c r="O5410" s="2"/>
      <c r="P5410" s="2"/>
      <c r="Q5410" s="2"/>
      <c r="R5410" s="2"/>
      <c r="S5410" s="2"/>
      <c r="T5410" s="2"/>
      <c r="U5410" s="2"/>
      <c r="V5410" s="2"/>
      <c r="W5410" s="2"/>
    </row>
    <row r="5411" spans="1:23" x14ac:dyDescent="0.25">
      <c r="A5411" s="2"/>
      <c r="B5411" s="2"/>
      <c r="C5411" s="1"/>
      <c r="D5411" s="2"/>
      <c r="E5411" s="2"/>
      <c r="F5411" s="2"/>
      <c r="G5411" s="2"/>
      <c r="H5411" s="2"/>
      <c r="I5411" s="2"/>
      <c r="J5411" s="2"/>
      <c r="K5411" s="2"/>
      <c r="L5411" s="2"/>
      <c r="M5411" s="2"/>
      <c r="N5411" s="2"/>
      <c r="O5411" s="2"/>
      <c r="P5411" s="2"/>
      <c r="Q5411" s="2"/>
      <c r="R5411" s="2"/>
      <c r="S5411" s="2"/>
      <c r="T5411" s="2"/>
      <c r="U5411" s="2"/>
      <c r="V5411" s="2"/>
      <c r="W5411" s="2"/>
    </row>
    <row r="5412" spans="1:23" x14ac:dyDescent="0.25">
      <c r="A5412" s="2"/>
      <c r="B5412" s="2"/>
      <c r="C5412" s="1"/>
      <c r="D5412" s="2"/>
      <c r="E5412" s="2"/>
      <c r="F5412" s="2"/>
      <c r="G5412" s="2"/>
      <c r="H5412" s="2"/>
      <c r="I5412" s="2"/>
      <c r="J5412" s="2"/>
      <c r="K5412" s="2"/>
      <c r="L5412" s="2"/>
      <c r="M5412" s="2"/>
      <c r="N5412" s="2"/>
      <c r="O5412" s="2"/>
      <c r="P5412" s="2"/>
      <c r="Q5412" s="2"/>
      <c r="R5412" s="2"/>
      <c r="S5412" s="2"/>
      <c r="T5412" s="2"/>
      <c r="U5412" s="2"/>
      <c r="V5412" s="2"/>
      <c r="W5412" s="2"/>
    </row>
    <row r="5413" spans="1:23" x14ac:dyDescent="0.25">
      <c r="A5413" s="2"/>
      <c r="B5413" s="2"/>
      <c r="C5413" s="1"/>
      <c r="D5413" s="2"/>
      <c r="E5413" s="2"/>
      <c r="F5413" s="2"/>
      <c r="G5413" s="2"/>
      <c r="H5413" s="2"/>
      <c r="I5413" s="2"/>
      <c r="J5413" s="2"/>
      <c r="K5413" s="2"/>
      <c r="L5413" s="2"/>
      <c r="M5413" s="2"/>
      <c r="N5413" s="2"/>
      <c r="O5413" s="2"/>
      <c r="P5413" s="2"/>
      <c r="Q5413" s="2"/>
      <c r="R5413" s="2"/>
      <c r="S5413" s="2"/>
      <c r="T5413" s="2"/>
      <c r="U5413" s="2"/>
      <c r="V5413" s="2"/>
      <c r="W5413" s="2"/>
    </row>
    <row r="5414" spans="1:23" x14ac:dyDescent="0.25">
      <c r="A5414" s="2"/>
      <c r="B5414" s="2"/>
      <c r="C5414" s="1"/>
      <c r="D5414" s="2"/>
      <c r="E5414" s="2"/>
      <c r="F5414" s="2"/>
      <c r="G5414" s="2"/>
      <c r="H5414" s="2"/>
      <c r="I5414" s="2"/>
      <c r="J5414" s="2"/>
      <c r="K5414" s="2"/>
      <c r="L5414" s="2"/>
      <c r="M5414" s="2"/>
      <c r="N5414" s="2"/>
      <c r="O5414" s="2"/>
      <c r="P5414" s="2"/>
      <c r="Q5414" s="2"/>
      <c r="R5414" s="2"/>
      <c r="S5414" s="2"/>
      <c r="T5414" s="2"/>
      <c r="U5414" s="2"/>
      <c r="V5414" s="2"/>
      <c r="W5414" s="2"/>
    </row>
    <row r="5415" spans="1:23" x14ac:dyDescent="0.25">
      <c r="A5415" s="2"/>
      <c r="B5415" s="2"/>
      <c r="C5415" s="1"/>
      <c r="D5415" s="2"/>
      <c r="E5415" s="2"/>
      <c r="F5415" s="2"/>
      <c r="G5415" s="2"/>
      <c r="H5415" s="2"/>
      <c r="I5415" s="2"/>
      <c r="J5415" s="2"/>
      <c r="K5415" s="2"/>
      <c r="L5415" s="2"/>
      <c r="M5415" s="2"/>
      <c r="N5415" s="2"/>
      <c r="O5415" s="2"/>
      <c r="P5415" s="2"/>
      <c r="Q5415" s="2"/>
      <c r="R5415" s="2"/>
      <c r="S5415" s="2"/>
      <c r="T5415" s="2"/>
      <c r="U5415" s="2"/>
      <c r="V5415" s="2"/>
      <c r="W5415" s="2"/>
    </row>
    <row r="5416" spans="1:23" x14ac:dyDescent="0.25">
      <c r="A5416" s="2"/>
      <c r="B5416" s="2"/>
      <c r="C5416" s="1"/>
      <c r="D5416" s="2"/>
      <c r="E5416" s="2"/>
      <c r="F5416" s="2"/>
      <c r="G5416" s="2"/>
      <c r="H5416" s="2"/>
      <c r="I5416" s="2"/>
      <c r="J5416" s="2"/>
      <c r="K5416" s="2"/>
      <c r="L5416" s="2"/>
      <c r="M5416" s="2"/>
      <c r="N5416" s="2"/>
      <c r="O5416" s="2"/>
      <c r="P5416" s="2"/>
      <c r="Q5416" s="2"/>
      <c r="R5416" s="2"/>
      <c r="S5416" s="2"/>
      <c r="T5416" s="2"/>
      <c r="U5416" s="2"/>
      <c r="V5416" s="2"/>
      <c r="W5416" s="2"/>
    </row>
    <row r="5417" spans="1:23" x14ac:dyDescent="0.25">
      <c r="A5417" s="2"/>
      <c r="B5417" s="2"/>
      <c r="C5417" s="1"/>
      <c r="D5417" s="2"/>
      <c r="E5417" s="2"/>
      <c r="F5417" s="2"/>
      <c r="G5417" s="2"/>
      <c r="H5417" s="2"/>
      <c r="I5417" s="2"/>
      <c r="J5417" s="2"/>
      <c r="K5417" s="2"/>
      <c r="L5417" s="2"/>
      <c r="M5417" s="2"/>
      <c r="N5417" s="2"/>
      <c r="O5417" s="2"/>
      <c r="P5417" s="2"/>
      <c r="Q5417" s="2"/>
      <c r="R5417" s="2"/>
      <c r="S5417" s="2"/>
      <c r="T5417" s="2"/>
      <c r="U5417" s="2"/>
      <c r="V5417" s="2"/>
      <c r="W5417" s="2"/>
    </row>
    <row r="5418" spans="1:23" x14ac:dyDescent="0.25">
      <c r="A5418" s="2"/>
      <c r="B5418" s="2"/>
      <c r="C5418" s="1"/>
      <c r="D5418" s="2"/>
      <c r="E5418" s="2"/>
      <c r="F5418" s="2"/>
      <c r="G5418" s="2"/>
      <c r="H5418" s="2"/>
      <c r="I5418" s="2"/>
      <c r="J5418" s="2"/>
      <c r="K5418" s="2"/>
      <c r="L5418" s="2"/>
      <c r="M5418" s="2"/>
      <c r="N5418" s="2"/>
      <c r="O5418" s="2"/>
      <c r="P5418" s="2"/>
      <c r="Q5418" s="2"/>
      <c r="R5418" s="2"/>
      <c r="S5418" s="2"/>
      <c r="T5418" s="2"/>
      <c r="U5418" s="2"/>
      <c r="V5418" s="2"/>
      <c r="W5418" s="2"/>
    </row>
    <row r="5419" spans="1:23" x14ac:dyDescent="0.25">
      <c r="A5419" s="2"/>
      <c r="B5419" s="2"/>
      <c r="C5419" s="1"/>
      <c r="D5419" s="2"/>
      <c r="E5419" s="2"/>
      <c r="F5419" s="2"/>
      <c r="G5419" s="2"/>
      <c r="H5419" s="2"/>
      <c r="I5419" s="2"/>
      <c r="J5419" s="2"/>
      <c r="K5419" s="2"/>
      <c r="L5419" s="2"/>
      <c r="M5419" s="2"/>
      <c r="N5419" s="2"/>
      <c r="O5419" s="2"/>
      <c r="P5419" s="2"/>
      <c r="Q5419" s="2"/>
      <c r="R5419" s="2"/>
      <c r="S5419" s="2"/>
      <c r="T5419" s="2"/>
      <c r="U5419" s="2"/>
      <c r="V5419" s="2"/>
      <c r="W5419" s="2"/>
    </row>
    <row r="5420" spans="1:23" x14ac:dyDescent="0.25">
      <c r="A5420" s="2"/>
      <c r="B5420" s="2"/>
      <c r="C5420" s="1"/>
      <c r="D5420" s="2"/>
      <c r="E5420" s="2"/>
      <c r="F5420" s="2"/>
      <c r="G5420" s="2"/>
      <c r="H5420" s="2"/>
      <c r="I5420" s="2"/>
      <c r="J5420" s="2"/>
      <c r="K5420" s="2"/>
      <c r="L5420" s="2"/>
      <c r="M5420" s="2"/>
      <c r="N5420" s="2"/>
      <c r="O5420" s="2"/>
      <c r="P5420" s="2"/>
      <c r="Q5420" s="2"/>
      <c r="R5420" s="2"/>
      <c r="S5420" s="2"/>
      <c r="T5420" s="2"/>
      <c r="U5420" s="2"/>
      <c r="V5420" s="2"/>
      <c r="W5420" s="2"/>
    </row>
    <row r="5421" spans="1:23" x14ac:dyDescent="0.25">
      <c r="A5421" s="2"/>
      <c r="B5421" s="2"/>
      <c r="C5421" s="1"/>
      <c r="D5421" s="2"/>
      <c r="E5421" s="2"/>
      <c r="F5421" s="2"/>
      <c r="G5421" s="2"/>
      <c r="H5421" s="2"/>
      <c r="I5421" s="2"/>
      <c r="J5421" s="2"/>
      <c r="K5421" s="2"/>
      <c r="L5421" s="2"/>
      <c r="M5421" s="2"/>
      <c r="N5421" s="2"/>
      <c r="O5421" s="2"/>
      <c r="P5421" s="2"/>
      <c r="Q5421" s="2"/>
      <c r="R5421" s="2"/>
      <c r="S5421" s="2"/>
      <c r="T5421" s="2"/>
      <c r="U5421" s="2"/>
      <c r="V5421" s="2"/>
      <c r="W5421" s="2"/>
    </row>
    <row r="5422" spans="1:23" x14ac:dyDescent="0.25">
      <c r="A5422" s="2"/>
      <c r="B5422" s="2"/>
      <c r="C5422" s="1"/>
      <c r="D5422" s="2"/>
      <c r="E5422" s="2"/>
      <c r="F5422" s="2"/>
      <c r="G5422" s="2"/>
      <c r="H5422" s="2"/>
      <c r="I5422" s="2"/>
      <c r="J5422" s="2"/>
      <c r="K5422" s="2"/>
      <c r="L5422" s="2"/>
      <c r="M5422" s="2"/>
      <c r="N5422" s="2"/>
      <c r="O5422" s="2"/>
      <c r="P5422" s="2"/>
      <c r="Q5422" s="2"/>
      <c r="R5422" s="2"/>
      <c r="S5422" s="2"/>
      <c r="T5422" s="2"/>
      <c r="U5422" s="2"/>
      <c r="V5422" s="2"/>
      <c r="W5422" s="2"/>
    </row>
    <row r="5423" spans="1:23" x14ac:dyDescent="0.25">
      <c r="A5423" s="2"/>
      <c r="B5423" s="2"/>
      <c r="C5423" s="1"/>
      <c r="D5423" s="2"/>
      <c r="E5423" s="2"/>
      <c r="F5423" s="2"/>
      <c r="G5423" s="2"/>
      <c r="H5423" s="2"/>
      <c r="I5423" s="2"/>
      <c r="J5423" s="2"/>
      <c r="K5423" s="2"/>
      <c r="L5423" s="2"/>
      <c r="M5423" s="2"/>
      <c r="N5423" s="2"/>
      <c r="O5423" s="2"/>
      <c r="P5423" s="2"/>
      <c r="Q5423" s="2"/>
      <c r="R5423" s="2"/>
      <c r="S5423" s="2"/>
      <c r="T5423" s="2"/>
      <c r="U5423" s="2"/>
      <c r="V5423" s="2"/>
      <c r="W5423" s="2"/>
    </row>
    <row r="5424" spans="1:23" x14ac:dyDescent="0.25">
      <c r="A5424" s="2"/>
      <c r="B5424" s="2"/>
      <c r="C5424" s="1"/>
      <c r="D5424" s="2"/>
      <c r="E5424" s="2"/>
      <c r="F5424" s="2"/>
      <c r="G5424" s="2"/>
      <c r="H5424" s="2"/>
      <c r="I5424" s="2"/>
      <c r="J5424" s="2"/>
      <c r="K5424" s="2"/>
      <c r="L5424" s="2"/>
      <c r="M5424" s="2"/>
      <c r="N5424" s="2"/>
      <c r="O5424" s="2"/>
      <c r="P5424" s="2"/>
      <c r="Q5424" s="2"/>
      <c r="R5424" s="2"/>
      <c r="S5424" s="2"/>
      <c r="T5424" s="2"/>
      <c r="U5424" s="2"/>
      <c r="V5424" s="2"/>
      <c r="W5424" s="2"/>
    </row>
    <row r="5425" spans="1:23" x14ac:dyDescent="0.25">
      <c r="A5425" s="2"/>
      <c r="B5425" s="2"/>
      <c r="C5425" s="1"/>
      <c r="D5425" s="2"/>
      <c r="E5425" s="2"/>
      <c r="F5425" s="2"/>
      <c r="G5425" s="2"/>
      <c r="H5425" s="2"/>
      <c r="I5425" s="2"/>
      <c r="J5425" s="2"/>
      <c r="K5425" s="2"/>
      <c r="L5425" s="2"/>
      <c r="M5425" s="2"/>
      <c r="N5425" s="2"/>
      <c r="O5425" s="2"/>
      <c r="P5425" s="2"/>
      <c r="Q5425" s="2"/>
      <c r="R5425" s="2"/>
      <c r="S5425" s="2"/>
      <c r="T5425" s="2"/>
      <c r="U5425" s="2"/>
      <c r="V5425" s="2"/>
      <c r="W5425" s="2"/>
    </row>
    <row r="5426" spans="1:23" x14ac:dyDescent="0.25">
      <c r="A5426" s="2"/>
      <c r="B5426" s="2"/>
      <c r="C5426" s="1"/>
      <c r="D5426" s="2"/>
      <c r="E5426" s="2"/>
      <c r="F5426" s="2"/>
      <c r="G5426" s="2"/>
      <c r="H5426" s="2"/>
      <c r="I5426" s="2"/>
      <c r="J5426" s="2"/>
      <c r="K5426" s="2"/>
      <c r="L5426" s="2"/>
      <c r="M5426" s="2"/>
      <c r="N5426" s="2"/>
      <c r="O5426" s="2"/>
      <c r="P5426" s="2"/>
      <c r="Q5426" s="2"/>
      <c r="R5426" s="2"/>
      <c r="S5426" s="2"/>
      <c r="T5426" s="2"/>
      <c r="U5426" s="2"/>
      <c r="V5426" s="2"/>
      <c r="W5426" s="2"/>
    </row>
    <row r="5427" spans="1:23" x14ac:dyDescent="0.25">
      <c r="A5427" s="2"/>
      <c r="B5427" s="2"/>
      <c r="C5427" s="1"/>
      <c r="D5427" s="2"/>
      <c r="E5427" s="2"/>
      <c r="F5427" s="2"/>
      <c r="G5427" s="2"/>
      <c r="H5427" s="2"/>
      <c r="I5427" s="2"/>
      <c r="J5427" s="2"/>
      <c r="K5427" s="2"/>
      <c r="L5427" s="2"/>
      <c r="M5427" s="2"/>
      <c r="N5427" s="2"/>
      <c r="O5427" s="2"/>
      <c r="P5427" s="2"/>
      <c r="Q5427" s="2"/>
      <c r="R5427" s="2"/>
      <c r="S5427" s="2"/>
      <c r="T5427" s="2"/>
      <c r="U5427" s="2"/>
      <c r="V5427" s="2"/>
      <c r="W5427" s="2"/>
    </row>
    <row r="5428" spans="1:23" x14ac:dyDescent="0.25">
      <c r="A5428" s="2"/>
      <c r="B5428" s="2"/>
      <c r="C5428" s="1"/>
      <c r="D5428" s="2"/>
      <c r="E5428" s="2"/>
      <c r="F5428" s="2"/>
      <c r="G5428" s="2"/>
      <c r="H5428" s="2"/>
      <c r="I5428" s="2"/>
      <c r="J5428" s="2"/>
      <c r="K5428" s="2"/>
      <c r="L5428" s="2"/>
      <c r="M5428" s="2"/>
      <c r="N5428" s="2"/>
      <c r="O5428" s="2"/>
      <c r="P5428" s="2"/>
      <c r="Q5428" s="2"/>
      <c r="R5428" s="2"/>
      <c r="S5428" s="2"/>
      <c r="T5428" s="2"/>
      <c r="U5428" s="2"/>
      <c r="V5428" s="2"/>
      <c r="W5428" s="2"/>
    </row>
    <row r="5429" spans="1:23" x14ac:dyDescent="0.25">
      <c r="A5429" s="2"/>
      <c r="B5429" s="2"/>
      <c r="C5429" s="1"/>
      <c r="D5429" s="2"/>
      <c r="E5429" s="2"/>
      <c r="F5429" s="2"/>
      <c r="G5429" s="2"/>
      <c r="H5429" s="2"/>
      <c r="I5429" s="2"/>
      <c r="J5429" s="2"/>
      <c r="K5429" s="2"/>
      <c r="L5429" s="2"/>
      <c r="M5429" s="2"/>
      <c r="N5429" s="2"/>
      <c r="O5429" s="2"/>
      <c r="P5429" s="2"/>
      <c r="Q5429" s="2"/>
      <c r="R5429" s="2"/>
      <c r="S5429" s="2"/>
      <c r="T5429" s="2"/>
      <c r="U5429" s="2"/>
      <c r="V5429" s="2"/>
      <c r="W5429" s="2"/>
    </row>
    <row r="5430" spans="1:23" x14ac:dyDescent="0.25">
      <c r="A5430" s="2"/>
      <c r="B5430" s="2"/>
      <c r="C5430" s="1"/>
      <c r="D5430" s="2"/>
      <c r="E5430" s="2"/>
      <c r="F5430" s="2"/>
      <c r="G5430" s="2"/>
      <c r="H5430" s="2"/>
      <c r="I5430" s="2"/>
      <c r="J5430" s="2"/>
      <c r="K5430" s="2"/>
      <c r="L5430" s="2"/>
      <c r="M5430" s="2"/>
      <c r="N5430" s="2"/>
      <c r="O5430" s="2"/>
      <c r="P5430" s="2"/>
      <c r="Q5430" s="2"/>
      <c r="R5430" s="2"/>
      <c r="S5430" s="2"/>
      <c r="T5430" s="2"/>
      <c r="U5430" s="2"/>
      <c r="V5430" s="2"/>
      <c r="W5430" s="2"/>
    </row>
    <row r="5431" spans="1:23" x14ac:dyDescent="0.25">
      <c r="A5431" s="2"/>
      <c r="B5431" s="2"/>
      <c r="C5431" s="1"/>
      <c r="D5431" s="2"/>
      <c r="E5431" s="2"/>
      <c r="F5431" s="2"/>
      <c r="G5431" s="2"/>
      <c r="H5431" s="2"/>
      <c r="I5431" s="2"/>
      <c r="J5431" s="2"/>
      <c r="K5431" s="2"/>
      <c r="L5431" s="2"/>
      <c r="M5431" s="2"/>
      <c r="N5431" s="2"/>
      <c r="O5431" s="2"/>
      <c r="P5431" s="2"/>
      <c r="Q5431" s="2"/>
      <c r="R5431" s="2"/>
      <c r="S5431" s="2"/>
      <c r="T5431" s="2"/>
      <c r="U5431" s="2"/>
      <c r="V5431" s="2"/>
      <c r="W5431" s="2"/>
    </row>
    <row r="5432" spans="1:23" x14ac:dyDescent="0.25">
      <c r="A5432" s="2"/>
      <c r="B5432" s="2"/>
      <c r="C5432" s="1"/>
      <c r="D5432" s="2"/>
      <c r="E5432" s="2"/>
      <c r="F5432" s="2"/>
      <c r="G5432" s="2"/>
      <c r="H5432" s="2"/>
      <c r="I5432" s="2"/>
      <c r="J5432" s="2"/>
      <c r="K5432" s="2"/>
      <c r="L5432" s="2"/>
      <c r="M5432" s="2"/>
      <c r="N5432" s="2"/>
      <c r="O5432" s="2"/>
      <c r="P5432" s="2"/>
      <c r="Q5432" s="2"/>
      <c r="R5432" s="2"/>
      <c r="S5432" s="2"/>
      <c r="T5432" s="2"/>
      <c r="U5432" s="2"/>
      <c r="V5432" s="2"/>
      <c r="W5432" s="2"/>
    </row>
    <row r="5433" spans="1:23" x14ac:dyDescent="0.25">
      <c r="A5433" s="2"/>
      <c r="B5433" s="2"/>
      <c r="C5433" s="1"/>
      <c r="D5433" s="2"/>
      <c r="E5433" s="2"/>
      <c r="F5433" s="2"/>
      <c r="G5433" s="2"/>
      <c r="H5433" s="2"/>
      <c r="I5433" s="2"/>
      <c r="J5433" s="2"/>
      <c r="K5433" s="2"/>
      <c r="L5433" s="2"/>
      <c r="M5433" s="2"/>
      <c r="N5433" s="2"/>
      <c r="O5433" s="2"/>
      <c r="P5433" s="2"/>
      <c r="Q5433" s="2"/>
      <c r="R5433" s="2"/>
      <c r="S5433" s="2"/>
      <c r="T5433" s="2"/>
      <c r="U5433" s="2"/>
      <c r="V5433" s="2"/>
      <c r="W5433" s="2"/>
    </row>
    <row r="5434" spans="1:23" x14ac:dyDescent="0.25">
      <c r="A5434" s="2"/>
      <c r="B5434" s="2"/>
      <c r="C5434" s="1"/>
      <c r="D5434" s="2"/>
      <c r="E5434" s="2"/>
      <c r="F5434" s="2"/>
      <c r="G5434" s="2"/>
      <c r="H5434" s="2"/>
      <c r="I5434" s="2"/>
      <c r="J5434" s="2"/>
      <c r="K5434" s="2"/>
      <c r="L5434" s="2"/>
      <c r="M5434" s="2"/>
      <c r="N5434" s="2"/>
      <c r="O5434" s="2"/>
      <c r="P5434" s="2"/>
      <c r="Q5434" s="2"/>
      <c r="R5434" s="2"/>
      <c r="S5434" s="2"/>
      <c r="T5434" s="2"/>
      <c r="U5434" s="2"/>
      <c r="V5434" s="2"/>
      <c r="W5434" s="2"/>
    </row>
    <row r="5435" spans="1:23" x14ac:dyDescent="0.25">
      <c r="A5435" s="2"/>
      <c r="B5435" s="2"/>
      <c r="C5435" s="1"/>
      <c r="D5435" s="2"/>
      <c r="E5435" s="2"/>
      <c r="F5435" s="2"/>
      <c r="G5435" s="2"/>
      <c r="H5435" s="2"/>
      <c r="I5435" s="2"/>
      <c r="J5435" s="2"/>
      <c r="K5435" s="2"/>
      <c r="L5435" s="2"/>
      <c r="M5435" s="2"/>
      <c r="N5435" s="2"/>
      <c r="O5435" s="2"/>
      <c r="P5435" s="2"/>
      <c r="Q5435" s="2"/>
      <c r="R5435" s="2"/>
      <c r="S5435" s="2"/>
      <c r="T5435" s="2"/>
      <c r="U5435" s="2"/>
      <c r="V5435" s="2"/>
      <c r="W5435" s="2"/>
    </row>
    <row r="5436" spans="1:23" x14ac:dyDescent="0.25">
      <c r="A5436" s="2"/>
      <c r="B5436" s="2"/>
      <c r="C5436" s="1"/>
      <c r="D5436" s="2"/>
      <c r="E5436" s="2"/>
      <c r="F5436" s="2"/>
      <c r="G5436" s="2"/>
      <c r="H5436" s="2"/>
      <c r="I5436" s="2"/>
      <c r="J5436" s="2"/>
      <c r="K5436" s="2"/>
      <c r="L5436" s="2"/>
      <c r="M5436" s="2"/>
      <c r="N5436" s="2"/>
      <c r="O5436" s="2"/>
      <c r="P5436" s="2"/>
      <c r="Q5436" s="2"/>
      <c r="R5436" s="2"/>
      <c r="S5436" s="2"/>
      <c r="T5436" s="2"/>
      <c r="U5436" s="2"/>
      <c r="V5436" s="2"/>
      <c r="W5436" s="2"/>
    </row>
    <row r="5437" spans="1:23" x14ac:dyDescent="0.25">
      <c r="A5437" s="2"/>
      <c r="B5437" s="2"/>
      <c r="C5437" s="1"/>
      <c r="D5437" s="2"/>
      <c r="E5437" s="2"/>
      <c r="F5437" s="2"/>
      <c r="G5437" s="2"/>
      <c r="H5437" s="2"/>
      <c r="I5437" s="2"/>
      <c r="J5437" s="2"/>
      <c r="K5437" s="2"/>
      <c r="L5437" s="2"/>
      <c r="M5437" s="2"/>
      <c r="N5437" s="2"/>
      <c r="O5437" s="2"/>
      <c r="P5437" s="2"/>
      <c r="Q5437" s="2"/>
      <c r="R5437" s="2"/>
      <c r="S5437" s="2"/>
      <c r="T5437" s="2"/>
      <c r="U5437" s="2"/>
      <c r="V5437" s="2"/>
      <c r="W5437" s="2"/>
    </row>
    <row r="5438" spans="1:23" x14ac:dyDescent="0.25">
      <c r="A5438" s="2"/>
      <c r="B5438" s="2"/>
      <c r="C5438" s="1"/>
      <c r="D5438" s="2"/>
      <c r="E5438" s="2"/>
      <c r="F5438" s="2"/>
      <c r="G5438" s="2"/>
      <c r="H5438" s="2"/>
      <c r="I5438" s="2"/>
      <c r="J5438" s="2"/>
      <c r="K5438" s="2"/>
      <c r="L5438" s="2"/>
      <c r="M5438" s="2"/>
      <c r="N5438" s="2"/>
      <c r="O5438" s="2"/>
      <c r="P5438" s="2"/>
      <c r="Q5438" s="2"/>
      <c r="R5438" s="2"/>
      <c r="S5438" s="2"/>
      <c r="T5438" s="2"/>
      <c r="U5438" s="2"/>
      <c r="V5438" s="2"/>
      <c r="W5438" s="2"/>
    </row>
    <row r="5439" spans="1:23" x14ac:dyDescent="0.25">
      <c r="A5439" s="2"/>
      <c r="B5439" s="2"/>
      <c r="C5439" s="1"/>
      <c r="D5439" s="2"/>
      <c r="E5439" s="2"/>
      <c r="F5439" s="2"/>
      <c r="G5439" s="2"/>
      <c r="H5439" s="2"/>
      <c r="I5439" s="2"/>
      <c r="J5439" s="2"/>
      <c r="K5439" s="2"/>
      <c r="L5439" s="2"/>
      <c r="M5439" s="2"/>
      <c r="N5439" s="2"/>
      <c r="O5439" s="2"/>
      <c r="P5439" s="2"/>
      <c r="Q5439" s="2"/>
      <c r="R5439" s="2"/>
      <c r="S5439" s="2"/>
      <c r="T5439" s="2"/>
      <c r="U5439" s="2"/>
      <c r="V5439" s="2"/>
      <c r="W5439" s="2"/>
    </row>
    <row r="5440" spans="1:23" x14ac:dyDescent="0.25">
      <c r="A5440" s="2"/>
      <c r="B5440" s="2"/>
      <c r="C5440" s="1"/>
      <c r="D5440" s="2"/>
      <c r="E5440" s="2"/>
      <c r="F5440" s="2"/>
      <c r="G5440" s="2"/>
      <c r="H5440" s="2"/>
      <c r="I5440" s="2"/>
      <c r="J5440" s="2"/>
      <c r="K5440" s="2"/>
      <c r="L5440" s="2"/>
      <c r="M5440" s="2"/>
      <c r="N5440" s="2"/>
      <c r="O5440" s="2"/>
      <c r="P5440" s="2"/>
      <c r="Q5440" s="2"/>
      <c r="R5440" s="2"/>
      <c r="S5440" s="2"/>
      <c r="T5440" s="2"/>
      <c r="U5440" s="2"/>
      <c r="V5440" s="2"/>
      <c r="W5440" s="2"/>
    </row>
    <row r="5441" spans="1:23" x14ac:dyDescent="0.25">
      <c r="A5441" s="2"/>
      <c r="B5441" s="2"/>
      <c r="C5441" s="1"/>
      <c r="D5441" s="2"/>
      <c r="E5441" s="2"/>
      <c r="F5441" s="2"/>
      <c r="G5441" s="2"/>
      <c r="H5441" s="2"/>
      <c r="I5441" s="2"/>
      <c r="J5441" s="2"/>
      <c r="K5441" s="2"/>
      <c r="L5441" s="2"/>
      <c r="M5441" s="2"/>
      <c r="N5441" s="2"/>
      <c r="O5441" s="2"/>
      <c r="P5441" s="2"/>
      <c r="Q5441" s="2"/>
      <c r="R5441" s="2"/>
      <c r="S5441" s="2"/>
      <c r="T5441" s="2"/>
      <c r="U5441" s="2"/>
      <c r="V5441" s="2"/>
      <c r="W5441" s="2"/>
    </row>
    <row r="5442" spans="1:23" x14ac:dyDescent="0.25">
      <c r="A5442" s="2"/>
      <c r="B5442" s="2"/>
      <c r="C5442" s="1"/>
      <c r="D5442" s="2"/>
      <c r="E5442" s="2"/>
      <c r="F5442" s="2"/>
      <c r="G5442" s="2"/>
      <c r="H5442" s="2"/>
      <c r="I5442" s="2"/>
      <c r="J5442" s="2"/>
      <c r="K5442" s="2"/>
      <c r="L5442" s="2"/>
      <c r="M5442" s="2"/>
      <c r="N5442" s="2"/>
      <c r="O5442" s="2"/>
      <c r="P5442" s="2"/>
      <c r="Q5442" s="2"/>
      <c r="R5442" s="2"/>
      <c r="S5442" s="2"/>
      <c r="T5442" s="2"/>
      <c r="U5442" s="2"/>
      <c r="V5442" s="2"/>
      <c r="W5442" s="2"/>
    </row>
    <row r="5443" spans="1:23" x14ac:dyDescent="0.25">
      <c r="A5443" s="2"/>
      <c r="B5443" s="2"/>
      <c r="C5443" s="1"/>
      <c r="D5443" s="2"/>
      <c r="E5443" s="2"/>
      <c r="F5443" s="2"/>
      <c r="G5443" s="2"/>
      <c r="H5443" s="2"/>
      <c r="I5443" s="2"/>
      <c r="J5443" s="2"/>
      <c r="K5443" s="2"/>
      <c r="L5443" s="2"/>
      <c r="M5443" s="2"/>
      <c r="N5443" s="2"/>
      <c r="O5443" s="2"/>
      <c r="P5443" s="2"/>
      <c r="Q5443" s="2"/>
      <c r="R5443" s="2"/>
      <c r="S5443" s="2"/>
      <c r="T5443" s="2"/>
      <c r="U5443" s="2"/>
      <c r="V5443" s="2"/>
      <c r="W5443" s="2"/>
    </row>
    <row r="5444" spans="1:23" x14ac:dyDescent="0.25">
      <c r="A5444" s="2"/>
      <c r="B5444" s="2"/>
      <c r="C5444" s="1"/>
      <c r="D5444" s="2"/>
      <c r="E5444" s="2"/>
      <c r="F5444" s="2"/>
      <c r="G5444" s="2"/>
      <c r="H5444" s="2"/>
      <c r="I5444" s="2"/>
      <c r="J5444" s="2"/>
      <c r="K5444" s="2"/>
      <c r="L5444" s="2"/>
      <c r="M5444" s="2"/>
      <c r="N5444" s="2"/>
      <c r="O5444" s="2"/>
      <c r="P5444" s="2"/>
      <c r="Q5444" s="2"/>
      <c r="R5444" s="2"/>
      <c r="S5444" s="2"/>
      <c r="T5444" s="2"/>
      <c r="U5444" s="2"/>
      <c r="V5444" s="2"/>
      <c r="W5444" s="2"/>
    </row>
    <row r="5445" spans="1:23" x14ac:dyDescent="0.25">
      <c r="A5445" s="2"/>
      <c r="B5445" s="2"/>
      <c r="C5445" s="1"/>
      <c r="D5445" s="2"/>
      <c r="E5445" s="2"/>
      <c r="F5445" s="2"/>
      <c r="G5445" s="2"/>
      <c r="H5445" s="2"/>
      <c r="I5445" s="2"/>
      <c r="J5445" s="2"/>
      <c r="K5445" s="2"/>
      <c r="L5445" s="2"/>
      <c r="M5445" s="2"/>
      <c r="N5445" s="2"/>
      <c r="O5445" s="2"/>
      <c r="P5445" s="2"/>
      <c r="Q5445" s="2"/>
      <c r="R5445" s="2"/>
      <c r="S5445" s="2"/>
      <c r="T5445" s="2"/>
      <c r="U5445" s="2"/>
      <c r="V5445" s="2"/>
      <c r="W5445" s="2"/>
    </row>
    <row r="5446" spans="1:23" x14ac:dyDescent="0.25">
      <c r="A5446" s="2"/>
      <c r="B5446" s="2"/>
      <c r="C5446" s="1"/>
      <c r="D5446" s="2"/>
      <c r="E5446" s="2"/>
      <c r="F5446" s="2"/>
      <c r="G5446" s="2"/>
      <c r="H5446" s="2"/>
      <c r="I5446" s="2"/>
      <c r="J5446" s="2"/>
      <c r="K5446" s="2"/>
      <c r="L5446" s="2"/>
      <c r="M5446" s="2"/>
      <c r="N5446" s="2"/>
      <c r="O5446" s="2"/>
      <c r="P5446" s="2"/>
      <c r="Q5446" s="2"/>
      <c r="R5446" s="2"/>
      <c r="S5446" s="2"/>
      <c r="T5446" s="2"/>
      <c r="U5446" s="2"/>
      <c r="V5446" s="2"/>
      <c r="W5446" s="2"/>
    </row>
    <row r="5447" spans="1:23" x14ac:dyDescent="0.25">
      <c r="A5447" s="2"/>
      <c r="B5447" s="2"/>
      <c r="C5447" s="1"/>
      <c r="D5447" s="2"/>
      <c r="E5447" s="2"/>
      <c r="F5447" s="2"/>
      <c r="G5447" s="2"/>
      <c r="H5447" s="2"/>
      <c r="I5447" s="2"/>
      <c r="J5447" s="2"/>
      <c r="K5447" s="2"/>
      <c r="L5447" s="2"/>
      <c r="M5447" s="2"/>
      <c r="N5447" s="2"/>
      <c r="O5447" s="2"/>
      <c r="P5447" s="2"/>
      <c r="Q5447" s="2"/>
      <c r="R5447" s="2"/>
      <c r="S5447" s="2"/>
      <c r="T5447" s="2"/>
      <c r="U5447" s="2"/>
      <c r="V5447" s="2"/>
      <c r="W5447" s="2"/>
    </row>
    <row r="5448" spans="1:23" x14ac:dyDescent="0.25">
      <c r="A5448" s="2"/>
      <c r="B5448" s="2"/>
      <c r="C5448" s="1"/>
      <c r="D5448" s="2"/>
      <c r="E5448" s="2"/>
      <c r="F5448" s="2"/>
      <c r="G5448" s="2"/>
      <c r="H5448" s="2"/>
      <c r="I5448" s="2"/>
      <c r="J5448" s="2"/>
      <c r="K5448" s="2"/>
      <c r="L5448" s="2"/>
      <c r="M5448" s="2"/>
      <c r="N5448" s="2"/>
      <c r="O5448" s="2"/>
      <c r="P5448" s="2"/>
      <c r="Q5448" s="2"/>
      <c r="R5448" s="2"/>
      <c r="S5448" s="2"/>
      <c r="T5448" s="2"/>
      <c r="U5448" s="2"/>
      <c r="V5448" s="2"/>
      <c r="W5448" s="2"/>
    </row>
    <row r="5449" spans="1:23" x14ac:dyDescent="0.25">
      <c r="A5449" s="2"/>
      <c r="B5449" s="2"/>
      <c r="C5449" s="1"/>
      <c r="D5449" s="2"/>
      <c r="E5449" s="2"/>
      <c r="F5449" s="2"/>
      <c r="G5449" s="2"/>
      <c r="H5449" s="2"/>
      <c r="I5449" s="2"/>
      <c r="J5449" s="2"/>
      <c r="K5449" s="2"/>
      <c r="L5449" s="2"/>
      <c r="M5449" s="2"/>
      <c r="N5449" s="2"/>
      <c r="O5449" s="2"/>
      <c r="P5449" s="2"/>
      <c r="Q5449" s="2"/>
      <c r="R5449" s="2"/>
      <c r="S5449" s="2"/>
      <c r="T5449" s="2"/>
      <c r="U5449" s="2"/>
      <c r="V5449" s="2"/>
      <c r="W5449" s="2"/>
    </row>
    <row r="5450" spans="1:23" x14ac:dyDescent="0.25">
      <c r="A5450" s="2"/>
      <c r="B5450" s="2"/>
      <c r="C5450" s="1"/>
      <c r="D5450" s="2"/>
      <c r="E5450" s="2"/>
      <c r="F5450" s="2"/>
      <c r="G5450" s="2"/>
      <c r="H5450" s="2"/>
      <c r="I5450" s="2"/>
      <c r="J5450" s="2"/>
      <c r="K5450" s="2"/>
      <c r="L5450" s="2"/>
      <c r="M5450" s="2"/>
      <c r="N5450" s="2"/>
      <c r="O5450" s="2"/>
      <c r="P5450" s="2"/>
      <c r="Q5450" s="2"/>
      <c r="R5450" s="2"/>
      <c r="S5450" s="2"/>
      <c r="T5450" s="2"/>
      <c r="U5450" s="2"/>
      <c r="V5450" s="2"/>
      <c r="W5450" s="2"/>
    </row>
    <row r="5451" spans="1:23" x14ac:dyDescent="0.25">
      <c r="A5451" s="2"/>
      <c r="B5451" s="2"/>
      <c r="C5451" s="1"/>
      <c r="D5451" s="2"/>
      <c r="E5451" s="2"/>
      <c r="F5451" s="2"/>
      <c r="G5451" s="2"/>
      <c r="H5451" s="2"/>
      <c r="I5451" s="2"/>
      <c r="J5451" s="2"/>
      <c r="K5451" s="2"/>
      <c r="L5451" s="2"/>
      <c r="M5451" s="2"/>
      <c r="N5451" s="2"/>
      <c r="O5451" s="2"/>
      <c r="P5451" s="2"/>
      <c r="Q5451" s="2"/>
      <c r="R5451" s="2"/>
      <c r="S5451" s="2"/>
      <c r="T5451" s="2"/>
      <c r="U5451" s="2"/>
      <c r="V5451" s="2"/>
      <c r="W5451" s="2"/>
    </row>
    <row r="5452" spans="1:23" x14ac:dyDescent="0.25">
      <c r="A5452" s="2"/>
      <c r="B5452" s="2"/>
      <c r="C5452" s="1"/>
      <c r="D5452" s="2"/>
      <c r="E5452" s="2"/>
      <c r="F5452" s="2"/>
      <c r="G5452" s="2"/>
      <c r="H5452" s="2"/>
      <c r="I5452" s="2"/>
      <c r="J5452" s="2"/>
      <c r="K5452" s="2"/>
      <c r="L5452" s="2"/>
      <c r="M5452" s="2"/>
      <c r="N5452" s="2"/>
      <c r="O5452" s="2"/>
      <c r="P5452" s="2"/>
      <c r="Q5452" s="2"/>
      <c r="R5452" s="2"/>
      <c r="S5452" s="2"/>
      <c r="T5452" s="2"/>
      <c r="U5452" s="2"/>
      <c r="V5452" s="2"/>
      <c r="W5452" s="2"/>
    </row>
    <row r="5453" spans="1:23" x14ac:dyDescent="0.25">
      <c r="A5453" s="2"/>
      <c r="B5453" s="2"/>
      <c r="C5453" s="1"/>
      <c r="D5453" s="2"/>
      <c r="E5453" s="2"/>
      <c r="F5453" s="2"/>
      <c r="G5453" s="2"/>
      <c r="H5453" s="2"/>
      <c r="I5453" s="2"/>
      <c r="J5453" s="2"/>
      <c r="K5453" s="2"/>
      <c r="L5453" s="2"/>
      <c r="M5453" s="2"/>
      <c r="N5453" s="2"/>
      <c r="O5453" s="2"/>
      <c r="P5453" s="2"/>
      <c r="Q5453" s="2"/>
      <c r="R5453" s="2"/>
      <c r="S5453" s="2"/>
      <c r="T5453" s="2"/>
      <c r="U5453" s="2"/>
      <c r="V5453" s="2"/>
      <c r="W5453" s="2"/>
    </row>
    <row r="5454" spans="1:23" x14ac:dyDescent="0.25">
      <c r="A5454" s="2"/>
      <c r="B5454" s="2"/>
      <c r="C5454" s="1"/>
      <c r="D5454" s="2"/>
      <c r="E5454" s="2"/>
      <c r="F5454" s="2"/>
      <c r="G5454" s="2"/>
      <c r="H5454" s="2"/>
      <c r="I5454" s="2"/>
      <c r="J5454" s="2"/>
      <c r="K5454" s="2"/>
      <c r="L5454" s="2"/>
      <c r="M5454" s="2"/>
      <c r="N5454" s="2"/>
      <c r="O5454" s="2"/>
      <c r="P5454" s="2"/>
      <c r="Q5454" s="2"/>
      <c r="R5454" s="2"/>
      <c r="S5454" s="2"/>
      <c r="T5454" s="2"/>
      <c r="U5454" s="2"/>
      <c r="V5454" s="2"/>
      <c r="W5454" s="2"/>
    </row>
    <row r="5455" spans="1:23" x14ac:dyDescent="0.25">
      <c r="A5455" s="2"/>
      <c r="B5455" s="2"/>
      <c r="C5455" s="1"/>
      <c r="D5455" s="2"/>
      <c r="E5455" s="2"/>
      <c r="F5455" s="2"/>
      <c r="G5455" s="2"/>
      <c r="H5455" s="2"/>
      <c r="I5455" s="2"/>
      <c r="J5455" s="2"/>
      <c r="K5455" s="2"/>
      <c r="L5455" s="2"/>
      <c r="M5455" s="2"/>
      <c r="N5455" s="2"/>
      <c r="O5455" s="2"/>
      <c r="P5455" s="2"/>
      <c r="Q5455" s="2"/>
      <c r="R5455" s="2"/>
      <c r="S5455" s="2"/>
      <c r="T5455" s="2"/>
      <c r="U5455" s="2"/>
      <c r="V5455" s="2"/>
      <c r="W5455" s="2"/>
    </row>
    <row r="5456" spans="1:23" x14ac:dyDescent="0.25">
      <c r="A5456" s="2"/>
      <c r="B5456" s="2"/>
      <c r="C5456" s="1"/>
      <c r="D5456" s="2"/>
      <c r="E5456" s="2"/>
      <c r="F5456" s="2"/>
      <c r="G5456" s="2"/>
      <c r="H5456" s="2"/>
      <c r="I5456" s="2"/>
      <c r="J5456" s="2"/>
      <c r="K5456" s="2"/>
      <c r="L5456" s="2"/>
      <c r="M5456" s="2"/>
      <c r="N5456" s="2"/>
      <c r="O5456" s="2"/>
      <c r="P5456" s="2"/>
      <c r="Q5456" s="2"/>
      <c r="R5456" s="2"/>
      <c r="S5456" s="2"/>
      <c r="T5456" s="2"/>
      <c r="U5456" s="2"/>
      <c r="V5456" s="2"/>
      <c r="W5456" s="2"/>
    </row>
    <row r="5457" spans="1:23" x14ac:dyDescent="0.25">
      <c r="A5457" s="2"/>
      <c r="B5457" s="2"/>
      <c r="C5457" s="1"/>
      <c r="D5457" s="2"/>
      <c r="E5457" s="2"/>
      <c r="F5457" s="2"/>
      <c r="G5457" s="2"/>
      <c r="H5457" s="2"/>
      <c r="I5457" s="2"/>
      <c r="J5457" s="2"/>
      <c r="K5457" s="2"/>
      <c r="L5457" s="2"/>
      <c r="M5457" s="2"/>
      <c r="N5457" s="2"/>
      <c r="O5457" s="2"/>
      <c r="P5457" s="2"/>
      <c r="Q5457" s="2"/>
      <c r="R5457" s="2"/>
      <c r="S5457" s="2"/>
      <c r="T5457" s="2"/>
      <c r="U5457" s="2"/>
      <c r="V5457" s="2"/>
      <c r="W5457" s="2"/>
    </row>
    <row r="5458" spans="1:23" x14ac:dyDescent="0.25">
      <c r="A5458" s="2"/>
      <c r="B5458" s="2"/>
      <c r="C5458" s="1"/>
      <c r="D5458" s="2"/>
      <c r="E5458" s="2"/>
      <c r="F5458" s="2"/>
      <c r="G5458" s="2"/>
      <c r="H5458" s="2"/>
      <c r="I5458" s="2"/>
      <c r="J5458" s="2"/>
      <c r="K5458" s="2"/>
      <c r="L5458" s="2"/>
      <c r="M5458" s="2"/>
      <c r="N5458" s="2"/>
      <c r="O5458" s="2"/>
      <c r="P5458" s="2"/>
      <c r="Q5458" s="2"/>
      <c r="R5458" s="2"/>
      <c r="S5458" s="2"/>
      <c r="T5458" s="2"/>
      <c r="U5458" s="2"/>
      <c r="V5458" s="2"/>
      <c r="W5458" s="2"/>
    </row>
    <row r="5459" spans="1:23" x14ac:dyDescent="0.25">
      <c r="A5459" s="2"/>
      <c r="B5459" s="2"/>
      <c r="C5459" s="1"/>
      <c r="D5459" s="2"/>
      <c r="E5459" s="2"/>
      <c r="F5459" s="2"/>
      <c r="G5459" s="2"/>
      <c r="H5459" s="2"/>
      <c r="I5459" s="2"/>
      <c r="J5459" s="2"/>
      <c r="K5459" s="2"/>
      <c r="L5459" s="2"/>
      <c r="M5459" s="2"/>
      <c r="N5459" s="2"/>
      <c r="O5459" s="2"/>
      <c r="P5459" s="2"/>
      <c r="Q5459" s="2"/>
      <c r="R5459" s="2"/>
      <c r="S5459" s="2"/>
      <c r="T5459" s="2"/>
      <c r="U5459" s="2"/>
      <c r="V5459" s="2"/>
      <c r="W5459" s="2"/>
    </row>
    <row r="5460" spans="1:23" x14ac:dyDescent="0.25">
      <c r="A5460" s="2"/>
      <c r="B5460" s="2"/>
      <c r="C5460" s="1"/>
      <c r="D5460" s="2"/>
      <c r="E5460" s="2"/>
      <c r="F5460" s="2"/>
      <c r="G5460" s="2"/>
      <c r="H5460" s="2"/>
      <c r="I5460" s="2"/>
      <c r="J5460" s="2"/>
      <c r="K5460" s="2"/>
      <c r="L5460" s="2"/>
      <c r="M5460" s="2"/>
      <c r="N5460" s="2"/>
      <c r="O5460" s="2"/>
      <c r="P5460" s="2"/>
      <c r="Q5460" s="2"/>
      <c r="R5460" s="2"/>
      <c r="S5460" s="2"/>
      <c r="T5460" s="2"/>
      <c r="U5460" s="2"/>
      <c r="V5460" s="2"/>
      <c r="W5460" s="2"/>
    </row>
    <row r="5461" spans="1:23" x14ac:dyDescent="0.25">
      <c r="A5461" s="2"/>
      <c r="B5461" s="2"/>
      <c r="C5461" s="1"/>
      <c r="D5461" s="2"/>
      <c r="E5461" s="2"/>
      <c r="F5461" s="2"/>
      <c r="G5461" s="2"/>
      <c r="H5461" s="2"/>
      <c r="I5461" s="2"/>
      <c r="J5461" s="2"/>
      <c r="K5461" s="2"/>
      <c r="L5461" s="2"/>
      <c r="M5461" s="2"/>
      <c r="N5461" s="2"/>
      <c r="O5461" s="2"/>
      <c r="P5461" s="2"/>
      <c r="Q5461" s="2"/>
      <c r="R5461" s="2"/>
      <c r="S5461" s="2"/>
      <c r="T5461" s="2"/>
      <c r="U5461" s="2"/>
      <c r="V5461" s="2"/>
      <c r="W5461" s="2"/>
    </row>
    <row r="5462" spans="1:23" x14ac:dyDescent="0.25">
      <c r="A5462" s="2"/>
      <c r="B5462" s="2"/>
      <c r="C5462" s="1"/>
      <c r="D5462" s="2"/>
      <c r="E5462" s="2"/>
      <c r="F5462" s="2"/>
      <c r="G5462" s="2"/>
      <c r="H5462" s="2"/>
      <c r="I5462" s="2"/>
      <c r="J5462" s="2"/>
      <c r="K5462" s="2"/>
      <c r="L5462" s="2"/>
      <c r="M5462" s="2"/>
      <c r="N5462" s="2"/>
      <c r="O5462" s="2"/>
      <c r="P5462" s="2"/>
      <c r="Q5462" s="2"/>
      <c r="R5462" s="2"/>
      <c r="S5462" s="2"/>
      <c r="T5462" s="2"/>
      <c r="U5462" s="2"/>
      <c r="V5462" s="2"/>
      <c r="W5462" s="2"/>
    </row>
    <row r="5463" spans="1:23" x14ac:dyDescent="0.25">
      <c r="A5463" s="2"/>
      <c r="B5463" s="2"/>
      <c r="C5463" s="1"/>
      <c r="D5463" s="2"/>
      <c r="E5463" s="2"/>
      <c r="F5463" s="2"/>
      <c r="G5463" s="2"/>
      <c r="H5463" s="2"/>
      <c r="I5463" s="2"/>
      <c r="J5463" s="2"/>
      <c r="K5463" s="2"/>
      <c r="L5463" s="2"/>
      <c r="M5463" s="2"/>
      <c r="N5463" s="2"/>
      <c r="O5463" s="2"/>
      <c r="P5463" s="2"/>
      <c r="Q5463" s="2"/>
      <c r="R5463" s="2"/>
      <c r="S5463" s="2"/>
      <c r="T5463" s="2"/>
      <c r="U5463" s="2"/>
      <c r="V5463" s="2"/>
      <c r="W5463" s="2"/>
    </row>
    <row r="5464" spans="1:23" x14ac:dyDescent="0.25">
      <c r="A5464" s="2"/>
      <c r="B5464" s="2"/>
      <c r="C5464" s="1"/>
      <c r="D5464" s="2"/>
      <c r="E5464" s="2"/>
      <c r="F5464" s="2"/>
      <c r="G5464" s="2"/>
      <c r="H5464" s="2"/>
      <c r="I5464" s="2"/>
      <c r="J5464" s="2"/>
      <c r="K5464" s="2"/>
      <c r="L5464" s="2"/>
      <c r="M5464" s="2"/>
      <c r="N5464" s="2"/>
      <c r="O5464" s="2"/>
      <c r="P5464" s="2"/>
      <c r="Q5464" s="2"/>
      <c r="R5464" s="2"/>
      <c r="S5464" s="2"/>
      <c r="T5464" s="2"/>
      <c r="U5464" s="2"/>
      <c r="V5464" s="2"/>
      <c r="W5464" s="2"/>
    </row>
    <row r="5465" spans="1:23" x14ac:dyDescent="0.25">
      <c r="A5465" s="2"/>
      <c r="B5465" s="2"/>
      <c r="C5465" s="1"/>
      <c r="D5465" s="2"/>
      <c r="E5465" s="2"/>
      <c r="F5465" s="2"/>
      <c r="G5465" s="2"/>
      <c r="H5465" s="2"/>
      <c r="I5465" s="2"/>
      <c r="J5465" s="2"/>
      <c r="K5465" s="2"/>
      <c r="L5465" s="2"/>
      <c r="M5465" s="2"/>
      <c r="N5465" s="2"/>
      <c r="O5465" s="2"/>
      <c r="P5465" s="2"/>
      <c r="Q5465" s="2"/>
      <c r="R5465" s="2"/>
      <c r="S5465" s="2"/>
      <c r="T5465" s="2"/>
      <c r="U5465" s="2"/>
      <c r="V5465" s="2"/>
      <c r="W5465" s="2"/>
    </row>
    <row r="5466" spans="1:23" x14ac:dyDescent="0.25">
      <c r="A5466" s="2"/>
      <c r="B5466" s="2"/>
      <c r="C5466" s="1"/>
      <c r="D5466" s="2"/>
      <c r="E5466" s="2"/>
      <c r="F5466" s="2"/>
      <c r="G5466" s="2"/>
      <c r="H5466" s="2"/>
      <c r="I5466" s="2"/>
      <c r="J5466" s="2"/>
      <c r="K5466" s="2"/>
      <c r="L5466" s="2"/>
      <c r="M5466" s="2"/>
      <c r="N5466" s="2"/>
      <c r="O5466" s="2"/>
      <c r="P5466" s="2"/>
      <c r="Q5466" s="2"/>
      <c r="R5466" s="2"/>
      <c r="S5466" s="2"/>
      <c r="T5466" s="2"/>
      <c r="U5466" s="2"/>
      <c r="V5466" s="2"/>
      <c r="W5466" s="2"/>
    </row>
    <row r="5467" spans="1:23" x14ac:dyDescent="0.25">
      <c r="A5467" s="2"/>
      <c r="B5467" s="2"/>
      <c r="C5467" s="1"/>
      <c r="D5467" s="2"/>
      <c r="E5467" s="2"/>
      <c r="F5467" s="2"/>
      <c r="G5467" s="2"/>
      <c r="H5467" s="2"/>
      <c r="I5467" s="2"/>
      <c r="J5467" s="2"/>
      <c r="K5467" s="2"/>
      <c r="L5467" s="2"/>
      <c r="M5467" s="2"/>
      <c r="N5467" s="2"/>
      <c r="O5467" s="2"/>
      <c r="P5467" s="2"/>
      <c r="Q5467" s="2"/>
      <c r="R5467" s="2"/>
      <c r="S5467" s="2"/>
      <c r="T5467" s="2"/>
      <c r="U5467" s="2"/>
      <c r="V5467" s="2"/>
      <c r="W5467" s="2"/>
    </row>
    <row r="5468" spans="1:23" x14ac:dyDescent="0.25">
      <c r="A5468" s="2"/>
      <c r="B5468" s="2"/>
      <c r="C5468" s="1"/>
      <c r="D5468" s="2"/>
      <c r="E5468" s="2"/>
      <c r="F5468" s="2"/>
      <c r="G5468" s="2"/>
      <c r="H5468" s="2"/>
      <c r="I5468" s="2"/>
      <c r="J5468" s="2"/>
      <c r="K5468" s="2"/>
      <c r="L5468" s="2"/>
      <c r="M5468" s="2"/>
      <c r="N5468" s="2"/>
      <c r="O5468" s="2"/>
      <c r="P5468" s="2"/>
      <c r="Q5468" s="2"/>
      <c r="R5468" s="2"/>
      <c r="S5468" s="2"/>
      <c r="T5468" s="2"/>
      <c r="U5468" s="2"/>
      <c r="V5468" s="2"/>
      <c r="W5468" s="2"/>
    </row>
    <row r="5469" spans="1:23" x14ac:dyDescent="0.25">
      <c r="A5469" s="2"/>
      <c r="B5469" s="2"/>
      <c r="C5469" s="1"/>
      <c r="D5469" s="2"/>
      <c r="E5469" s="2"/>
      <c r="F5469" s="2"/>
      <c r="G5469" s="2"/>
      <c r="H5469" s="2"/>
      <c r="I5469" s="2"/>
      <c r="J5469" s="2"/>
      <c r="K5469" s="2"/>
      <c r="L5469" s="2"/>
      <c r="M5469" s="2"/>
      <c r="N5469" s="2"/>
      <c r="O5469" s="2"/>
      <c r="P5469" s="2"/>
      <c r="Q5469" s="2"/>
      <c r="R5469" s="2"/>
      <c r="S5469" s="2"/>
      <c r="T5469" s="2"/>
      <c r="U5469" s="2"/>
      <c r="V5469" s="2"/>
      <c r="W5469" s="2"/>
    </row>
    <row r="5470" spans="1:23" x14ac:dyDescent="0.25">
      <c r="A5470" s="2"/>
      <c r="B5470" s="2"/>
      <c r="C5470" s="1"/>
      <c r="D5470" s="2"/>
      <c r="E5470" s="2"/>
      <c r="F5470" s="2"/>
      <c r="G5470" s="2"/>
      <c r="H5470" s="2"/>
      <c r="I5470" s="2"/>
      <c r="J5470" s="2"/>
      <c r="K5470" s="2"/>
      <c r="L5470" s="2"/>
      <c r="M5470" s="2"/>
      <c r="N5470" s="2"/>
      <c r="O5470" s="2"/>
      <c r="P5470" s="2"/>
      <c r="Q5470" s="2"/>
      <c r="R5470" s="2"/>
      <c r="S5470" s="2"/>
      <c r="T5470" s="2"/>
      <c r="U5470" s="2"/>
      <c r="V5470" s="2"/>
      <c r="W5470" s="2"/>
    </row>
    <row r="5471" spans="1:23" x14ac:dyDescent="0.25">
      <c r="A5471" s="2"/>
      <c r="B5471" s="2"/>
      <c r="C5471" s="1"/>
      <c r="D5471" s="2"/>
      <c r="E5471" s="2"/>
      <c r="F5471" s="2"/>
      <c r="G5471" s="2"/>
      <c r="H5471" s="2"/>
      <c r="I5471" s="2"/>
      <c r="J5471" s="2"/>
      <c r="K5471" s="2"/>
      <c r="L5471" s="2"/>
      <c r="M5471" s="2"/>
      <c r="N5471" s="2"/>
      <c r="O5471" s="2"/>
      <c r="P5471" s="2"/>
      <c r="Q5471" s="2"/>
      <c r="R5471" s="2"/>
      <c r="S5471" s="2"/>
      <c r="T5471" s="2"/>
      <c r="U5471" s="2"/>
      <c r="V5471" s="2"/>
      <c r="W5471" s="2"/>
    </row>
    <row r="5472" spans="1:23" x14ac:dyDescent="0.25">
      <c r="A5472" s="2"/>
      <c r="B5472" s="2"/>
      <c r="C5472" s="1"/>
      <c r="D5472" s="2"/>
      <c r="E5472" s="2"/>
      <c r="F5472" s="2"/>
      <c r="G5472" s="2"/>
      <c r="H5472" s="2"/>
      <c r="I5472" s="2"/>
      <c r="J5472" s="2"/>
      <c r="K5472" s="2"/>
      <c r="L5472" s="2"/>
      <c r="M5472" s="2"/>
      <c r="N5472" s="2"/>
      <c r="O5472" s="2"/>
      <c r="P5472" s="2"/>
      <c r="Q5472" s="2"/>
      <c r="R5472" s="2"/>
      <c r="S5472" s="2"/>
      <c r="T5472" s="2"/>
      <c r="U5472" s="2"/>
      <c r="V5472" s="2"/>
      <c r="W5472" s="2"/>
    </row>
    <row r="5473" spans="1:23" x14ac:dyDescent="0.25">
      <c r="A5473" s="2"/>
      <c r="B5473" s="2"/>
      <c r="C5473" s="1"/>
      <c r="D5473" s="2"/>
      <c r="E5473" s="2"/>
      <c r="F5473" s="2"/>
      <c r="G5473" s="2"/>
      <c r="H5473" s="2"/>
      <c r="I5473" s="2"/>
      <c r="J5473" s="2"/>
      <c r="K5473" s="2"/>
      <c r="L5473" s="2"/>
      <c r="M5473" s="2"/>
      <c r="N5473" s="2"/>
      <c r="O5473" s="2"/>
      <c r="P5473" s="2"/>
      <c r="Q5473" s="2"/>
      <c r="R5473" s="2"/>
      <c r="S5473" s="2"/>
      <c r="T5473" s="2"/>
      <c r="U5473" s="2"/>
      <c r="V5473" s="2"/>
      <c r="W5473" s="2"/>
    </row>
    <row r="5474" spans="1:23" x14ac:dyDescent="0.25">
      <c r="A5474" s="2"/>
      <c r="B5474" s="2"/>
      <c r="C5474" s="1"/>
      <c r="D5474" s="2"/>
      <c r="E5474" s="2"/>
      <c r="F5474" s="2"/>
      <c r="G5474" s="2"/>
      <c r="H5474" s="2"/>
      <c r="I5474" s="2"/>
      <c r="J5474" s="2"/>
      <c r="K5474" s="2"/>
      <c r="L5474" s="2"/>
      <c r="M5474" s="2"/>
      <c r="N5474" s="2"/>
      <c r="O5474" s="2"/>
      <c r="P5474" s="2"/>
      <c r="Q5474" s="2"/>
      <c r="R5474" s="2"/>
      <c r="S5474" s="2"/>
      <c r="T5474" s="2"/>
      <c r="U5474" s="2"/>
      <c r="V5474" s="2"/>
      <c r="W5474" s="2"/>
    </row>
    <row r="5475" spans="1:23" x14ac:dyDescent="0.25">
      <c r="A5475" s="2"/>
      <c r="B5475" s="2"/>
      <c r="C5475" s="1"/>
      <c r="D5475" s="2"/>
      <c r="E5475" s="2"/>
      <c r="F5475" s="2"/>
      <c r="G5475" s="2"/>
      <c r="H5475" s="2"/>
      <c r="I5475" s="2"/>
      <c r="J5475" s="2"/>
      <c r="K5475" s="2"/>
      <c r="L5475" s="2"/>
      <c r="M5475" s="2"/>
      <c r="N5475" s="2"/>
      <c r="O5475" s="2"/>
      <c r="P5475" s="2"/>
      <c r="Q5475" s="2"/>
      <c r="R5475" s="2"/>
      <c r="S5475" s="2"/>
      <c r="T5475" s="2"/>
      <c r="U5475" s="2"/>
      <c r="V5475" s="2"/>
      <c r="W5475" s="2"/>
    </row>
    <row r="5476" spans="1:23" x14ac:dyDescent="0.25">
      <c r="A5476" s="2"/>
      <c r="B5476" s="2"/>
      <c r="C5476" s="1"/>
      <c r="D5476" s="2"/>
      <c r="E5476" s="2"/>
      <c r="F5476" s="2"/>
      <c r="G5476" s="2"/>
      <c r="H5476" s="2"/>
      <c r="I5476" s="2"/>
      <c r="J5476" s="2"/>
      <c r="K5476" s="2"/>
      <c r="L5476" s="2"/>
      <c r="M5476" s="2"/>
      <c r="N5476" s="2"/>
      <c r="O5476" s="2"/>
      <c r="P5476" s="2"/>
      <c r="Q5476" s="2"/>
      <c r="R5476" s="2"/>
      <c r="S5476" s="2"/>
      <c r="T5476" s="2"/>
      <c r="U5476" s="2"/>
      <c r="V5476" s="2"/>
      <c r="W5476" s="2"/>
    </row>
    <row r="5477" spans="1:23" x14ac:dyDescent="0.25">
      <c r="A5477" s="2"/>
      <c r="B5477" s="2"/>
      <c r="C5477" s="1"/>
      <c r="D5477" s="2"/>
      <c r="E5477" s="2"/>
      <c r="F5477" s="2"/>
      <c r="G5477" s="2"/>
      <c r="H5477" s="2"/>
      <c r="I5477" s="2"/>
      <c r="J5477" s="2"/>
      <c r="K5477" s="2"/>
      <c r="L5477" s="2"/>
      <c r="M5477" s="2"/>
      <c r="N5477" s="2"/>
      <c r="O5477" s="2"/>
      <c r="P5477" s="2"/>
      <c r="Q5477" s="2"/>
      <c r="R5477" s="2"/>
      <c r="S5477" s="2"/>
      <c r="T5477" s="2"/>
      <c r="U5477" s="2"/>
      <c r="V5477" s="2"/>
      <c r="W5477" s="2"/>
    </row>
    <row r="5478" spans="1:23" x14ac:dyDescent="0.25">
      <c r="A5478" s="2"/>
      <c r="B5478" s="2"/>
      <c r="C5478" s="1"/>
      <c r="D5478" s="2"/>
      <c r="E5478" s="2"/>
      <c r="F5478" s="2"/>
      <c r="G5478" s="2"/>
      <c r="H5478" s="2"/>
      <c r="I5478" s="2"/>
      <c r="J5478" s="2"/>
      <c r="K5478" s="2"/>
      <c r="L5478" s="2"/>
      <c r="M5478" s="2"/>
      <c r="N5478" s="2"/>
      <c r="O5478" s="2"/>
      <c r="P5478" s="2"/>
      <c r="Q5478" s="2"/>
      <c r="R5478" s="2"/>
      <c r="S5478" s="2"/>
      <c r="T5478" s="2"/>
      <c r="U5478" s="2"/>
      <c r="V5478" s="2"/>
      <c r="W5478" s="2"/>
    </row>
    <row r="5479" spans="1:23" x14ac:dyDescent="0.25">
      <c r="A5479" s="2"/>
      <c r="B5479" s="2"/>
      <c r="C5479" s="1"/>
      <c r="D5479" s="2"/>
      <c r="E5479" s="2"/>
      <c r="F5479" s="2"/>
      <c r="G5479" s="2"/>
      <c r="H5479" s="2"/>
      <c r="I5479" s="2"/>
      <c r="J5479" s="2"/>
      <c r="K5479" s="2"/>
      <c r="L5479" s="2"/>
      <c r="M5479" s="2"/>
      <c r="N5479" s="2"/>
      <c r="O5479" s="2"/>
      <c r="P5479" s="2"/>
      <c r="Q5479" s="2"/>
      <c r="R5479" s="2"/>
      <c r="S5479" s="2"/>
      <c r="T5479" s="2"/>
      <c r="U5479" s="2"/>
      <c r="V5479" s="2"/>
      <c r="W5479" s="2"/>
    </row>
    <row r="5480" spans="1:23" x14ac:dyDescent="0.25">
      <c r="A5480" s="2"/>
      <c r="B5480" s="2"/>
      <c r="C5480" s="1"/>
      <c r="D5480" s="2"/>
      <c r="E5480" s="2"/>
      <c r="F5480" s="2"/>
      <c r="G5480" s="2"/>
      <c r="H5480" s="2"/>
      <c r="I5480" s="2"/>
      <c r="J5480" s="2"/>
      <c r="K5480" s="2"/>
      <c r="L5480" s="2"/>
      <c r="M5480" s="2"/>
      <c r="N5480" s="2"/>
      <c r="O5480" s="2"/>
      <c r="P5480" s="2"/>
      <c r="Q5480" s="2"/>
      <c r="R5480" s="2"/>
      <c r="S5480" s="2"/>
      <c r="T5480" s="2"/>
      <c r="U5480" s="2"/>
      <c r="V5480" s="2"/>
      <c r="W5480" s="2"/>
    </row>
    <row r="5481" spans="1:23" x14ac:dyDescent="0.25">
      <c r="A5481" s="2"/>
      <c r="B5481" s="2"/>
      <c r="C5481" s="1"/>
      <c r="D5481" s="2"/>
      <c r="E5481" s="2"/>
      <c r="F5481" s="2"/>
      <c r="G5481" s="2"/>
      <c r="H5481" s="2"/>
      <c r="I5481" s="2"/>
      <c r="J5481" s="2"/>
      <c r="K5481" s="2"/>
      <c r="L5481" s="2"/>
      <c r="M5481" s="2"/>
      <c r="N5481" s="2"/>
      <c r="O5481" s="2"/>
      <c r="P5481" s="2"/>
      <c r="Q5481" s="2"/>
      <c r="R5481" s="2"/>
      <c r="S5481" s="2"/>
      <c r="T5481" s="2"/>
      <c r="U5481" s="2"/>
      <c r="V5481" s="2"/>
      <c r="W5481" s="2"/>
    </row>
    <row r="5482" spans="1:23" x14ac:dyDescent="0.25">
      <c r="A5482" s="2"/>
      <c r="B5482" s="2"/>
      <c r="C5482" s="1"/>
      <c r="D5482" s="2"/>
      <c r="E5482" s="2"/>
      <c r="F5482" s="2"/>
      <c r="G5482" s="2"/>
      <c r="H5482" s="2"/>
      <c r="I5482" s="2"/>
      <c r="J5482" s="2"/>
      <c r="K5482" s="2"/>
      <c r="L5482" s="2"/>
      <c r="M5482" s="2"/>
      <c r="N5482" s="2"/>
      <c r="O5482" s="2"/>
      <c r="P5482" s="2"/>
      <c r="Q5482" s="2"/>
      <c r="R5482" s="2"/>
      <c r="S5482" s="2"/>
      <c r="T5482" s="2"/>
      <c r="U5482" s="2"/>
      <c r="V5482" s="2"/>
      <c r="W5482" s="2"/>
    </row>
    <row r="5483" spans="1:23" x14ac:dyDescent="0.25">
      <c r="A5483" s="2"/>
      <c r="B5483" s="2"/>
      <c r="C5483" s="1"/>
      <c r="D5483" s="2"/>
      <c r="E5483" s="2"/>
      <c r="F5483" s="2"/>
      <c r="G5483" s="2"/>
      <c r="H5483" s="2"/>
      <c r="I5483" s="2"/>
      <c r="J5483" s="2"/>
      <c r="K5483" s="2"/>
      <c r="L5483" s="2"/>
      <c r="M5483" s="2"/>
      <c r="N5483" s="2"/>
      <c r="O5483" s="2"/>
      <c r="P5483" s="2"/>
      <c r="Q5483" s="2"/>
      <c r="R5483" s="2"/>
      <c r="S5483" s="2"/>
      <c r="T5483" s="2"/>
      <c r="U5483" s="2"/>
      <c r="V5483" s="2"/>
      <c r="W5483" s="2"/>
    </row>
    <row r="5484" spans="1:23" x14ac:dyDescent="0.25">
      <c r="A5484" s="2"/>
      <c r="B5484" s="2"/>
      <c r="C5484" s="1"/>
      <c r="D5484" s="2"/>
      <c r="E5484" s="2"/>
      <c r="F5484" s="2"/>
      <c r="G5484" s="2"/>
      <c r="H5484" s="2"/>
      <c r="I5484" s="2"/>
      <c r="J5484" s="2"/>
      <c r="K5484" s="2"/>
      <c r="L5484" s="2"/>
      <c r="M5484" s="2"/>
      <c r="N5484" s="2"/>
      <c r="O5484" s="2"/>
      <c r="P5484" s="2"/>
      <c r="Q5484" s="2"/>
      <c r="R5484" s="2"/>
      <c r="S5484" s="2"/>
      <c r="T5484" s="2"/>
      <c r="U5484" s="2"/>
      <c r="V5484" s="2"/>
      <c r="W5484" s="2"/>
    </row>
    <row r="5485" spans="1:23" x14ac:dyDescent="0.25">
      <c r="A5485" s="2"/>
      <c r="B5485" s="2"/>
      <c r="C5485" s="1"/>
      <c r="D5485" s="2"/>
      <c r="E5485" s="2"/>
      <c r="F5485" s="2"/>
      <c r="G5485" s="2"/>
      <c r="H5485" s="2"/>
      <c r="I5485" s="2"/>
      <c r="J5485" s="2"/>
      <c r="K5485" s="2"/>
      <c r="L5485" s="2"/>
      <c r="M5485" s="2"/>
      <c r="N5485" s="2"/>
      <c r="O5485" s="2"/>
      <c r="P5485" s="2"/>
      <c r="Q5485" s="2"/>
      <c r="R5485" s="2"/>
      <c r="S5485" s="2"/>
      <c r="T5485" s="2"/>
      <c r="U5485" s="2"/>
      <c r="V5485" s="2"/>
      <c r="W5485" s="2"/>
    </row>
    <row r="5486" spans="1:23" x14ac:dyDescent="0.25">
      <c r="A5486" s="2"/>
      <c r="B5486" s="2"/>
      <c r="C5486" s="1"/>
      <c r="D5486" s="2"/>
      <c r="E5486" s="2"/>
      <c r="F5486" s="2"/>
      <c r="G5486" s="2"/>
      <c r="H5486" s="2"/>
      <c r="I5486" s="2"/>
      <c r="J5486" s="2"/>
      <c r="K5486" s="2"/>
      <c r="L5486" s="2"/>
      <c r="M5486" s="2"/>
      <c r="N5486" s="2"/>
      <c r="O5486" s="2"/>
      <c r="P5486" s="2"/>
      <c r="Q5486" s="2"/>
      <c r="R5486" s="2"/>
      <c r="S5486" s="2"/>
      <c r="T5486" s="2"/>
      <c r="U5486" s="2"/>
      <c r="V5486" s="2"/>
      <c r="W5486" s="2"/>
    </row>
    <row r="5487" spans="1:23" x14ac:dyDescent="0.25">
      <c r="A5487" s="2"/>
      <c r="B5487" s="2"/>
      <c r="C5487" s="1"/>
      <c r="D5487" s="2"/>
      <c r="E5487" s="2"/>
      <c r="F5487" s="2"/>
      <c r="G5487" s="2"/>
      <c r="H5487" s="2"/>
      <c r="I5487" s="2"/>
      <c r="J5487" s="2"/>
      <c r="K5487" s="2"/>
      <c r="L5487" s="2"/>
      <c r="M5487" s="2"/>
      <c r="N5487" s="2"/>
      <c r="O5487" s="2"/>
      <c r="P5487" s="2"/>
      <c r="Q5487" s="2"/>
      <c r="R5487" s="2"/>
      <c r="S5487" s="2"/>
      <c r="T5487" s="2"/>
      <c r="U5487" s="2"/>
      <c r="V5487" s="2"/>
      <c r="W5487" s="2"/>
    </row>
    <row r="5488" spans="1:23" x14ac:dyDescent="0.25">
      <c r="A5488" s="2"/>
      <c r="B5488" s="2"/>
      <c r="C5488" s="1"/>
      <c r="D5488" s="2"/>
      <c r="E5488" s="2"/>
      <c r="F5488" s="2"/>
      <c r="G5488" s="2"/>
      <c r="H5488" s="2"/>
      <c r="I5488" s="2"/>
      <c r="J5488" s="2"/>
      <c r="K5488" s="2"/>
      <c r="L5488" s="2"/>
      <c r="M5488" s="2"/>
      <c r="N5488" s="2"/>
      <c r="O5488" s="2"/>
      <c r="P5488" s="2"/>
      <c r="Q5488" s="2"/>
      <c r="R5488" s="2"/>
      <c r="S5488" s="2"/>
      <c r="T5488" s="2"/>
      <c r="U5488" s="2"/>
      <c r="V5488" s="2"/>
      <c r="W5488" s="2"/>
    </row>
    <row r="5489" spans="1:23" x14ac:dyDescent="0.25">
      <c r="A5489" s="2"/>
      <c r="B5489" s="2"/>
      <c r="C5489" s="1"/>
      <c r="D5489" s="2"/>
      <c r="E5489" s="2"/>
      <c r="F5489" s="2"/>
      <c r="G5489" s="2"/>
      <c r="H5489" s="2"/>
      <c r="I5489" s="2"/>
      <c r="J5489" s="2"/>
      <c r="K5489" s="2"/>
      <c r="L5489" s="2"/>
      <c r="M5489" s="2"/>
      <c r="N5489" s="2"/>
      <c r="O5489" s="2"/>
      <c r="P5489" s="2"/>
      <c r="Q5489" s="2"/>
      <c r="R5489" s="2"/>
      <c r="S5489" s="2"/>
      <c r="T5489" s="2"/>
      <c r="U5489" s="2"/>
      <c r="V5489" s="2"/>
      <c r="W5489" s="2"/>
    </row>
    <row r="5490" spans="1:23" x14ac:dyDescent="0.25">
      <c r="A5490" s="2"/>
      <c r="B5490" s="2"/>
      <c r="C5490" s="1"/>
      <c r="D5490" s="2"/>
      <c r="E5490" s="2"/>
      <c r="F5490" s="2"/>
      <c r="G5490" s="2"/>
      <c r="H5490" s="2"/>
      <c r="I5490" s="2"/>
      <c r="J5490" s="2"/>
      <c r="K5490" s="2"/>
      <c r="L5490" s="2"/>
      <c r="M5490" s="2"/>
      <c r="N5490" s="2"/>
      <c r="O5490" s="2"/>
      <c r="P5490" s="2"/>
      <c r="Q5490" s="2"/>
      <c r="R5490" s="2"/>
      <c r="S5490" s="2"/>
      <c r="T5490" s="2"/>
      <c r="U5490" s="2"/>
      <c r="V5490" s="2"/>
      <c r="W5490" s="2"/>
    </row>
    <row r="5491" spans="1:23" x14ac:dyDescent="0.25">
      <c r="A5491" s="2"/>
      <c r="B5491" s="2"/>
      <c r="C5491" s="1"/>
      <c r="D5491" s="2"/>
      <c r="E5491" s="2"/>
      <c r="F5491" s="2"/>
      <c r="G5491" s="2"/>
      <c r="H5491" s="2"/>
      <c r="I5491" s="2"/>
      <c r="J5491" s="2"/>
      <c r="K5491" s="2"/>
      <c r="L5491" s="2"/>
      <c r="M5491" s="2"/>
      <c r="N5491" s="2"/>
      <c r="O5491" s="2"/>
      <c r="P5491" s="2"/>
      <c r="Q5491" s="2"/>
      <c r="R5491" s="2"/>
      <c r="S5491" s="2"/>
      <c r="T5491" s="2"/>
      <c r="U5491" s="2"/>
      <c r="V5491" s="2"/>
      <c r="W5491" s="2"/>
    </row>
    <row r="5492" spans="1:23" x14ac:dyDescent="0.25">
      <c r="A5492" s="2"/>
      <c r="B5492" s="2"/>
      <c r="C5492" s="1"/>
      <c r="D5492" s="2"/>
      <c r="E5492" s="2"/>
      <c r="F5492" s="2"/>
      <c r="G5492" s="2"/>
      <c r="H5492" s="2"/>
      <c r="I5492" s="2"/>
      <c r="J5492" s="2"/>
      <c r="K5492" s="2"/>
      <c r="L5492" s="2"/>
      <c r="M5492" s="2"/>
      <c r="N5492" s="2"/>
      <c r="O5492" s="2"/>
      <c r="P5492" s="2"/>
      <c r="Q5492" s="2"/>
      <c r="R5492" s="2"/>
      <c r="S5492" s="2"/>
      <c r="T5492" s="2"/>
      <c r="U5492" s="2"/>
      <c r="V5492" s="2"/>
      <c r="W5492" s="2"/>
    </row>
    <row r="5493" spans="1:23" x14ac:dyDescent="0.25">
      <c r="A5493" s="2"/>
      <c r="B5493" s="2"/>
      <c r="C5493" s="1"/>
      <c r="D5493" s="2"/>
      <c r="E5493" s="2"/>
      <c r="F5493" s="2"/>
      <c r="G5493" s="2"/>
      <c r="H5493" s="2"/>
      <c r="I5493" s="2"/>
      <c r="J5493" s="2"/>
      <c r="K5493" s="2"/>
      <c r="L5493" s="2"/>
      <c r="M5493" s="2"/>
      <c r="N5493" s="2"/>
      <c r="O5493" s="2"/>
      <c r="P5493" s="2"/>
      <c r="Q5493" s="2"/>
      <c r="R5493" s="2"/>
      <c r="S5493" s="2"/>
      <c r="T5493" s="2"/>
      <c r="U5493" s="2"/>
      <c r="V5493" s="2"/>
      <c r="W5493" s="2"/>
    </row>
    <row r="5494" spans="1:23" x14ac:dyDescent="0.25">
      <c r="A5494" s="2"/>
      <c r="B5494" s="2"/>
      <c r="C5494" s="1"/>
      <c r="D5494" s="2"/>
      <c r="E5494" s="2"/>
      <c r="F5494" s="2"/>
      <c r="G5494" s="2"/>
      <c r="H5494" s="2"/>
      <c r="I5494" s="2"/>
      <c r="J5494" s="2"/>
      <c r="K5494" s="2"/>
      <c r="L5494" s="2"/>
      <c r="M5494" s="2"/>
      <c r="N5494" s="2"/>
      <c r="O5494" s="2"/>
      <c r="P5494" s="2"/>
      <c r="Q5494" s="2"/>
      <c r="R5494" s="2"/>
      <c r="S5494" s="2"/>
      <c r="T5494" s="2"/>
      <c r="U5494" s="2"/>
      <c r="V5494" s="2"/>
      <c r="W5494" s="2"/>
    </row>
    <row r="5495" spans="1:23" x14ac:dyDescent="0.25">
      <c r="A5495" s="2"/>
      <c r="B5495" s="2"/>
      <c r="C5495" s="1"/>
      <c r="D5495" s="2"/>
      <c r="E5495" s="2"/>
      <c r="F5495" s="2"/>
      <c r="G5495" s="2"/>
      <c r="H5495" s="2"/>
      <c r="I5495" s="2"/>
      <c r="J5495" s="2"/>
      <c r="K5495" s="2"/>
      <c r="L5495" s="2"/>
      <c r="M5495" s="2"/>
      <c r="N5495" s="2"/>
      <c r="O5495" s="2"/>
      <c r="P5495" s="2"/>
      <c r="Q5495" s="2"/>
      <c r="R5495" s="2"/>
      <c r="S5495" s="2"/>
      <c r="T5495" s="2"/>
      <c r="U5495" s="2"/>
      <c r="V5495" s="2"/>
      <c r="W5495" s="2"/>
    </row>
    <row r="5496" spans="1:23" x14ac:dyDescent="0.25">
      <c r="A5496" s="2"/>
      <c r="B5496" s="2"/>
      <c r="C5496" s="1"/>
      <c r="D5496" s="2"/>
      <c r="E5496" s="2"/>
      <c r="F5496" s="2"/>
      <c r="G5496" s="2"/>
      <c r="H5496" s="2"/>
      <c r="I5496" s="2"/>
      <c r="J5496" s="2"/>
      <c r="K5496" s="2"/>
      <c r="L5496" s="2"/>
      <c r="M5496" s="2"/>
      <c r="N5496" s="2"/>
      <c r="O5496" s="2"/>
      <c r="P5496" s="2"/>
      <c r="Q5496" s="2"/>
      <c r="R5496" s="2"/>
      <c r="S5496" s="2"/>
      <c r="T5496" s="2"/>
      <c r="U5496" s="2"/>
      <c r="V5496" s="2"/>
      <c r="W5496" s="2"/>
    </row>
    <row r="5497" spans="1:23" x14ac:dyDescent="0.25">
      <c r="A5497" s="2"/>
      <c r="B5497" s="2"/>
      <c r="C5497" s="1"/>
      <c r="D5497" s="2"/>
      <c r="E5497" s="2"/>
      <c r="F5497" s="2"/>
      <c r="G5497" s="2"/>
      <c r="H5497" s="2"/>
      <c r="I5497" s="2"/>
      <c r="J5497" s="2"/>
      <c r="K5497" s="2"/>
      <c r="L5497" s="2"/>
      <c r="M5497" s="2"/>
      <c r="N5497" s="2"/>
      <c r="O5497" s="2"/>
      <c r="P5497" s="2"/>
      <c r="Q5497" s="2"/>
      <c r="R5497" s="2"/>
      <c r="S5497" s="2"/>
      <c r="T5497" s="2"/>
      <c r="U5497" s="2"/>
      <c r="V5497" s="2"/>
      <c r="W5497" s="2"/>
    </row>
    <row r="5498" spans="1:23" x14ac:dyDescent="0.25">
      <c r="A5498" s="2"/>
      <c r="B5498" s="2"/>
      <c r="C5498" s="1"/>
      <c r="D5498" s="2"/>
      <c r="E5498" s="2"/>
      <c r="F5498" s="2"/>
      <c r="G5498" s="2"/>
      <c r="H5498" s="2"/>
      <c r="I5498" s="2"/>
      <c r="J5498" s="2"/>
      <c r="K5498" s="2"/>
      <c r="L5498" s="2"/>
      <c r="M5498" s="2"/>
      <c r="N5498" s="2"/>
      <c r="O5498" s="2"/>
      <c r="P5498" s="2"/>
      <c r="Q5498" s="2"/>
      <c r="R5498" s="2"/>
      <c r="S5498" s="2"/>
      <c r="T5498" s="2"/>
      <c r="U5498" s="2"/>
      <c r="V5498" s="2"/>
      <c r="W5498" s="2"/>
    </row>
    <row r="5499" spans="1:23" x14ac:dyDescent="0.25">
      <c r="A5499" s="2"/>
      <c r="B5499" s="2"/>
      <c r="C5499" s="1"/>
      <c r="D5499" s="2"/>
      <c r="E5499" s="2"/>
      <c r="F5499" s="2"/>
      <c r="G5499" s="2"/>
      <c r="H5499" s="2"/>
      <c r="I5499" s="2"/>
      <c r="J5499" s="2"/>
      <c r="K5499" s="2"/>
      <c r="L5499" s="2"/>
      <c r="M5499" s="2"/>
      <c r="N5499" s="2"/>
      <c r="O5499" s="2"/>
      <c r="P5499" s="2"/>
      <c r="Q5499" s="2"/>
      <c r="R5499" s="2"/>
      <c r="S5499" s="2"/>
      <c r="T5499" s="2"/>
      <c r="U5499" s="2"/>
      <c r="V5499" s="2"/>
      <c r="W5499" s="2"/>
    </row>
    <row r="5500" spans="1:23" x14ac:dyDescent="0.25">
      <c r="A5500" s="2"/>
      <c r="B5500" s="2"/>
      <c r="C5500" s="1"/>
      <c r="D5500" s="2"/>
      <c r="E5500" s="2"/>
      <c r="F5500" s="2"/>
      <c r="G5500" s="2"/>
      <c r="H5500" s="2"/>
      <c r="I5500" s="2"/>
      <c r="J5500" s="2"/>
      <c r="K5500" s="2"/>
      <c r="L5500" s="2"/>
      <c r="M5500" s="2"/>
      <c r="N5500" s="2"/>
      <c r="O5500" s="2"/>
      <c r="P5500" s="2"/>
      <c r="Q5500" s="2"/>
      <c r="R5500" s="2"/>
      <c r="S5500" s="2"/>
      <c r="T5500" s="2"/>
      <c r="U5500" s="2"/>
      <c r="V5500" s="2"/>
      <c r="W5500" s="2"/>
    </row>
    <row r="5501" spans="1:23" x14ac:dyDescent="0.25">
      <c r="A5501" s="2"/>
      <c r="B5501" s="2"/>
      <c r="C5501" s="1"/>
      <c r="D5501" s="2"/>
      <c r="E5501" s="2"/>
      <c r="F5501" s="2"/>
      <c r="G5501" s="2"/>
      <c r="H5501" s="2"/>
      <c r="I5501" s="2"/>
      <c r="J5501" s="2"/>
      <c r="K5501" s="2"/>
      <c r="L5501" s="2"/>
      <c r="M5501" s="2"/>
      <c r="N5501" s="2"/>
      <c r="O5501" s="2"/>
      <c r="P5501" s="2"/>
      <c r="Q5501" s="2"/>
      <c r="R5501" s="2"/>
      <c r="S5501" s="2"/>
      <c r="T5501" s="2"/>
      <c r="U5501" s="2"/>
      <c r="V5501" s="2"/>
      <c r="W5501" s="2"/>
    </row>
    <row r="5502" spans="1:23" x14ac:dyDescent="0.25">
      <c r="A5502" s="2"/>
      <c r="B5502" s="2"/>
      <c r="C5502" s="1"/>
      <c r="D5502" s="2"/>
      <c r="E5502" s="2"/>
      <c r="F5502" s="2"/>
      <c r="G5502" s="2"/>
      <c r="H5502" s="2"/>
      <c r="I5502" s="2"/>
      <c r="J5502" s="2"/>
      <c r="K5502" s="2"/>
      <c r="L5502" s="2"/>
      <c r="M5502" s="2"/>
      <c r="N5502" s="2"/>
      <c r="O5502" s="2"/>
      <c r="P5502" s="2"/>
      <c r="Q5502" s="2"/>
      <c r="R5502" s="2"/>
      <c r="S5502" s="2"/>
      <c r="T5502" s="2"/>
      <c r="U5502" s="2"/>
      <c r="V5502" s="2"/>
      <c r="W5502" s="2"/>
    </row>
    <row r="5503" spans="1:23" x14ac:dyDescent="0.25">
      <c r="A5503" s="2"/>
      <c r="B5503" s="2"/>
      <c r="C5503" s="1"/>
      <c r="D5503" s="2"/>
      <c r="E5503" s="2"/>
      <c r="F5503" s="2"/>
      <c r="G5503" s="2"/>
      <c r="H5503" s="2"/>
      <c r="I5503" s="2"/>
      <c r="J5503" s="2"/>
      <c r="K5503" s="2"/>
      <c r="L5503" s="2"/>
      <c r="M5503" s="2"/>
      <c r="N5503" s="2"/>
      <c r="O5503" s="2"/>
      <c r="P5503" s="2"/>
      <c r="Q5503" s="2"/>
      <c r="R5503" s="2"/>
      <c r="S5503" s="2"/>
      <c r="T5503" s="2"/>
      <c r="U5503" s="2"/>
      <c r="V5503" s="2"/>
      <c r="W5503" s="2"/>
    </row>
    <row r="5504" spans="1:23" x14ac:dyDescent="0.25">
      <c r="A5504" s="2"/>
      <c r="B5504" s="2"/>
      <c r="C5504" s="1"/>
      <c r="D5504" s="2"/>
      <c r="E5504" s="2"/>
      <c r="F5504" s="2"/>
      <c r="G5504" s="2"/>
      <c r="H5504" s="2"/>
      <c r="I5504" s="2"/>
      <c r="J5504" s="2"/>
      <c r="K5504" s="2"/>
      <c r="L5504" s="2"/>
      <c r="M5504" s="2"/>
      <c r="N5504" s="2"/>
      <c r="O5504" s="2"/>
      <c r="P5504" s="2"/>
      <c r="Q5504" s="2"/>
      <c r="R5504" s="2"/>
      <c r="S5504" s="2"/>
      <c r="T5504" s="2"/>
      <c r="U5504" s="2"/>
      <c r="V5504" s="2"/>
      <c r="W5504" s="2"/>
    </row>
    <row r="5505" spans="1:23" x14ac:dyDescent="0.25">
      <c r="A5505" s="2"/>
      <c r="B5505" s="2"/>
      <c r="C5505" s="1"/>
      <c r="D5505" s="2"/>
      <c r="E5505" s="2"/>
      <c r="F5505" s="2"/>
      <c r="G5505" s="2"/>
      <c r="H5505" s="2"/>
      <c r="I5505" s="2"/>
      <c r="J5505" s="2"/>
      <c r="K5505" s="2"/>
      <c r="L5505" s="2"/>
      <c r="M5505" s="2"/>
      <c r="N5505" s="2"/>
      <c r="O5505" s="2"/>
      <c r="P5505" s="2"/>
      <c r="Q5505" s="2"/>
      <c r="R5505" s="2"/>
      <c r="S5505" s="2"/>
      <c r="T5505" s="2"/>
      <c r="U5505" s="2"/>
      <c r="V5505" s="2"/>
      <c r="W5505" s="2"/>
    </row>
    <row r="5506" spans="1:23" x14ac:dyDescent="0.25">
      <c r="A5506" s="2"/>
      <c r="B5506" s="2"/>
      <c r="C5506" s="1"/>
      <c r="D5506" s="2"/>
      <c r="E5506" s="2"/>
      <c r="F5506" s="2"/>
      <c r="G5506" s="2"/>
      <c r="H5506" s="2"/>
      <c r="I5506" s="2"/>
      <c r="J5506" s="2"/>
      <c r="K5506" s="2"/>
      <c r="L5506" s="2"/>
      <c r="M5506" s="2"/>
      <c r="N5506" s="2"/>
      <c r="O5506" s="2"/>
      <c r="P5506" s="2"/>
      <c r="Q5506" s="2"/>
      <c r="R5506" s="2"/>
      <c r="S5506" s="2"/>
      <c r="T5506" s="2"/>
      <c r="U5506" s="2"/>
      <c r="V5506" s="2"/>
      <c r="W5506" s="2"/>
    </row>
    <row r="5507" spans="1:23" x14ac:dyDescent="0.25">
      <c r="A5507" s="2"/>
      <c r="B5507" s="2"/>
      <c r="C5507" s="1"/>
      <c r="D5507" s="2"/>
      <c r="E5507" s="2"/>
      <c r="F5507" s="2"/>
      <c r="G5507" s="2"/>
      <c r="H5507" s="2"/>
      <c r="I5507" s="2"/>
      <c r="J5507" s="2"/>
      <c r="K5507" s="2"/>
      <c r="L5507" s="2"/>
      <c r="M5507" s="2"/>
      <c r="N5507" s="2"/>
      <c r="O5507" s="2"/>
      <c r="P5507" s="2"/>
      <c r="Q5507" s="2"/>
      <c r="R5507" s="2"/>
      <c r="S5507" s="2"/>
      <c r="T5507" s="2"/>
      <c r="U5507" s="2"/>
      <c r="V5507" s="2"/>
      <c r="W5507" s="2"/>
    </row>
    <row r="5508" spans="1:23" x14ac:dyDescent="0.25">
      <c r="A5508" s="2"/>
      <c r="B5508" s="2"/>
      <c r="C5508" s="1"/>
      <c r="D5508" s="2"/>
      <c r="E5508" s="2"/>
      <c r="F5508" s="2"/>
      <c r="G5508" s="2"/>
      <c r="H5508" s="2"/>
      <c r="I5508" s="2"/>
      <c r="J5508" s="2"/>
      <c r="K5508" s="2"/>
      <c r="L5508" s="2"/>
      <c r="M5508" s="2"/>
      <c r="N5508" s="2"/>
      <c r="O5508" s="2"/>
      <c r="P5508" s="2"/>
      <c r="Q5508" s="2"/>
      <c r="R5508" s="2"/>
      <c r="S5508" s="2"/>
      <c r="T5508" s="2"/>
      <c r="U5508" s="2"/>
      <c r="V5508" s="2"/>
      <c r="W5508" s="2"/>
    </row>
    <row r="5509" spans="1:23" x14ac:dyDescent="0.25">
      <c r="A5509" s="2"/>
      <c r="B5509" s="2"/>
      <c r="C5509" s="1"/>
      <c r="D5509" s="2"/>
      <c r="E5509" s="2"/>
      <c r="F5509" s="2"/>
      <c r="G5509" s="2"/>
      <c r="H5509" s="2"/>
      <c r="I5509" s="2"/>
      <c r="J5509" s="2"/>
      <c r="K5509" s="2"/>
      <c r="L5509" s="2"/>
      <c r="M5509" s="2"/>
      <c r="N5509" s="2"/>
      <c r="O5509" s="2"/>
      <c r="P5509" s="2"/>
      <c r="Q5509" s="2"/>
      <c r="R5509" s="2"/>
      <c r="S5509" s="2"/>
      <c r="T5509" s="2"/>
      <c r="U5509" s="2"/>
      <c r="V5509" s="2"/>
      <c r="W5509" s="2"/>
    </row>
    <row r="5510" spans="1:23" x14ac:dyDescent="0.25">
      <c r="A5510" s="2"/>
      <c r="B5510" s="2"/>
      <c r="C5510" s="1"/>
      <c r="D5510" s="2"/>
      <c r="E5510" s="2"/>
      <c r="F5510" s="2"/>
      <c r="G5510" s="2"/>
      <c r="H5510" s="2"/>
      <c r="I5510" s="2"/>
      <c r="J5510" s="2"/>
      <c r="K5510" s="2"/>
      <c r="L5510" s="2"/>
      <c r="M5510" s="2"/>
      <c r="N5510" s="2"/>
      <c r="O5510" s="2"/>
      <c r="P5510" s="2"/>
      <c r="Q5510" s="2"/>
      <c r="R5510" s="2"/>
      <c r="S5510" s="2"/>
      <c r="T5510" s="2"/>
      <c r="U5510" s="2"/>
      <c r="V5510" s="2"/>
      <c r="W5510" s="2"/>
    </row>
    <row r="5511" spans="1:23" x14ac:dyDescent="0.25">
      <c r="A5511" s="2"/>
      <c r="B5511" s="2"/>
      <c r="C5511" s="1"/>
      <c r="D5511" s="2"/>
      <c r="E5511" s="2"/>
      <c r="F5511" s="2"/>
      <c r="G5511" s="2"/>
      <c r="H5511" s="2"/>
      <c r="I5511" s="2"/>
      <c r="J5511" s="2"/>
      <c r="K5511" s="2"/>
      <c r="L5511" s="2"/>
      <c r="M5511" s="2"/>
      <c r="N5511" s="2"/>
      <c r="O5511" s="2"/>
      <c r="P5511" s="2"/>
      <c r="Q5511" s="2"/>
      <c r="R5511" s="2"/>
      <c r="S5511" s="2"/>
      <c r="T5511" s="2"/>
      <c r="U5511" s="2"/>
      <c r="V5511" s="2"/>
      <c r="W5511" s="2"/>
    </row>
    <row r="5512" spans="1:23" x14ac:dyDescent="0.25">
      <c r="A5512" s="2"/>
      <c r="B5512" s="2"/>
      <c r="C5512" s="1"/>
      <c r="D5512" s="2"/>
      <c r="E5512" s="2"/>
      <c r="F5512" s="2"/>
      <c r="G5512" s="2"/>
      <c r="H5512" s="2"/>
      <c r="I5512" s="2"/>
      <c r="J5512" s="2"/>
      <c r="K5512" s="2"/>
      <c r="L5512" s="2"/>
      <c r="M5512" s="2"/>
      <c r="N5512" s="2"/>
      <c r="O5512" s="2"/>
      <c r="P5512" s="2"/>
      <c r="Q5512" s="2"/>
      <c r="R5512" s="2"/>
      <c r="S5512" s="2"/>
      <c r="T5512" s="2"/>
      <c r="U5512" s="2"/>
      <c r="V5512" s="2"/>
      <c r="W5512" s="2"/>
    </row>
    <row r="5513" spans="1:23" x14ac:dyDescent="0.25">
      <c r="A5513" s="2"/>
      <c r="B5513" s="2"/>
      <c r="C5513" s="1"/>
      <c r="D5513" s="2"/>
      <c r="E5513" s="2"/>
      <c r="F5513" s="2"/>
      <c r="G5513" s="2"/>
      <c r="H5513" s="2"/>
      <c r="I5513" s="2"/>
      <c r="J5513" s="2"/>
      <c r="K5513" s="2"/>
      <c r="L5513" s="2"/>
      <c r="M5513" s="2"/>
      <c r="N5513" s="2"/>
      <c r="O5513" s="2"/>
      <c r="P5513" s="2"/>
      <c r="Q5513" s="2"/>
      <c r="R5513" s="2"/>
      <c r="S5513" s="2"/>
      <c r="T5513" s="2"/>
      <c r="U5513" s="2"/>
      <c r="V5513" s="2"/>
      <c r="W5513" s="2"/>
    </row>
    <row r="5514" spans="1:23" x14ac:dyDescent="0.25">
      <c r="A5514" s="2"/>
      <c r="B5514" s="2"/>
      <c r="C5514" s="1"/>
      <c r="D5514" s="2"/>
      <c r="E5514" s="2"/>
      <c r="F5514" s="2"/>
      <c r="G5514" s="2"/>
      <c r="H5514" s="2"/>
      <c r="I5514" s="2"/>
      <c r="J5514" s="2"/>
      <c r="K5514" s="2"/>
      <c r="L5514" s="2"/>
      <c r="M5514" s="2"/>
      <c r="N5514" s="2"/>
      <c r="O5514" s="2"/>
      <c r="P5514" s="2"/>
      <c r="Q5514" s="2"/>
      <c r="R5514" s="2"/>
      <c r="S5514" s="2"/>
      <c r="T5514" s="2"/>
      <c r="U5514" s="2"/>
      <c r="V5514" s="2"/>
      <c r="W5514" s="2"/>
    </row>
    <row r="5515" spans="1:23" x14ac:dyDescent="0.25">
      <c r="A5515" s="2"/>
      <c r="B5515" s="2"/>
      <c r="C5515" s="1"/>
      <c r="D5515" s="2"/>
      <c r="E5515" s="2"/>
      <c r="F5515" s="2"/>
      <c r="G5515" s="2"/>
      <c r="H5515" s="2"/>
      <c r="I5515" s="2"/>
      <c r="J5515" s="2"/>
      <c r="K5515" s="2"/>
      <c r="L5515" s="2"/>
      <c r="M5515" s="2"/>
      <c r="N5515" s="2"/>
      <c r="O5515" s="2"/>
      <c r="P5515" s="2"/>
      <c r="Q5515" s="2"/>
      <c r="R5515" s="2"/>
      <c r="S5515" s="2"/>
      <c r="T5515" s="2"/>
      <c r="U5515" s="2"/>
      <c r="V5515" s="2"/>
      <c r="W5515" s="2"/>
    </row>
    <row r="5516" spans="1:23" x14ac:dyDescent="0.25">
      <c r="A5516" s="2"/>
      <c r="B5516" s="2"/>
      <c r="C5516" s="1"/>
      <c r="D5516" s="2"/>
      <c r="E5516" s="2"/>
      <c r="F5516" s="2"/>
      <c r="G5516" s="2"/>
      <c r="H5516" s="2"/>
      <c r="I5516" s="2"/>
      <c r="J5516" s="2"/>
      <c r="K5516" s="2"/>
      <c r="L5516" s="2"/>
      <c r="M5516" s="2"/>
      <c r="N5516" s="2"/>
      <c r="O5516" s="2"/>
      <c r="P5516" s="2"/>
      <c r="Q5516" s="2"/>
      <c r="R5516" s="2"/>
      <c r="S5516" s="2"/>
      <c r="T5516" s="2"/>
      <c r="U5516" s="2"/>
      <c r="V5516" s="2"/>
      <c r="W5516" s="2"/>
    </row>
    <row r="5517" spans="1:23" x14ac:dyDescent="0.25">
      <c r="A5517" s="2"/>
      <c r="B5517" s="2"/>
      <c r="C5517" s="1"/>
      <c r="D5517" s="2"/>
      <c r="E5517" s="2"/>
      <c r="F5517" s="2"/>
      <c r="G5517" s="2"/>
      <c r="H5517" s="2"/>
      <c r="I5517" s="2"/>
      <c r="J5517" s="2"/>
      <c r="K5517" s="2"/>
      <c r="L5517" s="2"/>
      <c r="M5517" s="2"/>
      <c r="N5517" s="2"/>
      <c r="O5517" s="2"/>
      <c r="P5517" s="2"/>
      <c r="Q5517" s="2"/>
      <c r="R5517" s="2"/>
      <c r="S5517" s="2"/>
      <c r="T5517" s="2"/>
      <c r="U5517" s="2"/>
      <c r="V5517" s="2"/>
      <c r="W5517" s="2"/>
    </row>
    <row r="5518" spans="1:23" x14ac:dyDescent="0.25">
      <c r="A5518" s="2"/>
      <c r="B5518" s="2"/>
      <c r="C5518" s="1"/>
      <c r="D5518" s="2"/>
      <c r="E5518" s="2"/>
      <c r="F5518" s="2"/>
      <c r="G5518" s="2"/>
      <c r="H5518" s="2"/>
      <c r="I5518" s="2"/>
      <c r="J5518" s="2"/>
      <c r="K5518" s="2"/>
      <c r="L5518" s="2"/>
      <c r="M5518" s="2"/>
      <c r="N5518" s="2"/>
      <c r="O5518" s="2"/>
      <c r="P5518" s="2"/>
      <c r="Q5518" s="2"/>
      <c r="R5518" s="2"/>
      <c r="S5518" s="2"/>
      <c r="T5518" s="2"/>
      <c r="U5518" s="2"/>
      <c r="V5518" s="2"/>
      <c r="W5518" s="2"/>
    </row>
    <row r="5519" spans="1:23" x14ac:dyDescent="0.25">
      <c r="A5519" s="2"/>
      <c r="B5519" s="2"/>
      <c r="C5519" s="1"/>
      <c r="D5519" s="2"/>
      <c r="E5519" s="2"/>
      <c r="F5519" s="2"/>
      <c r="G5519" s="2"/>
      <c r="H5519" s="2"/>
      <c r="I5519" s="2"/>
      <c r="J5519" s="2"/>
      <c r="K5519" s="2"/>
      <c r="L5519" s="2"/>
      <c r="M5519" s="2"/>
      <c r="N5519" s="2"/>
      <c r="O5519" s="2"/>
      <c r="P5519" s="2"/>
      <c r="Q5519" s="2"/>
      <c r="R5519" s="2"/>
      <c r="S5519" s="2"/>
      <c r="T5519" s="2"/>
      <c r="U5519" s="2"/>
      <c r="V5519" s="2"/>
      <c r="W5519" s="2"/>
    </row>
    <row r="5520" spans="1:23" x14ac:dyDescent="0.25">
      <c r="A5520" s="2"/>
      <c r="B5520" s="2"/>
      <c r="C5520" s="1"/>
      <c r="D5520" s="2"/>
      <c r="E5520" s="2"/>
      <c r="F5520" s="2"/>
      <c r="G5520" s="2"/>
      <c r="H5520" s="2"/>
      <c r="I5520" s="2"/>
      <c r="J5520" s="2"/>
      <c r="K5520" s="2"/>
      <c r="L5520" s="2"/>
      <c r="M5520" s="2"/>
      <c r="N5520" s="2"/>
      <c r="O5520" s="2"/>
      <c r="P5520" s="2"/>
      <c r="Q5520" s="2"/>
      <c r="R5520" s="2"/>
      <c r="S5520" s="2"/>
      <c r="T5520" s="2"/>
      <c r="U5520" s="2"/>
      <c r="V5520" s="2"/>
      <c r="W5520" s="2"/>
    </row>
    <row r="5521" spans="1:23" x14ac:dyDescent="0.25">
      <c r="A5521" s="2"/>
      <c r="B5521" s="2"/>
      <c r="C5521" s="1"/>
      <c r="D5521" s="2"/>
      <c r="E5521" s="2"/>
      <c r="F5521" s="2"/>
      <c r="G5521" s="2"/>
      <c r="H5521" s="2"/>
      <c r="I5521" s="2"/>
      <c r="J5521" s="2"/>
      <c r="K5521" s="2"/>
      <c r="L5521" s="2"/>
      <c r="M5521" s="2"/>
      <c r="N5521" s="2"/>
      <c r="O5521" s="2"/>
      <c r="P5521" s="2"/>
      <c r="Q5521" s="2"/>
      <c r="R5521" s="2"/>
      <c r="S5521" s="2"/>
      <c r="T5521" s="2"/>
      <c r="U5521" s="2"/>
      <c r="V5521" s="2"/>
      <c r="W5521" s="2"/>
    </row>
    <row r="5522" spans="1:23" x14ac:dyDescent="0.25">
      <c r="A5522" s="2"/>
      <c r="B5522" s="2"/>
      <c r="C5522" s="1"/>
      <c r="D5522" s="2"/>
      <c r="E5522" s="2"/>
      <c r="F5522" s="2"/>
      <c r="G5522" s="2"/>
      <c r="H5522" s="2"/>
      <c r="I5522" s="2"/>
      <c r="J5522" s="2"/>
      <c r="K5522" s="2"/>
      <c r="L5522" s="2"/>
      <c r="M5522" s="2"/>
      <c r="N5522" s="2"/>
      <c r="O5522" s="2"/>
      <c r="P5522" s="2"/>
      <c r="Q5522" s="2"/>
      <c r="R5522" s="2"/>
      <c r="S5522" s="2"/>
      <c r="T5522" s="2"/>
      <c r="U5522" s="2"/>
      <c r="V5522" s="2"/>
      <c r="W5522" s="2"/>
    </row>
    <row r="5523" spans="1:23" x14ac:dyDescent="0.25">
      <c r="A5523" s="2"/>
      <c r="B5523" s="2"/>
      <c r="C5523" s="1"/>
      <c r="D5523" s="2"/>
      <c r="E5523" s="2"/>
      <c r="F5523" s="2"/>
      <c r="G5523" s="2"/>
      <c r="H5523" s="2"/>
      <c r="I5523" s="2"/>
      <c r="J5523" s="2"/>
      <c r="K5523" s="2"/>
      <c r="L5523" s="2"/>
      <c r="M5523" s="2"/>
      <c r="N5523" s="2"/>
      <c r="O5523" s="2"/>
      <c r="P5523" s="2"/>
      <c r="Q5523" s="2"/>
      <c r="R5523" s="2"/>
      <c r="S5523" s="2"/>
      <c r="T5523" s="2"/>
      <c r="U5523" s="2"/>
      <c r="V5523" s="2"/>
      <c r="W5523" s="2"/>
    </row>
    <row r="5524" spans="1:23" x14ac:dyDescent="0.25">
      <c r="A5524" s="2"/>
      <c r="B5524" s="2"/>
      <c r="C5524" s="1"/>
      <c r="D5524" s="2"/>
      <c r="E5524" s="2"/>
      <c r="F5524" s="2"/>
      <c r="G5524" s="2"/>
      <c r="H5524" s="2"/>
      <c r="I5524" s="2"/>
      <c r="J5524" s="2"/>
      <c r="K5524" s="2"/>
      <c r="L5524" s="2"/>
      <c r="M5524" s="2"/>
      <c r="N5524" s="2"/>
      <c r="O5524" s="2"/>
      <c r="P5524" s="2"/>
      <c r="Q5524" s="2"/>
      <c r="R5524" s="2"/>
      <c r="S5524" s="2"/>
      <c r="T5524" s="2"/>
      <c r="U5524" s="2"/>
      <c r="V5524" s="2"/>
      <c r="W5524" s="2"/>
    </row>
    <row r="5525" spans="1:23" x14ac:dyDescent="0.25">
      <c r="A5525" s="2"/>
      <c r="B5525" s="2"/>
      <c r="C5525" s="1"/>
      <c r="D5525" s="2"/>
      <c r="E5525" s="2"/>
      <c r="F5525" s="2"/>
      <c r="G5525" s="2"/>
      <c r="H5525" s="2"/>
      <c r="I5525" s="2"/>
      <c r="J5525" s="2"/>
      <c r="K5525" s="2"/>
      <c r="L5525" s="2"/>
      <c r="M5525" s="2"/>
      <c r="N5525" s="2"/>
      <c r="O5525" s="2"/>
      <c r="P5525" s="2"/>
      <c r="Q5525" s="2"/>
      <c r="R5525" s="2"/>
      <c r="S5525" s="2"/>
      <c r="T5525" s="2"/>
      <c r="U5525" s="2"/>
      <c r="V5525" s="2"/>
      <c r="W5525" s="2"/>
    </row>
    <row r="5526" spans="1:23" x14ac:dyDescent="0.25">
      <c r="A5526" s="2"/>
      <c r="B5526" s="2"/>
      <c r="C5526" s="1"/>
      <c r="D5526" s="2"/>
      <c r="E5526" s="2"/>
      <c r="F5526" s="2"/>
      <c r="G5526" s="2"/>
      <c r="H5526" s="2"/>
      <c r="I5526" s="2"/>
      <c r="J5526" s="2"/>
      <c r="K5526" s="2"/>
      <c r="L5526" s="2"/>
      <c r="M5526" s="2"/>
      <c r="N5526" s="2"/>
      <c r="O5526" s="2"/>
      <c r="P5526" s="2"/>
      <c r="Q5526" s="2"/>
      <c r="R5526" s="2"/>
      <c r="S5526" s="2"/>
      <c r="T5526" s="2"/>
      <c r="U5526" s="2"/>
      <c r="V5526" s="2"/>
      <c r="W5526" s="2"/>
    </row>
    <row r="5527" spans="1:23" x14ac:dyDescent="0.25">
      <c r="A5527" s="2"/>
      <c r="B5527" s="2"/>
      <c r="C5527" s="1"/>
      <c r="D5527" s="2"/>
      <c r="E5527" s="2"/>
      <c r="F5527" s="2"/>
      <c r="G5527" s="2"/>
      <c r="H5527" s="2"/>
      <c r="I5527" s="2"/>
      <c r="J5527" s="2"/>
      <c r="K5527" s="2"/>
      <c r="L5527" s="2"/>
      <c r="M5527" s="2"/>
      <c r="N5527" s="2"/>
      <c r="O5527" s="2"/>
      <c r="P5527" s="2"/>
      <c r="Q5527" s="2"/>
      <c r="R5527" s="2"/>
      <c r="S5527" s="2"/>
      <c r="T5527" s="2"/>
      <c r="U5527" s="2"/>
      <c r="V5527" s="2"/>
      <c r="W5527" s="2"/>
    </row>
    <row r="5528" spans="1:23" x14ac:dyDescent="0.25">
      <c r="A5528" s="2"/>
      <c r="B5528" s="2"/>
      <c r="C5528" s="1"/>
      <c r="D5528" s="2"/>
      <c r="E5528" s="2"/>
      <c r="F5528" s="2"/>
      <c r="G5528" s="2"/>
      <c r="H5528" s="2"/>
      <c r="I5528" s="2"/>
      <c r="J5528" s="2"/>
      <c r="K5528" s="2"/>
      <c r="L5528" s="2"/>
      <c r="M5528" s="2"/>
      <c r="N5528" s="2"/>
      <c r="O5528" s="2"/>
      <c r="P5528" s="2"/>
      <c r="Q5528" s="2"/>
      <c r="R5528" s="2"/>
      <c r="S5528" s="2"/>
      <c r="T5528" s="2"/>
      <c r="U5528" s="2"/>
      <c r="V5528" s="2"/>
      <c r="W5528" s="2"/>
    </row>
    <row r="5529" spans="1:23" x14ac:dyDescent="0.25">
      <c r="A5529" s="2"/>
      <c r="B5529" s="2"/>
      <c r="C5529" s="1"/>
      <c r="D5529" s="2"/>
      <c r="E5529" s="2"/>
      <c r="F5529" s="2"/>
      <c r="G5529" s="2"/>
      <c r="H5529" s="2"/>
      <c r="I5529" s="2"/>
      <c r="J5529" s="2"/>
      <c r="K5529" s="2"/>
      <c r="L5529" s="2"/>
      <c r="M5529" s="2"/>
      <c r="N5529" s="2"/>
      <c r="O5529" s="2"/>
      <c r="P5529" s="2"/>
      <c r="Q5529" s="2"/>
      <c r="R5529" s="2"/>
      <c r="S5529" s="2"/>
      <c r="T5529" s="2"/>
      <c r="U5529" s="2"/>
      <c r="V5529" s="2"/>
      <c r="W5529" s="2"/>
    </row>
    <row r="5530" spans="1:23" x14ac:dyDescent="0.25">
      <c r="A5530" s="2"/>
      <c r="B5530" s="2"/>
      <c r="C5530" s="1"/>
      <c r="D5530" s="2"/>
      <c r="E5530" s="2"/>
      <c r="F5530" s="2"/>
      <c r="G5530" s="2"/>
      <c r="H5530" s="2"/>
      <c r="I5530" s="2"/>
      <c r="J5530" s="2"/>
      <c r="K5530" s="2"/>
      <c r="L5530" s="2"/>
      <c r="M5530" s="2"/>
      <c r="N5530" s="2"/>
      <c r="O5530" s="2"/>
      <c r="P5530" s="2"/>
      <c r="Q5530" s="2"/>
      <c r="R5530" s="2"/>
      <c r="S5530" s="2"/>
      <c r="T5530" s="2"/>
      <c r="U5530" s="2"/>
      <c r="V5530" s="2"/>
      <c r="W5530" s="2"/>
    </row>
    <row r="5531" spans="1:23" x14ac:dyDescent="0.25">
      <c r="A5531" s="2"/>
      <c r="B5531" s="2"/>
      <c r="C5531" s="1"/>
      <c r="D5531" s="2"/>
      <c r="E5531" s="2"/>
      <c r="F5531" s="2"/>
      <c r="G5531" s="2"/>
      <c r="H5531" s="2"/>
      <c r="I5531" s="2"/>
      <c r="J5531" s="2"/>
      <c r="K5531" s="2"/>
      <c r="L5531" s="2"/>
      <c r="M5531" s="2"/>
      <c r="N5531" s="2"/>
      <c r="O5531" s="2"/>
      <c r="P5531" s="2"/>
      <c r="Q5531" s="2"/>
      <c r="R5531" s="2"/>
      <c r="S5531" s="2"/>
      <c r="T5531" s="2"/>
      <c r="U5531" s="2"/>
      <c r="V5531" s="2"/>
      <c r="W5531" s="2"/>
    </row>
    <row r="5532" spans="1:23" x14ac:dyDescent="0.25">
      <c r="A5532" s="2"/>
      <c r="B5532" s="2"/>
      <c r="C5532" s="1"/>
      <c r="D5532" s="2"/>
      <c r="E5532" s="2"/>
      <c r="F5532" s="2"/>
      <c r="G5532" s="2"/>
      <c r="H5532" s="2"/>
      <c r="I5532" s="2"/>
      <c r="J5532" s="2"/>
      <c r="K5532" s="2"/>
      <c r="L5532" s="2"/>
      <c r="M5532" s="2"/>
      <c r="N5532" s="2"/>
      <c r="O5532" s="2"/>
      <c r="P5532" s="2"/>
      <c r="Q5532" s="2"/>
      <c r="R5532" s="2"/>
      <c r="S5532" s="2"/>
      <c r="T5532" s="2"/>
      <c r="U5532" s="2"/>
      <c r="V5532" s="2"/>
      <c r="W5532" s="2"/>
    </row>
    <row r="5533" spans="1:23" x14ac:dyDescent="0.25">
      <c r="A5533" s="2"/>
      <c r="B5533" s="2"/>
      <c r="C5533" s="1"/>
      <c r="D5533" s="2"/>
      <c r="E5533" s="2"/>
      <c r="F5533" s="2"/>
      <c r="G5533" s="2"/>
      <c r="H5533" s="2"/>
      <c r="I5533" s="2"/>
      <c r="J5533" s="2"/>
      <c r="K5533" s="2"/>
      <c r="L5533" s="2"/>
      <c r="M5533" s="2"/>
      <c r="N5533" s="2"/>
      <c r="O5533" s="2"/>
      <c r="P5533" s="2"/>
      <c r="Q5533" s="2"/>
      <c r="R5533" s="2"/>
      <c r="S5533" s="2"/>
      <c r="T5533" s="2"/>
      <c r="U5533" s="2"/>
      <c r="V5533" s="2"/>
      <c r="W5533" s="2"/>
    </row>
    <row r="5534" spans="1:23" x14ac:dyDescent="0.25">
      <c r="A5534" s="2"/>
      <c r="B5534" s="2"/>
      <c r="C5534" s="1"/>
      <c r="D5534" s="2"/>
      <c r="E5534" s="2"/>
      <c r="F5534" s="2"/>
      <c r="G5534" s="2"/>
      <c r="H5534" s="2"/>
      <c r="I5534" s="2"/>
      <c r="J5534" s="2"/>
      <c r="K5534" s="2"/>
      <c r="L5534" s="2"/>
      <c r="M5534" s="2"/>
      <c r="N5534" s="2"/>
      <c r="O5534" s="2"/>
      <c r="P5534" s="2"/>
      <c r="Q5534" s="2"/>
      <c r="R5534" s="2"/>
      <c r="S5534" s="2"/>
      <c r="T5534" s="2"/>
      <c r="U5534" s="2"/>
      <c r="V5534" s="2"/>
      <c r="W5534" s="2"/>
    </row>
    <row r="5535" spans="1:23" x14ac:dyDescent="0.25">
      <c r="A5535" s="2"/>
      <c r="B5535" s="2"/>
      <c r="C5535" s="1"/>
      <c r="D5535" s="2"/>
      <c r="E5535" s="2"/>
      <c r="F5535" s="2"/>
      <c r="G5535" s="2"/>
      <c r="H5535" s="2"/>
      <c r="I5535" s="2"/>
      <c r="J5535" s="2"/>
      <c r="K5535" s="2"/>
      <c r="L5535" s="2"/>
      <c r="M5535" s="2"/>
      <c r="N5535" s="2"/>
      <c r="O5535" s="2"/>
      <c r="P5535" s="2"/>
      <c r="Q5535" s="2"/>
      <c r="R5535" s="2"/>
      <c r="S5535" s="2"/>
      <c r="T5535" s="2"/>
      <c r="U5535" s="2"/>
      <c r="V5535" s="2"/>
      <c r="W5535" s="2"/>
    </row>
    <row r="5536" spans="1:23" x14ac:dyDescent="0.25">
      <c r="A5536" s="2"/>
      <c r="B5536" s="2"/>
      <c r="C5536" s="1"/>
      <c r="D5536" s="2"/>
      <c r="E5536" s="2"/>
      <c r="F5536" s="2"/>
      <c r="G5536" s="2"/>
      <c r="H5536" s="2"/>
      <c r="I5536" s="2"/>
      <c r="J5536" s="2"/>
      <c r="K5536" s="2"/>
      <c r="L5536" s="2"/>
      <c r="M5536" s="2"/>
      <c r="N5536" s="2"/>
      <c r="O5536" s="2"/>
      <c r="P5536" s="2"/>
      <c r="Q5536" s="2"/>
      <c r="R5536" s="2"/>
      <c r="S5536" s="2"/>
      <c r="T5536" s="2"/>
      <c r="U5536" s="2"/>
      <c r="V5536" s="2"/>
      <c r="W5536" s="2"/>
    </row>
    <row r="5537" spans="1:23" x14ac:dyDescent="0.25">
      <c r="A5537" s="2"/>
      <c r="B5537" s="2"/>
      <c r="C5537" s="1"/>
      <c r="D5537" s="2"/>
      <c r="E5537" s="2"/>
      <c r="F5537" s="2"/>
      <c r="G5537" s="2"/>
      <c r="H5537" s="2"/>
      <c r="I5537" s="2"/>
      <c r="J5537" s="2"/>
      <c r="K5537" s="2"/>
      <c r="L5537" s="2"/>
      <c r="M5537" s="2"/>
      <c r="N5537" s="2"/>
      <c r="O5537" s="2"/>
      <c r="P5537" s="2"/>
      <c r="Q5537" s="2"/>
      <c r="R5537" s="2"/>
      <c r="S5537" s="2"/>
      <c r="T5537" s="2"/>
      <c r="U5537" s="2"/>
      <c r="V5537" s="2"/>
      <c r="W5537" s="2"/>
    </row>
    <row r="5538" spans="1:23" x14ac:dyDescent="0.25">
      <c r="A5538" s="2"/>
      <c r="B5538" s="2"/>
      <c r="C5538" s="1"/>
      <c r="D5538" s="2"/>
      <c r="E5538" s="2"/>
      <c r="F5538" s="2"/>
      <c r="G5538" s="2"/>
      <c r="H5538" s="2"/>
      <c r="I5538" s="2"/>
      <c r="J5538" s="2"/>
      <c r="K5538" s="2"/>
      <c r="L5538" s="2"/>
      <c r="M5538" s="2"/>
      <c r="N5538" s="2"/>
      <c r="O5538" s="2"/>
      <c r="P5538" s="2"/>
      <c r="Q5538" s="2"/>
      <c r="R5538" s="2"/>
      <c r="S5538" s="2"/>
      <c r="T5538" s="2"/>
      <c r="U5538" s="2"/>
      <c r="V5538" s="2"/>
      <c r="W5538" s="2"/>
    </row>
    <row r="5539" spans="1:23" x14ac:dyDescent="0.25">
      <c r="A5539" s="2"/>
      <c r="B5539" s="2"/>
      <c r="C5539" s="1"/>
      <c r="D5539" s="2"/>
      <c r="E5539" s="2"/>
      <c r="F5539" s="2"/>
      <c r="G5539" s="2"/>
      <c r="H5539" s="2"/>
      <c r="I5539" s="2"/>
      <c r="J5539" s="2"/>
      <c r="K5539" s="2"/>
      <c r="L5539" s="2"/>
      <c r="M5539" s="2"/>
      <c r="N5539" s="2"/>
      <c r="O5539" s="2"/>
      <c r="P5539" s="2"/>
      <c r="Q5539" s="2"/>
      <c r="R5539" s="2"/>
      <c r="S5539" s="2"/>
      <c r="T5539" s="2"/>
      <c r="U5539" s="2"/>
      <c r="V5539" s="2"/>
      <c r="W5539" s="2"/>
    </row>
    <row r="5540" spans="1:23" x14ac:dyDescent="0.25">
      <c r="A5540" s="2"/>
      <c r="B5540" s="2"/>
      <c r="C5540" s="1"/>
      <c r="D5540" s="2"/>
      <c r="E5540" s="2"/>
      <c r="F5540" s="2"/>
      <c r="G5540" s="2"/>
      <c r="H5540" s="2"/>
      <c r="I5540" s="2"/>
      <c r="J5540" s="2"/>
      <c r="K5540" s="2"/>
      <c r="L5540" s="2"/>
      <c r="M5540" s="2"/>
      <c r="N5540" s="2"/>
      <c r="O5540" s="2"/>
      <c r="P5540" s="2"/>
      <c r="Q5540" s="2"/>
      <c r="R5540" s="2"/>
      <c r="S5540" s="2"/>
      <c r="T5540" s="2"/>
      <c r="U5540" s="2"/>
      <c r="V5540" s="2"/>
      <c r="W5540" s="2"/>
    </row>
    <row r="5541" spans="1:23" x14ac:dyDescent="0.25">
      <c r="A5541" s="2"/>
      <c r="B5541" s="2"/>
      <c r="C5541" s="1"/>
      <c r="D5541" s="2"/>
      <c r="E5541" s="2"/>
      <c r="F5541" s="2"/>
      <c r="G5541" s="2"/>
      <c r="H5541" s="2"/>
      <c r="I5541" s="2"/>
      <c r="J5541" s="2"/>
      <c r="K5541" s="2"/>
      <c r="L5541" s="2"/>
      <c r="M5541" s="2"/>
      <c r="N5541" s="2"/>
      <c r="O5541" s="2"/>
      <c r="P5541" s="2"/>
      <c r="Q5541" s="2"/>
      <c r="R5541" s="2"/>
      <c r="S5541" s="2"/>
      <c r="T5541" s="2"/>
      <c r="U5541" s="2"/>
      <c r="V5541" s="2"/>
      <c r="W5541" s="2"/>
    </row>
    <row r="5542" spans="1:23" x14ac:dyDescent="0.25">
      <c r="A5542" s="2"/>
      <c r="B5542" s="2"/>
      <c r="C5542" s="1"/>
      <c r="D5542" s="2"/>
      <c r="E5542" s="2"/>
      <c r="F5542" s="2"/>
      <c r="G5542" s="2"/>
      <c r="H5542" s="2"/>
      <c r="I5542" s="2"/>
      <c r="J5542" s="2"/>
      <c r="K5542" s="2"/>
      <c r="L5542" s="2"/>
      <c r="M5542" s="2"/>
      <c r="N5542" s="2"/>
      <c r="O5542" s="2"/>
      <c r="P5542" s="2"/>
      <c r="Q5542" s="2"/>
      <c r="R5542" s="2"/>
      <c r="S5542" s="2"/>
      <c r="T5542" s="2"/>
      <c r="U5542" s="2"/>
      <c r="V5542" s="2"/>
      <c r="W5542" s="2"/>
    </row>
    <row r="5543" spans="1:23" x14ac:dyDescent="0.25">
      <c r="A5543" s="2"/>
      <c r="B5543" s="2"/>
      <c r="C5543" s="1"/>
      <c r="D5543" s="2"/>
      <c r="E5543" s="2"/>
      <c r="F5543" s="2"/>
      <c r="G5543" s="2"/>
      <c r="H5543" s="2"/>
      <c r="I5543" s="2"/>
      <c r="J5543" s="2"/>
      <c r="K5543" s="2"/>
      <c r="L5543" s="2"/>
      <c r="M5543" s="2"/>
      <c r="N5543" s="2"/>
      <c r="O5543" s="2"/>
      <c r="P5543" s="2"/>
      <c r="Q5543" s="2"/>
      <c r="R5543" s="2"/>
      <c r="S5543" s="2"/>
      <c r="T5543" s="2"/>
      <c r="U5543" s="2"/>
      <c r="V5543" s="2"/>
      <c r="W5543" s="2"/>
    </row>
    <row r="5544" spans="1:23" x14ac:dyDescent="0.25">
      <c r="A5544" s="2"/>
      <c r="B5544" s="2"/>
      <c r="C5544" s="1"/>
      <c r="D5544" s="2"/>
      <c r="E5544" s="2"/>
      <c r="F5544" s="2"/>
      <c r="G5544" s="2"/>
      <c r="H5544" s="2"/>
      <c r="I5544" s="2"/>
      <c r="J5544" s="2"/>
      <c r="K5544" s="2"/>
      <c r="L5544" s="2"/>
      <c r="M5544" s="2"/>
      <c r="N5544" s="2"/>
      <c r="O5544" s="2"/>
      <c r="P5544" s="2"/>
      <c r="Q5544" s="2"/>
      <c r="R5544" s="2"/>
      <c r="S5544" s="2"/>
      <c r="T5544" s="2"/>
      <c r="U5544" s="2"/>
      <c r="V5544" s="2"/>
      <c r="W5544" s="2"/>
    </row>
    <row r="5545" spans="1:23" x14ac:dyDescent="0.25">
      <c r="A5545" s="2"/>
      <c r="B5545" s="2"/>
      <c r="C5545" s="1"/>
      <c r="D5545" s="2"/>
      <c r="E5545" s="2"/>
      <c r="F5545" s="2"/>
      <c r="G5545" s="2"/>
      <c r="H5545" s="2"/>
      <c r="I5545" s="2"/>
      <c r="J5545" s="2"/>
      <c r="K5545" s="2"/>
      <c r="L5545" s="2"/>
      <c r="M5545" s="2"/>
      <c r="N5545" s="2"/>
      <c r="O5545" s="2"/>
      <c r="P5545" s="2"/>
      <c r="Q5545" s="2"/>
      <c r="R5545" s="2"/>
      <c r="S5545" s="2"/>
      <c r="T5545" s="2"/>
      <c r="U5545" s="2"/>
      <c r="V5545" s="2"/>
      <c r="W5545" s="2"/>
    </row>
    <row r="5546" spans="1:23" x14ac:dyDescent="0.25">
      <c r="A5546" s="2"/>
      <c r="B5546" s="2"/>
      <c r="C5546" s="1"/>
      <c r="D5546" s="2"/>
      <c r="E5546" s="2"/>
      <c r="F5546" s="2"/>
      <c r="G5546" s="2"/>
      <c r="H5546" s="2"/>
      <c r="I5546" s="2"/>
      <c r="J5546" s="2"/>
      <c r="K5546" s="2"/>
      <c r="L5546" s="2"/>
      <c r="M5546" s="2"/>
      <c r="N5546" s="2"/>
      <c r="O5546" s="2"/>
      <c r="P5546" s="2"/>
      <c r="Q5546" s="2"/>
      <c r="R5546" s="2"/>
      <c r="S5546" s="2"/>
      <c r="T5546" s="2"/>
      <c r="U5546" s="2"/>
      <c r="V5546" s="2"/>
      <c r="W5546" s="2"/>
    </row>
    <row r="5547" spans="1:23" x14ac:dyDescent="0.25">
      <c r="A5547" s="2"/>
      <c r="B5547" s="2"/>
      <c r="C5547" s="1"/>
      <c r="D5547" s="2"/>
      <c r="E5547" s="2"/>
      <c r="F5547" s="2"/>
      <c r="G5547" s="2"/>
      <c r="H5547" s="2"/>
      <c r="I5547" s="2"/>
      <c r="J5547" s="2"/>
      <c r="K5547" s="2"/>
      <c r="L5547" s="2"/>
      <c r="M5547" s="2"/>
      <c r="N5547" s="2"/>
      <c r="O5547" s="2"/>
      <c r="P5547" s="2"/>
      <c r="Q5547" s="2"/>
      <c r="R5547" s="2"/>
      <c r="S5547" s="2"/>
      <c r="T5547" s="2"/>
      <c r="U5547" s="2"/>
      <c r="V5547" s="2"/>
      <c r="W5547" s="2"/>
    </row>
    <row r="5548" spans="1:23" x14ac:dyDescent="0.25">
      <c r="A5548" s="2"/>
      <c r="B5548" s="2"/>
      <c r="C5548" s="1"/>
      <c r="D5548" s="2"/>
      <c r="E5548" s="2"/>
      <c r="F5548" s="2"/>
      <c r="G5548" s="2"/>
      <c r="H5548" s="2"/>
      <c r="I5548" s="2"/>
      <c r="J5548" s="2"/>
      <c r="K5548" s="2"/>
      <c r="L5548" s="2"/>
      <c r="M5548" s="2"/>
      <c r="N5548" s="2"/>
      <c r="O5548" s="2"/>
      <c r="P5548" s="2"/>
      <c r="Q5548" s="2"/>
      <c r="R5548" s="2"/>
      <c r="S5548" s="2"/>
      <c r="T5548" s="2"/>
      <c r="U5548" s="2"/>
      <c r="V5548" s="2"/>
      <c r="W5548" s="2"/>
    </row>
    <row r="5549" spans="1:23" x14ac:dyDescent="0.25">
      <c r="A5549" s="2"/>
      <c r="B5549" s="2"/>
      <c r="C5549" s="1"/>
      <c r="D5549" s="2"/>
      <c r="E5549" s="2"/>
      <c r="F5549" s="2"/>
      <c r="G5549" s="2"/>
      <c r="H5549" s="2"/>
      <c r="I5549" s="2"/>
      <c r="J5549" s="2"/>
      <c r="K5549" s="2"/>
      <c r="L5549" s="2"/>
      <c r="M5549" s="2"/>
      <c r="N5549" s="2"/>
      <c r="O5549" s="2"/>
      <c r="P5549" s="2"/>
      <c r="Q5549" s="2"/>
      <c r="R5549" s="2"/>
      <c r="S5549" s="2"/>
      <c r="T5549" s="2"/>
      <c r="U5549" s="2"/>
      <c r="V5549" s="2"/>
      <c r="W5549" s="2"/>
    </row>
    <row r="5550" spans="1:23" x14ac:dyDescent="0.25">
      <c r="A5550" s="2"/>
      <c r="B5550" s="2"/>
      <c r="C5550" s="1"/>
      <c r="D5550" s="2"/>
      <c r="E5550" s="2"/>
      <c r="F5550" s="2"/>
      <c r="G5550" s="2"/>
      <c r="H5550" s="2"/>
      <c r="I5550" s="2"/>
      <c r="J5550" s="2"/>
      <c r="K5550" s="2"/>
      <c r="L5550" s="2"/>
      <c r="M5550" s="2"/>
      <c r="N5550" s="2"/>
      <c r="O5550" s="2"/>
      <c r="P5550" s="2"/>
      <c r="Q5550" s="2"/>
      <c r="R5550" s="2"/>
      <c r="S5550" s="2"/>
      <c r="T5550" s="2"/>
      <c r="U5550" s="2"/>
      <c r="V5550" s="2"/>
      <c r="W5550" s="2"/>
    </row>
    <row r="5551" spans="1:23" x14ac:dyDescent="0.25">
      <c r="A5551" s="2"/>
      <c r="B5551" s="2"/>
      <c r="C5551" s="1"/>
      <c r="D5551" s="2"/>
      <c r="E5551" s="2"/>
      <c r="F5551" s="2"/>
      <c r="G5551" s="2"/>
      <c r="H5551" s="2"/>
      <c r="I5551" s="2"/>
      <c r="J5551" s="2"/>
      <c r="K5551" s="2"/>
      <c r="L5551" s="2"/>
      <c r="M5551" s="2"/>
      <c r="N5551" s="2"/>
      <c r="O5551" s="2"/>
      <c r="P5551" s="2"/>
      <c r="Q5551" s="2"/>
      <c r="R5551" s="2"/>
      <c r="S5551" s="2"/>
      <c r="T5551" s="2"/>
      <c r="U5551" s="2"/>
      <c r="V5551" s="2"/>
      <c r="W5551" s="2"/>
    </row>
    <row r="5552" spans="1:23" x14ac:dyDescent="0.25">
      <c r="A5552" s="2"/>
      <c r="B5552" s="2"/>
      <c r="C5552" s="1"/>
      <c r="D5552" s="2"/>
      <c r="E5552" s="2"/>
      <c r="F5552" s="2"/>
      <c r="G5552" s="2"/>
      <c r="H5552" s="2"/>
      <c r="I5552" s="2"/>
      <c r="J5552" s="2"/>
      <c r="K5552" s="2"/>
      <c r="L5552" s="2"/>
      <c r="M5552" s="2"/>
      <c r="N5552" s="2"/>
      <c r="O5552" s="2"/>
      <c r="P5552" s="2"/>
      <c r="Q5552" s="2"/>
      <c r="R5552" s="2"/>
      <c r="S5552" s="2"/>
      <c r="T5552" s="2"/>
      <c r="U5552" s="2"/>
      <c r="V5552" s="2"/>
      <c r="W5552" s="2"/>
    </row>
    <row r="5553" spans="1:23" x14ac:dyDescent="0.25">
      <c r="A5553" s="2"/>
      <c r="B5553" s="2"/>
      <c r="C5553" s="1"/>
      <c r="D5553" s="2"/>
      <c r="E5553" s="2"/>
      <c r="F5553" s="2"/>
      <c r="G5553" s="2"/>
      <c r="H5553" s="2"/>
      <c r="I5553" s="2"/>
      <c r="J5553" s="2"/>
      <c r="K5553" s="2"/>
      <c r="L5553" s="2"/>
      <c r="M5553" s="2"/>
      <c r="N5553" s="2"/>
      <c r="O5553" s="2"/>
      <c r="P5553" s="2"/>
      <c r="Q5553" s="2"/>
      <c r="R5553" s="2"/>
      <c r="S5553" s="2"/>
      <c r="T5553" s="2"/>
      <c r="U5553" s="2"/>
      <c r="V5553" s="2"/>
      <c r="W5553" s="2"/>
    </row>
    <row r="5554" spans="1:23" x14ac:dyDescent="0.25">
      <c r="A5554" s="2"/>
      <c r="B5554" s="2"/>
      <c r="C5554" s="1"/>
      <c r="D5554" s="2"/>
      <c r="E5554" s="2"/>
      <c r="F5554" s="2"/>
      <c r="G5554" s="2"/>
      <c r="H5554" s="2"/>
      <c r="I5554" s="2"/>
      <c r="J5554" s="2"/>
      <c r="K5554" s="2"/>
      <c r="L5554" s="2"/>
      <c r="M5554" s="2"/>
      <c r="N5554" s="2"/>
      <c r="O5554" s="2"/>
      <c r="P5554" s="2"/>
      <c r="Q5554" s="2"/>
      <c r="R5554" s="2"/>
      <c r="S5554" s="2"/>
      <c r="T5554" s="2"/>
      <c r="U5554" s="2"/>
      <c r="V5554" s="2"/>
      <c r="W5554" s="2"/>
    </row>
    <row r="5555" spans="1:23" x14ac:dyDescent="0.25">
      <c r="A5555" s="2"/>
      <c r="B5555" s="2"/>
      <c r="C5555" s="1"/>
      <c r="D5555" s="2"/>
      <c r="E5555" s="2"/>
      <c r="F5555" s="2"/>
      <c r="G5555" s="2"/>
      <c r="H5555" s="2"/>
      <c r="I5555" s="2"/>
      <c r="J5555" s="2"/>
      <c r="K5555" s="2"/>
      <c r="L5555" s="2"/>
      <c r="M5555" s="2"/>
      <c r="N5555" s="2"/>
      <c r="O5555" s="2"/>
      <c r="P5555" s="2"/>
      <c r="Q5555" s="2"/>
      <c r="R5555" s="2"/>
      <c r="S5555" s="2"/>
      <c r="T5555" s="2"/>
      <c r="U5555" s="2"/>
      <c r="V5555" s="2"/>
      <c r="W5555" s="2"/>
    </row>
    <row r="5556" spans="1:23" x14ac:dyDescent="0.25">
      <c r="A5556" s="2"/>
      <c r="B5556" s="2"/>
      <c r="C5556" s="1"/>
      <c r="D5556" s="2"/>
      <c r="E5556" s="2"/>
      <c r="F5556" s="2"/>
      <c r="G5556" s="2"/>
      <c r="H5556" s="2"/>
      <c r="I5556" s="2"/>
      <c r="J5556" s="2"/>
      <c r="K5556" s="2"/>
      <c r="L5556" s="2"/>
      <c r="M5556" s="2"/>
      <c r="N5556" s="2"/>
      <c r="O5556" s="2"/>
      <c r="P5556" s="2"/>
      <c r="Q5556" s="2"/>
      <c r="R5556" s="2"/>
      <c r="S5556" s="2"/>
      <c r="T5556" s="2"/>
      <c r="U5556" s="2"/>
      <c r="V5556" s="2"/>
      <c r="W5556" s="2"/>
    </row>
    <row r="5557" spans="1:23" x14ac:dyDescent="0.25">
      <c r="A5557" s="2"/>
      <c r="B5557" s="2"/>
      <c r="C5557" s="1"/>
      <c r="D5557" s="2"/>
      <c r="E5557" s="2"/>
      <c r="F5557" s="2"/>
      <c r="G5557" s="2"/>
      <c r="H5557" s="2"/>
      <c r="I5557" s="2"/>
      <c r="J5557" s="2"/>
      <c r="K5557" s="2"/>
      <c r="L5557" s="2"/>
      <c r="M5557" s="2"/>
      <c r="N5557" s="2"/>
      <c r="O5557" s="2"/>
      <c r="P5557" s="2"/>
      <c r="Q5557" s="2"/>
      <c r="R5557" s="2"/>
      <c r="S5557" s="2"/>
      <c r="T5557" s="2"/>
      <c r="U5557" s="2"/>
      <c r="V5557" s="2"/>
      <c r="W5557" s="2"/>
    </row>
    <row r="5558" spans="1:23" x14ac:dyDescent="0.25">
      <c r="A5558" s="2"/>
      <c r="B5558" s="2"/>
      <c r="C5558" s="1"/>
      <c r="D5558" s="2"/>
      <c r="E5558" s="2"/>
      <c r="F5558" s="2"/>
      <c r="G5558" s="2"/>
      <c r="H5558" s="2"/>
      <c r="I5558" s="2"/>
      <c r="J5558" s="2"/>
      <c r="K5558" s="2"/>
      <c r="L5558" s="2"/>
      <c r="M5558" s="2"/>
      <c r="N5558" s="2"/>
      <c r="O5558" s="2"/>
      <c r="P5558" s="2"/>
      <c r="Q5558" s="2"/>
      <c r="R5558" s="2"/>
      <c r="S5558" s="2"/>
      <c r="T5558" s="2"/>
      <c r="U5558" s="2"/>
      <c r="V5558" s="2"/>
      <c r="W5558" s="2"/>
    </row>
    <row r="5559" spans="1:23" x14ac:dyDescent="0.25">
      <c r="A5559" s="2"/>
      <c r="B5559" s="2"/>
      <c r="C5559" s="1"/>
      <c r="D5559" s="2"/>
      <c r="E5559" s="2"/>
      <c r="F5559" s="2"/>
      <c r="G5559" s="2"/>
      <c r="H5559" s="2"/>
      <c r="I5559" s="2"/>
      <c r="J5559" s="2"/>
      <c r="K5559" s="2"/>
      <c r="L5559" s="2"/>
      <c r="M5559" s="2"/>
      <c r="N5559" s="2"/>
      <c r="O5559" s="2"/>
      <c r="P5559" s="2"/>
      <c r="Q5559" s="2"/>
      <c r="R5559" s="2"/>
      <c r="S5559" s="2"/>
      <c r="T5559" s="2"/>
      <c r="U5559" s="2"/>
      <c r="V5559" s="2"/>
      <c r="W5559" s="2"/>
    </row>
    <row r="5560" spans="1:23" x14ac:dyDescent="0.25">
      <c r="A5560" s="2"/>
      <c r="B5560" s="2"/>
      <c r="C5560" s="1"/>
      <c r="D5560" s="2"/>
      <c r="E5560" s="2"/>
      <c r="F5560" s="2"/>
      <c r="G5560" s="2"/>
      <c r="H5560" s="2"/>
      <c r="I5560" s="2"/>
      <c r="J5560" s="2"/>
      <c r="K5560" s="2"/>
      <c r="L5560" s="2"/>
      <c r="M5560" s="2"/>
      <c r="N5560" s="2"/>
      <c r="O5560" s="2"/>
      <c r="P5560" s="2"/>
      <c r="Q5560" s="2"/>
      <c r="R5560" s="2"/>
      <c r="S5560" s="2"/>
      <c r="T5560" s="2"/>
      <c r="U5560" s="2"/>
      <c r="V5560" s="2"/>
      <c r="W5560" s="2"/>
    </row>
    <row r="5561" spans="1:23" x14ac:dyDescent="0.25">
      <c r="A5561" s="2"/>
      <c r="B5561" s="2"/>
      <c r="C5561" s="1"/>
      <c r="D5561" s="2"/>
      <c r="E5561" s="2"/>
      <c r="F5561" s="2"/>
      <c r="G5561" s="2"/>
      <c r="H5561" s="2"/>
      <c r="I5561" s="2"/>
      <c r="J5561" s="2"/>
      <c r="K5561" s="2"/>
      <c r="L5561" s="2"/>
      <c r="M5561" s="2"/>
      <c r="N5561" s="2"/>
      <c r="O5561" s="2"/>
      <c r="P5561" s="2"/>
      <c r="Q5561" s="2"/>
      <c r="R5561" s="2"/>
      <c r="S5561" s="2"/>
      <c r="T5561" s="2"/>
      <c r="U5561" s="2"/>
      <c r="V5561" s="2"/>
      <c r="W5561" s="2"/>
    </row>
    <row r="5562" spans="1:23" x14ac:dyDescent="0.25">
      <c r="A5562" s="2"/>
      <c r="B5562" s="2"/>
      <c r="C5562" s="1"/>
      <c r="D5562" s="2"/>
      <c r="E5562" s="2"/>
      <c r="F5562" s="2"/>
      <c r="G5562" s="2"/>
      <c r="H5562" s="2"/>
      <c r="I5562" s="2"/>
      <c r="J5562" s="2"/>
      <c r="K5562" s="2"/>
      <c r="L5562" s="2"/>
      <c r="M5562" s="2"/>
      <c r="N5562" s="2"/>
      <c r="O5562" s="2"/>
      <c r="P5562" s="2"/>
      <c r="Q5562" s="2"/>
      <c r="R5562" s="2"/>
      <c r="S5562" s="2"/>
      <c r="T5562" s="2"/>
      <c r="U5562" s="2"/>
      <c r="V5562" s="2"/>
      <c r="W5562" s="2"/>
    </row>
    <row r="5563" spans="1:23" x14ac:dyDescent="0.25">
      <c r="A5563" s="2"/>
      <c r="B5563" s="2"/>
      <c r="C5563" s="1"/>
      <c r="D5563" s="2"/>
      <c r="E5563" s="2"/>
      <c r="F5563" s="2"/>
      <c r="G5563" s="2"/>
      <c r="H5563" s="2"/>
      <c r="I5563" s="2"/>
      <c r="J5563" s="2"/>
      <c r="K5563" s="2"/>
      <c r="L5563" s="2"/>
      <c r="M5563" s="2"/>
      <c r="N5563" s="2"/>
      <c r="O5563" s="2"/>
      <c r="P5563" s="2"/>
      <c r="Q5563" s="2"/>
      <c r="R5563" s="2"/>
      <c r="S5563" s="2"/>
      <c r="T5563" s="2"/>
      <c r="U5563" s="2"/>
      <c r="V5563" s="2"/>
      <c r="W5563" s="2"/>
    </row>
    <row r="5564" spans="1:23" x14ac:dyDescent="0.25">
      <c r="A5564" s="2"/>
      <c r="B5564" s="2"/>
      <c r="C5564" s="1"/>
      <c r="D5564" s="2"/>
      <c r="E5564" s="2"/>
      <c r="F5564" s="2"/>
      <c r="G5564" s="2"/>
      <c r="H5564" s="2"/>
      <c r="I5564" s="2"/>
      <c r="J5564" s="2"/>
      <c r="K5564" s="2"/>
      <c r="L5564" s="2"/>
      <c r="M5564" s="2"/>
      <c r="N5564" s="2"/>
      <c r="O5564" s="2"/>
      <c r="P5564" s="2"/>
      <c r="Q5564" s="2"/>
      <c r="R5564" s="2"/>
      <c r="S5564" s="2"/>
      <c r="T5564" s="2"/>
      <c r="U5564" s="2"/>
      <c r="V5564" s="2"/>
      <c r="W5564" s="2"/>
    </row>
    <row r="5565" spans="1:23" x14ac:dyDescent="0.25">
      <c r="A5565" s="2"/>
      <c r="B5565" s="2"/>
      <c r="C5565" s="1"/>
      <c r="D5565" s="2"/>
      <c r="E5565" s="2"/>
      <c r="F5565" s="2"/>
      <c r="G5565" s="2"/>
      <c r="H5565" s="2"/>
      <c r="I5565" s="2"/>
      <c r="J5565" s="2"/>
      <c r="K5565" s="2"/>
      <c r="L5565" s="2"/>
      <c r="M5565" s="2"/>
      <c r="N5565" s="2"/>
      <c r="O5565" s="2"/>
      <c r="P5565" s="2"/>
      <c r="Q5565" s="2"/>
      <c r="R5565" s="2"/>
      <c r="S5565" s="2"/>
      <c r="T5565" s="2"/>
      <c r="U5565" s="2"/>
      <c r="V5565" s="2"/>
      <c r="W5565" s="2"/>
    </row>
    <row r="5566" spans="1:23" x14ac:dyDescent="0.25">
      <c r="A5566" s="2"/>
      <c r="B5566" s="2"/>
      <c r="C5566" s="1"/>
      <c r="D5566" s="2"/>
      <c r="E5566" s="2"/>
      <c r="F5566" s="2"/>
      <c r="G5566" s="2"/>
      <c r="H5566" s="2"/>
      <c r="I5566" s="2"/>
      <c r="J5566" s="2"/>
      <c r="K5566" s="2"/>
      <c r="L5566" s="2"/>
      <c r="M5566" s="2"/>
      <c r="N5566" s="2"/>
      <c r="O5566" s="2"/>
      <c r="P5566" s="2"/>
      <c r="Q5566" s="2"/>
      <c r="R5566" s="2"/>
      <c r="S5566" s="2"/>
      <c r="T5566" s="2"/>
      <c r="U5566" s="2"/>
      <c r="V5566" s="2"/>
      <c r="W5566" s="2"/>
    </row>
    <row r="5567" spans="1:23" x14ac:dyDescent="0.25">
      <c r="A5567" s="2"/>
      <c r="B5567" s="2"/>
      <c r="C5567" s="1"/>
      <c r="D5567" s="2"/>
      <c r="E5567" s="2"/>
      <c r="F5567" s="2"/>
      <c r="G5567" s="2"/>
      <c r="H5567" s="2"/>
      <c r="I5567" s="2"/>
      <c r="J5567" s="2"/>
      <c r="K5567" s="2"/>
      <c r="L5567" s="2"/>
      <c r="M5567" s="2"/>
      <c r="N5567" s="2"/>
      <c r="O5567" s="2"/>
      <c r="P5567" s="2"/>
      <c r="Q5567" s="2"/>
      <c r="R5567" s="2"/>
      <c r="S5567" s="2"/>
      <c r="T5567" s="2"/>
      <c r="U5567" s="2"/>
      <c r="V5567" s="2"/>
      <c r="W5567" s="2"/>
    </row>
    <row r="5568" spans="1:23" x14ac:dyDescent="0.25">
      <c r="A5568" s="2"/>
      <c r="B5568" s="2"/>
      <c r="C5568" s="1"/>
      <c r="D5568" s="2"/>
      <c r="E5568" s="2"/>
      <c r="F5568" s="2"/>
      <c r="G5568" s="2"/>
      <c r="H5568" s="2"/>
      <c r="I5568" s="2"/>
      <c r="J5568" s="2"/>
      <c r="K5568" s="2"/>
      <c r="L5568" s="2"/>
      <c r="M5568" s="2"/>
      <c r="N5568" s="2"/>
      <c r="O5568" s="2"/>
      <c r="P5568" s="2"/>
      <c r="Q5568" s="2"/>
      <c r="R5568" s="2"/>
      <c r="S5568" s="2"/>
      <c r="T5568" s="2"/>
      <c r="U5568" s="2"/>
      <c r="V5568" s="2"/>
      <c r="W5568" s="2"/>
    </row>
    <row r="5569" spans="1:23" x14ac:dyDescent="0.25">
      <c r="A5569" s="2"/>
      <c r="B5569" s="2"/>
      <c r="C5569" s="1"/>
      <c r="D5569" s="2"/>
      <c r="E5569" s="2"/>
      <c r="F5569" s="2"/>
      <c r="G5569" s="2"/>
      <c r="H5569" s="2"/>
      <c r="I5569" s="2"/>
      <c r="J5569" s="2"/>
      <c r="K5569" s="2"/>
      <c r="L5569" s="2"/>
      <c r="M5569" s="2"/>
      <c r="N5569" s="2"/>
      <c r="O5569" s="2"/>
      <c r="P5569" s="2"/>
      <c r="Q5569" s="2"/>
      <c r="R5569" s="2"/>
      <c r="S5569" s="2"/>
      <c r="T5569" s="2"/>
      <c r="U5569" s="2"/>
      <c r="V5569" s="2"/>
      <c r="W5569" s="2"/>
    </row>
    <row r="5570" spans="1:23" x14ac:dyDescent="0.25">
      <c r="A5570" s="2"/>
      <c r="B5570" s="2"/>
      <c r="C5570" s="1"/>
      <c r="D5570" s="2"/>
      <c r="E5570" s="2"/>
      <c r="F5570" s="2"/>
      <c r="G5570" s="2"/>
      <c r="H5570" s="2"/>
      <c r="I5570" s="2"/>
      <c r="J5570" s="2"/>
      <c r="K5570" s="2"/>
      <c r="L5570" s="2"/>
      <c r="M5570" s="2"/>
      <c r="N5570" s="2"/>
      <c r="O5570" s="2"/>
      <c r="P5570" s="2"/>
      <c r="Q5570" s="2"/>
      <c r="R5570" s="2"/>
      <c r="S5570" s="2"/>
      <c r="T5570" s="2"/>
      <c r="U5570" s="2"/>
      <c r="V5570" s="2"/>
      <c r="W5570" s="2"/>
    </row>
    <row r="5571" spans="1:23" x14ac:dyDescent="0.25">
      <c r="A5571" s="2"/>
      <c r="B5571" s="2"/>
      <c r="C5571" s="1"/>
      <c r="D5571" s="2"/>
      <c r="E5571" s="2"/>
      <c r="F5571" s="2"/>
      <c r="G5571" s="2"/>
      <c r="H5571" s="2"/>
      <c r="I5571" s="2"/>
      <c r="J5571" s="2"/>
      <c r="K5571" s="2"/>
      <c r="L5571" s="2"/>
      <c r="M5571" s="2"/>
      <c r="N5571" s="2"/>
      <c r="O5571" s="2"/>
      <c r="P5571" s="2"/>
      <c r="Q5571" s="2"/>
      <c r="R5571" s="2"/>
      <c r="S5571" s="2"/>
      <c r="T5571" s="2"/>
      <c r="U5571" s="2"/>
      <c r="V5571" s="2"/>
      <c r="W5571" s="2"/>
    </row>
    <row r="5572" spans="1:23" x14ac:dyDescent="0.25">
      <c r="A5572" s="2"/>
      <c r="B5572" s="2"/>
      <c r="C5572" s="1"/>
      <c r="D5572" s="2"/>
      <c r="E5572" s="2"/>
      <c r="F5572" s="2"/>
      <c r="G5572" s="2"/>
      <c r="H5572" s="2"/>
      <c r="I5572" s="2"/>
      <c r="J5572" s="2"/>
      <c r="K5572" s="2"/>
      <c r="L5572" s="2"/>
      <c r="M5572" s="2"/>
      <c r="N5572" s="2"/>
      <c r="O5572" s="2"/>
      <c r="P5572" s="2"/>
      <c r="Q5572" s="2"/>
      <c r="R5572" s="2"/>
      <c r="S5572" s="2"/>
      <c r="T5572" s="2"/>
      <c r="U5572" s="2"/>
      <c r="V5572" s="2"/>
      <c r="W5572" s="2"/>
    </row>
    <row r="5573" spans="1:23" x14ac:dyDescent="0.25">
      <c r="A5573" s="2"/>
      <c r="B5573" s="2"/>
      <c r="C5573" s="1"/>
      <c r="D5573" s="2"/>
      <c r="E5573" s="2"/>
      <c r="F5573" s="2"/>
      <c r="G5573" s="2"/>
      <c r="H5573" s="2"/>
      <c r="I5573" s="2"/>
      <c r="J5573" s="2"/>
      <c r="K5573" s="2"/>
      <c r="L5573" s="2"/>
      <c r="M5573" s="2"/>
      <c r="N5573" s="2"/>
      <c r="O5573" s="2"/>
      <c r="P5573" s="2"/>
      <c r="Q5573" s="2"/>
      <c r="R5573" s="2"/>
      <c r="S5573" s="2"/>
      <c r="T5573" s="2"/>
      <c r="U5573" s="2"/>
      <c r="V5573" s="2"/>
      <c r="W5573" s="2"/>
    </row>
    <row r="5574" spans="1:23" x14ac:dyDescent="0.25">
      <c r="A5574" s="2"/>
      <c r="B5574" s="2"/>
      <c r="C5574" s="1"/>
      <c r="D5574" s="2"/>
      <c r="E5574" s="2"/>
      <c r="F5574" s="2"/>
      <c r="G5574" s="2"/>
      <c r="H5574" s="2"/>
      <c r="I5574" s="2"/>
      <c r="J5574" s="2"/>
      <c r="K5574" s="2"/>
      <c r="L5574" s="2"/>
      <c r="M5574" s="2"/>
      <c r="N5574" s="2"/>
      <c r="O5574" s="2"/>
      <c r="P5574" s="2"/>
      <c r="Q5574" s="2"/>
      <c r="R5574" s="2"/>
      <c r="S5574" s="2"/>
      <c r="T5574" s="2"/>
      <c r="U5574" s="2"/>
      <c r="V5574" s="2"/>
      <c r="W5574" s="2"/>
    </row>
    <row r="5575" spans="1:23" x14ac:dyDescent="0.25">
      <c r="A5575" s="2"/>
      <c r="B5575" s="2"/>
      <c r="C5575" s="1"/>
      <c r="D5575" s="2"/>
      <c r="E5575" s="2"/>
      <c r="F5575" s="2"/>
      <c r="G5575" s="2"/>
      <c r="H5575" s="2"/>
      <c r="I5575" s="2"/>
      <c r="J5575" s="2"/>
      <c r="K5575" s="2"/>
      <c r="L5575" s="2"/>
      <c r="M5575" s="2"/>
      <c r="N5575" s="2"/>
      <c r="O5575" s="2"/>
      <c r="P5575" s="2"/>
      <c r="Q5575" s="2"/>
      <c r="R5575" s="2"/>
      <c r="S5575" s="2"/>
      <c r="T5575" s="2"/>
      <c r="U5575" s="2"/>
      <c r="V5575" s="2"/>
      <c r="W5575" s="2"/>
    </row>
    <row r="5576" spans="1:23" x14ac:dyDescent="0.25">
      <c r="A5576" s="2"/>
      <c r="B5576" s="2"/>
      <c r="C5576" s="1"/>
      <c r="D5576" s="2"/>
      <c r="E5576" s="2"/>
      <c r="F5576" s="2"/>
      <c r="G5576" s="2"/>
      <c r="H5576" s="2"/>
      <c r="I5576" s="2"/>
      <c r="J5576" s="2"/>
      <c r="K5576" s="2"/>
      <c r="L5576" s="2"/>
      <c r="M5576" s="2"/>
      <c r="N5576" s="2"/>
      <c r="O5576" s="2"/>
      <c r="P5576" s="2"/>
      <c r="Q5576" s="2"/>
      <c r="R5576" s="2"/>
      <c r="S5576" s="2"/>
      <c r="T5576" s="2"/>
      <c r="U5576" s="2"/>
      <c r="V5576" s="2"/>
      <c r="W5576" s="2"/>
    </row>
    <row r="5577" spans="1:23" x14ac:dyDescent="0.25">
      <c r="A5577" s="2"/>
      <c r="B5577" s="2"/>
      <c r="C5577" s="1"/>
      <c r="D5577" s="2"/>
      <c r="E5577" s="2"/>
      <c r="F5577" s="2"/>
      <c r="G5577" s="2"/>
      <c r="H5577" s="2"/>
      <c r="I5577" s="2"/>
      <c r="J5577" s="2"/>
      <c r="K5577" s="2"/>
      <c r="L5577" s="2"/>
      <c r="M5577" s="2"/>
      <c r="N5577" s="2"/>
      <c r="O5577" s="2"/>
      <c r="P5577" s="2"/>
      <c r="Q5577" s="2"/>
      <c r="R5577" s="2"/>
      <c r="S5577" s="2"/>
      <c r="T5577" s="2"/>
      <c r="U5577" s="2"/>
      <c r="V5577" s="2"/>
      <c r="W5577" s="2"/>
    </row>
    <row r="5578" spans="1:23" x14ac:dyDescent="0.25">
      <c r="A5578" s="2"/>
      <c r="B5578" s="2"/>
      <c r="C5578" s="1"/>
      <c r="D5578" s="2"/>
      <c r="E5578" s="2"/>
      <c r="F5578" s="2"/>
      <c r="G5578" s="2"/>
      <c r="H5578" s="2"/>
      <c r="I5578" s="2"/>
      <c r="J5578" s="2"/>
      <c r="K5578" s="2"/>
      <c r="L5578" s="2"/>
      <c r="M5578" s="2"/>
      <c r="N5578" s="2"/>
      <c r="O5578" s="2"/>
      <c r="P5578" s="2"/>
      <c r="Q5578" s="2"/>
      <c r="R5578" s="2"/>
      <c r="S5578" s="2"/>
      <c r="T5578" s="2"/>
      <c r="U5578" s="2"/>
      <c r="V5578" s="2"/>
      <c r="W5578" s="2"/>
    </row>
    <row r="5579" spans="1:23" x14ac:dyDescent="0.25">
      <c r="A5579" s="2"/>
      <c r="B5579" s="2"/>
      <c r="C5579" s="1"/>
      <c r="D5579" s="2"/>
      <c r="E5579" s="2"/>
      <c r="F5579" s="2"/>
      <c r="G5579" s="2"/>
      <c r="H5579" s="2"/>
      <c r="I5579" s="2"/>
      <c r="J5579" s="2"/>
      <c r="K5579" s="2"/>
      <c r="L5579" s="2"/>
      <c r="M5579" s="2"/>
      <c r="N5579" s="2"/>
      <c r="O5579" s="2"/>
      <c r="P5579" s="2"/>
      <c r="Q5579" s="2"/>
      <c r="R5579" s="2"/>
      <c r="S5579" s="2"/>
      <c r="T5579" s="2"/>
      <c r="U5579" s="2"/>
      <c r="V5579" s="2"/>
      <c r="W5579" s="2"/>
    </row>
    <row r="5580" spans="1:23" x14ac:dyDescent="0.25">
      <c r="A5580" s="2"/>
      <c r="B5580" s="2"/>
      <c r="C5580" s="1"/>
      <c r="D5580" s="2"/>
      <c r="E5580" s="2"/>
      <c r="F5580" s="2"/>
      <c r="G5580" s="2"/>
      <c r="H5580" s="2"/>
      <c r="I5580" s="2"/>
      <c r="J5580" s="2"/>
      <c r="K5580" s="2"/>
      <c r="L5580" s="2"/>
      <c r="M5580" s="2"/>
      <c r="N5580" s="2"/>
      <c r="O5580" s="2"/>
      <c r="P5580" s="2"/>
      <c r="Q5580" s="2"/>
      <c r="R5580" s="2"/>
      <c r="S5580" s="2"/>
      <c r="T5580" s="2"/>
      <c r="U5580" s="2"/>
      <c r="V5580" s="2"/>
      <c r="W5580" s="2"/>
    </row>
    <row r="5581" spans="1:23" x14ac:dyDescent="0.25">
      <c r="A5581" s="2"/>
      <c r="B5581" s="2"/>
      <c r="C5581" s="1"/>
      <c r="D5581" s="2"/>
      <c r="E5581" s="2"/>
      <c r="F5581" s="2"/>
      <c r="G5581" s="2"/>
      <c r="H5581" s="2"/>
      <c r="I5581" s="2"/>
      <c r="J5581" s="2"/>
      <c r="K5581" s="2"/>
      <c r="L5581" s="2"/>
      <c r="M5581" s="2"/>
      <c r="N5581" s="2"/>
      <c r="O5581" s="2"/>
      <c r="P5581" s="2"/>
      <c r="Q5581" s="2"/>
      <c r="R5581" s="2"/>
      <c r="S5581" s="2"/>
      <c r="T5581" s="2"/>
      <c r="U5581" s="2"/>
      <c r="V5581" s="2"/>
      <c r="W5581" s="2"/>
    </row>
    <row r="5582" spans="1:23" x14ac:dyDescent="0.25">
      <c r="A5582" s="2"/>
      <c r="B5582" s="2"/>
      <c r="C5582" s="1"/>
      <c r="D5582" s="2"/>
      <c r="E5582" s="2"/>
      <c r="F5582" s="2"/>
      <c r="G5582" s="2"/>
      <c r="H5582" s="2"/>
      <c r="I5582" s="2"/>
      <c r="J5582" s="2"/>
      <c r="K5582" s="2"/>
      <c r="L5582" s="2"/>
      <c r="M5582" s="2"/>
      <c r="N5582" s="2"/>
      <c r="O5582" s="2"/>
      <c r="P5582" s="2"/>
      <c r="Q5582" s="2"/>
      <c r="R5582" s="2"/>
      <c r="S5582" s="2"/>
      <c r="T5582" s="2"/>
      <c r="U5582" s="2"/>
      <c r="V5582" s="2"/>
      <c r="W5582" s="2"/>
    </row>
    <row r="5583" spans="1:23" x14ac:dyDescent="0.25">
      <c r="A5583" s="2"/>
      <c r="B5583" s="2"/>
      <c r="C5583" s="1"/>
      <c r="D5583" s="2"/>
      <c r="E5583" s="2"/>
      <c r="F5583" s="2"/>
      <c r="G5583" s="2"/>
      <c r="H5583" s="2"/>
      <c r="I5583" s="2"/>
      <c r="J5583" s="2"/>
      <c r="K5583" s="2"/>
      <c r="L5583" s="2"/>
      <c r="M5583" s="2"/>
      <c r="N5583" s="2"/>
      <c r="O5583" s="2"/>
      <c r="P5583" s="2"/>
      <c r="Q5583" s="2"/>
      <c r="R5583" s="2"/>
      <c r="S5583" s="2"/>
      <c r="T5583" s="2"/>
      <c r="U5583" s="2"/>
      <c r="V5583" s="2"/>
      <c r="W5583" s="2"/>
    </row>
    <row r="5584" spans="1:23" x14ac:dyDescent="0.25">
      <c r="A5584" s="2"/>
      <c r="B5584" s="2"/>
      <c r="C5584" s="1"/>
      <c r="D5584" s="2"/>
      <c r="E5584" s="2"/>
      <c r="F5584" s="2"/>
      <c r="G5584" s="2"/>
      <c r="H5584" s="2"/>
      <c r="I5584" s="2"/>
      <c r="J5584" s="2"/>
      <c r="K5584" s="2"/>
      <c r="L5584" s="2"/>
      <c r="M5584" s="2"/>
      <c r="N5584" s="2"/>
      <c r="O5584" s="2"/>
      <c r="P5584" s="2"/>
      <c r="Q5584" s="2"/>
      <c r="R5584" s="2"/>
      <c r="S5584" s="2"/>
      <c r="T5584" s="2"/>
      <c r="U5584" s="2"/>
      <c r="V5584" s="2"/>
      <c r="W5584" s="2"/>
    </row>
    <row r="5585" spans="1:23" x14ac:dyDescent="0.25">
      <c r="A5585" s="2"/>
      <c r="B5585" s="2"/>
      <c r="C5585" s="1"/>
      <c r="D5585" s="2"/>
      <c r="E5585" s="2"/>
      <c r="F5585" s="2"/>
      <c r="G5585" s="2"/>
      <c r="H5585" s="2"/>
      <c r="I5585" s="2"/>
      <c r="J5585" s="2"/>
      <c r="K5585" s="2"/>
      <c r="L5585" s="2"/>
      <c r="M5585" s="2"/>
      <c r="N5585" s="2"/>
      <c r="O5585" s="2"/>
      <c r="P5585" s="2"/>
      <c r="Q5585" s="2"/>
      <c r="R5585" s="2"/>
      <c r="S5585" s="2"/>
      <c r="T5585" s="2"/>
      <c r="U5585" s="2"/>
      <c r="V5585" s="2"/>
      <c r="W5585" s="2"/>
    </row>
    <row r="5586" spans="1:23" x14ac:dyDescent="0.25">
      <c r="A5586" s="2"/>
      <c r="B5586" s="2"/>
      <c r="C5586" s="1"/>
      <c r="D5586" s="2"/>
      <c r="E5586" s="2"/>
      <c r="F5586" s="2"/>
      <c r="G5586" s="2"/>
      <c r="H5586" s="2"/>
      <c r="I5586" s="2"/>
      <c r="J5586" s="2"/>
      <c r="K5586" s="2"/>
      <c r="L5586" s="2"/>
      <c r="M5586" s="2"/>
      <c r="N5586" s="2"/>
      <c r="O5586" s="2"/>
      <c r="P5586" s="2"/>
      <c r="Q5586" s="2"/>
      <c r="R5586" s="2"/>
      <c r="S5586" s="2"/>
      <c r="T5586" s="2"/>
      <c r="U5586" s="2"/>
      <c r="V5586" s="2"/>
      <c r="W5586" s="2"/>
    </row>
    <row r="5587" spans="1:23" x14ac:dyDescent="0.25">
      <c r="A5587" s="2"/>
      <c r="B5587" s="2"/>
      <c r="C5587" s="1"/>
      <c r="D5587" s="2"/>
      <c r="E5587" s="2"/>
      <c r="F5587" s="2"/>
      <c r="G5587" s="2"/>
      <c r="H5587" s="2"/>
      <c r="I5587" s="2"/>
      <c r="J5587" s="2"/>
      <c r="K5587" s="2"/>
      <c r="L5587" s="2"/>
      <c r="M5587" s="2"/>
      <c r="N5587" s="2"/>
      <c r="O5587" s="2"/>
      <c r="P5587" s="2"/>
      <c r="Q5587" s="2"/>
      <c r="R5587" s="2"/>
      <c r="S5587" s="2"/>
      <c r="T5587" s="2"/>
      <c r="U5587" s="2"/>
      <c r="V5587" s="2"/>
      <c r="W5587" s="2"/>
    </row>
    <row r="5588" spans="1:23" x14ac:dyDescent="0.25">
      <c r="A5588" s="2"/>
      <c r="B5588" s="2"/>
      <c r="C5588" s="1"/>
      <c r="D5588" s="2"/>
      <c r="E5588" s="2"/>
      <c r="F5588" s="2"/>
      <c r="G5588" s="2"/>
      <c r="H5588" s="2"/>
      <c r="I5588" s="2"/>
      <c r="J5588" s="2"/>
      <c r="K5588" s="2"/>
      <c r="L5588" s="2"/>
      <c r="M5588" s="2"/>
      <c r="N5588" s="2"/>
      <c r="O5588" s="2"/>
      <c r="P5588" s="2"/>
      <c r="Q5588" s="2"/>
      <c r="R5588" s="2"/>
      <c r="S5588" s="2"/>
      <c r="T5588" s="2"/>
      <c r="U5588" s="2"/>
      <c r="V5588" s="2"/>
      <c r="W5588" s="2"/>
    </row>
    <row r="5589" spans="1:23" x14ac:dyDescent="0.25">
      <c r="A5589" s="2"/>
      <c r="B5589" s="2"/>
      <c r="C5589" s="1"/>
      <c r="D5589" s="2"/>
      <c r="E5589" s="2"/>
      <c r="F5589" s="2"/>
      <c r="G5589" s="2"/>
      <c r="H5589" s="2"/>
      <c r="I5589" s="2"/>
      <c r="J5589" s="2"/>
      <c r="K5589" s="2"/>
      <c r="L5589" s="2"/>
      <c r="M5589" s="2"/>
      <c r="N5589" s="2"/>
      <c r="O5589" s="2"/>
      <c r="P5589" s="2"/>
      <c r="Q5589" s="2"/>
      <c r="R5589" s="2"/>
      <c r="S5589" s="2"/>
      <c r="T5589" s="2"/>
      <c r="U5589" s="2"/>
      <c r="V5589" s="2"/>
      <c r="W5589" s="2"/>
    </row>
    <row r="5590" spans="1:23" x14ac:dyDescent="0.25">
      <c r="A5590" s="2"/>
      <c r="B5590" s="2"/>
      <c r="C5590" s="1"/>
      <c r="D5590" s="2"/>
      <c r="E5590" s="2"/>
      <c r="F5590" s="2"/>
      <c r="G5590" s="2"/>
      <c r="H5590" s="2"/>
      <c r="I5590" s="2"/>
      <c r="J5590" s="2"/>
      <c r="K5590" s="2"/>
      <c r="L5590" s="2"/>
      <c r="M5590" s="2"/>
      <c r="N5590" s="2"/>
      <c r="O5590" s="2"/>
      <c r="P5590" s="2"/>
      <c r="Q5590" s="2"/>
      <c r="R5590" s="2"/>
      <c r="S5590" s="2"/>
      <c r="T5590" s="2"/>
      <c r="U5590" s="2"/>
      <c r="V5590" s="2"/>
      <c r="W5590" s="2"/>
    </row>
    <row r="5591" spans="1:23" x14ac:dyDescent="0.25">
      <c r="A5591" s="2"/>
      <c r="B5591" s="2"/>
      <c r="C5591" s="1"/>
      <c r="D5591" s="2"/>
      <c r="E5591" s="2"/>
      <c r="F5591" s="2"/>
      <c r="G5591" s="2"/>
      <c r="H5591" s="2"/>
      <c r="I5591" s="2"/>
      <c r="J5591" s="2"/>
      <c r="K5591" s="2"/>
      <c r="L5591" s="2"/>
      <c r="M5591" s="2"/>
      <c r="N5591" s="2"/>
      <c r="O5591" s="2"/>
      <c r="P5591" s="2"/>
      <c r="Q5591" s="2"/>
      <c r="R5591" s="2"/>
      <c r="S5591" s="2"/>
      <c r="T5591" s="2"/>
      <c r="U5591" s="2"/>
      <c r="V5591" s="2"/>
      <c r="W5591" s="2"/>
    </row>
    <row r="5592" spans="1:23" x14ac:dyDescent="0.25">
      <c r="A5592" s="2"/>
      <c r="B5592" s="2"/>
      <c r="C5592" s="1"/>
      <c r="D5592" s="2"/>
      <c r="E5592" s="2"/>
      <c r="F5592" s="2"/>
      <c r="G5592" s="2"/>
      <c r="H5592" s="2"/>
      <c r="I5592" s="2"/>
      <c r="J5592" s="2"/>
      <c r="K5592" s="2"/>
      <c r="L5592" s="2"/>
      <c r="M5592" s="2"/>
      <c r="N5592" s="2"/>
      <c r="O5592" s="2"/>
      <c r="P5592" s="2"/>
      <c r="Q5592" s="2"/>
      <c r="R5592" s="2"/>
      <c r="S5592" s="2"/>
      <c r="T5592" s="2"/>
      <c r="U5592" s="2"/>
      <c r="V5592" s="2"/>
      <c r="W5592" s="2"/>
    </row>
    <row r="5593" spans="1:23" x14ac:dyDescent="0.25">
      <c r="A5593" s="2"/>
      <c r="B5593" s="2"/>
      <c r="C5593" s="1"/>
      <c r="D5593" s="2"/>
      <c r="E5593" s="2"/>
      <c r="F5593" s="2"/>
      <c r="G5593" s="2"/>
      <c r="H5593" s="2"/>
      <c r="I5593" s="2"/>
      <c r="J5593" s="2"/>
      <c r="K5593" s="2"/>
      <c r="L5593" s="2"/>
      <c r="M5593" s="2"/>
      <c r="N5593" s="2"/>
      <c r="O5593" s="2"/>
      <c r="P5593" s="2"/>
      <c r="Q5593" s="2"/>
      <c r="R5593" s="2"/>
      <c r="S5593" s="2"/>
      <c r="T5593" s="2"/>
      <c r="U5593" s="2"/>
      <c r="V5593" s="2"/>
      <c r="W5593" s="2"/>
    </row>
    <row r="5594" spans="1:23" x14ac:dyDescent="0.25">
      <c r="A5594" s="2"/>
      <c r="B5594" s="2"/>
      <c r="C5594" s="1"/>
      <c r="D5594" s="2"/>
      <c r="E5594" s="2"/>
      <c r="F5594" s="2"/>
      <c r="G5594" s="2"/>
      <c r="H5594" s="2"/>
      <c r="I5594" s="2"/>
      <c r="J5594" s="2"/>
      <c r="K5594" s="2"/>
      <c r="L5594" s="2"/>
      <c r="M5594" s="2"/>
      <c r="N5594" s="2"/>
      <c r="O5594" s="2"/>
      <c r="P5594" s="2"/>
      <c r="Q5594" s="2"/>
      <c r="R5594" s="2"/>
      <c r="S5594" s="2"/>
      <c r="T5594" s="2"/>
      <c r="U5594" s="2"/>
      <c r="V5594" s="2"/>
      <c r="W5594" s="2"/>
    </row>
    <row r="5595" spans="1:23" x14ac:dyDescent="0.25">
      <c r="A5595" s="2"/>
      <c r="B5595" s="2"/>
      <c r="C5595" s="1"/>
      <c r="D5595" s="2"/>
      <c r="E5595" s="2"/>
      <c r="F5595" s="2"/>
      <c r="G5595" s="2"/>
      <c r="H5595" s="2"/>
      <c r="I5595" s="2"/>
      <c r="J5595" s="2"/>
      <c r="K5595" s="2"/>
      <c r="L5595" s="2"/>
      <c r="M5595" s="2"/>
      <c r="N5595" s="2"/>
      <c r="O5595" s="2"/>
      <c r="P5595" s="2"/>
      <c r="Q5595" s="2"/>
      <c r="R5595" s="2"/>
      <c r="S5595" s="2"/>
      <c r="T5595" s="2"/>
      <c r="U5595" s="2"/>
      <c r="V5595" s="2"/>
      <c r="W5595" s="2"/>
    </row>
    <row r="5596" spans="1:23" x14ac:dyDescent="0.25">
      <c r="A5596" s="2"/>
      <c r="B5596" s="2"/>
      <c r="C5596" s="1"/>
      <c r="D5596" s="2"/>
      <c r="E5596" s="2"/>
      <c r="F5596" s="2"/>
      <c r="G5596" s="2"/>
      <c r="H5596" s="2"/>
      <c r="I5596" s="2"/>
      <c r="J5596" s="2"/>
      <c r="K5596" s="2"/>
      <c r="L5596" s="2"/>
      <c r="M5596" s="2"/>
      <c r="N5596" s="2"/>
      <c r="O5596" s="2"/>
      <c r="P5596" s="2"/>
      <c r="Q5596" s="2"/>
      <c r="R5596" s="2"/>
      <c r="S5596" s="2"/>
      <c r="T5596" s="2"/>
      <c r="U5596" s="2"/>
      <c r="V5596" s="2"/>
      <c r="W5596" s="2"/>
    </row>
    <row r="5597" spans="1:23" x14ac:dyDescent="0.25">
      <c r="A5597" s="2"/>
      <c r="B5597" s="2"/>
      <c r="C5597" s="1"/>
      <c r="D5597" s="2"/>
      <c r="E5597" s="2"/>
      <c r="F5597" s="2"/>
      <c r="G5597" s="2"/>
      <c r="H5597" s="2"/>
      <c r="I5597" s="2"/>
      <c r="J5597" s="2"/>
      <c r="K5597" s="2"/>
      <c r="L5597" s="2"/>
      <c r="M5597" s="2"/>
      <c r="N5597" s="2"/>
      <c r="O5597" s="2"/>
      <c r="P5597" s="2"/>
      <c r="Q5597" s="2"/>
      <c r="R5597" s="2"/>
      <c r="S5597" s="2"/>
      <c r="T5597" s="2"/>
      <c r="U5597" s="2"/>
      <c r="V5597" s="2"/>
      <c r="W5597" s="2"/>
    </row>
    <row r="5598" spans="1:23" x14ac:dyDescent="0.25">
      <c r="A5598" s="2"/>
      <c r="B5598" s="2"/>
      <c r="C5598" s="1"/>
      <c r="D5598" s="2"/>
      <c r="E5598" s="2"/>
      <c r="F5598" s="2"/>
      <c r="G5598" s="2"/>
      <c r="H5598" s="2"/>
      <c r="I5598" s="2"/>
      <c r="J5598" s="2"/>
      <c r="K5598" s="2"/>
      <c r="L5598" s="2"/>
      <c r="M5598" s="2"/>
      <c r="N5598" s="2"/>
      <c r="O5598" s="2"/>
      <c r="P5598" s="2"/>
      <c r="Q5598" s="2"/>
      <c r="R5598" s="2"/>
      <c r="S5598" s="2"/>
      <c r="T5598" s="2"/>
      <c r="U5598" s="2"/>
      <c r="V5598" s="2"/>
      <c r="W5598" s="2"/>
    </row>
    <row r="5599" spans="1:23" x14ac:dyDescent="0.25">
      <c r="A5599" s="2"/>
      <c r="B5599" s="2"/>
      <c r="C5599" s="1"/>
      <c r="D5599" s="2"/>
      <c r="E5599" s="2"/>
      <c r="F5599" s="2"/>
      <c r="G5599" s="2"/>
      <c r="H5599" s="2"/>
      <c r="I5599" s="2"/>
      <c r="J5599" s="2"/>
      <c r="K5599" s="2"/>
      <c r="L5599" s="2"/>
      <c r="M5599" s="2"/>
      <c r="N5599" s="2"/>
      <c r="O5599" s="2"/>
      <c r="P5599" s="2"/>
      <c r="Q5599" s="2"/>
      <c r="R5599" s="2"/>
      <c r="S5599" s="2"/>
      <c r="T5599" s="2"/>
      <c r="U5599" s="2"/>
      <c r="V5599" s="2"/>
      <c r="W5599" s="2"/>
    </row>
    <row r="5600" spans="1:23" x14ac:dyDescent="0.25">
      <c r="A5600" s="2"/>
      <c r="B5600" s="2"/>
      <c r="C5600" s="1"/>
      <c r="D5600" s="2"/>
      <c r="E5600" s="2"/>
      <c r="F5600" s="2"/>
      <c r="G5600" s="2"/>
      <c r="H5600" s="2"/>
      <c r="I5600" s="2"/>
      <c r="J5600" s="2"/>
      <c r="K5600" s="2"/>
      <c r="L5600" s="2"/>
      <c r="M5600" s="2"/>
      <c r="N5600" s="2"/>
      <c r="O5600" s="2"/>
      <c r="P5600" s="2"/>
      <c r="Q5600" s="2"/>
      <c r="R5600" s="2"/>
      <c r="S5600" s="2"/>
      <c r="T5600" s="2"/>
      <c r="U5600" s="2"/>
      <c r="V5600" s="2"/>
      <c r="W5600" s="2"/>
    </row>
    <row r="5601" spans="1:23" x14ac:dyDescent="0.25">
      <c r="A5601" s="2"/>
      <c r="B5601" s="2"/>
      <c r="C5601" s="1"/>
      <c r="D5601" s="2"/>
      <c r="E5601" s="2"/>
      <c r="F5601" s="2"/>
      <c r="G5601" s="2"/>
      <c r="H5601" s="2"/>
      <c r="I5601" s="2"/>
      <c r="J5601" s="2"/>
      <c r="K5601" s="2"/>
      <c r="L5601" s="2"/>
      <c r="M5601" s="2"/>
      <c r="N5601" s="2"/>
      <c r="O5601" s="2"/>
      <c r="P5601" s="2"/>
      <c r="Q5601" s="2"/>
      <c r="R5601" s="2"/>
      <c r="S5601" s="2"/>
      <c r="T5601" s="2"/>
      <c r="U5601" s="2"/>
      <c r="V5601" s="2"/>
      <c r="W5601" s="2"/>
    </row>
    <row r="5602" spans="1:23" x14ac:dyDescent="0.25">
      <c r="A5602" s="2"/>
      <c r="B5602" s="2"/>
      <c r="C5602" s="1"/>
      <c r="D5602" s="2"/>
      <c r="E5602" s="2"/>
      <c r="F5602" s="2"/>
      <c r="G5602" s="2"/>
      <c r="H5602" s="2"/>
      <c r="I5602" s="2"/>
      <c r="J5602" s="2"/>
      <c r="K5602" s="2"/>
      <c r="L5602" s="2"/>
      <c r="M5602" s="2"/>
      <c r="N5602" s="2"/>
      <c r="O5602" s="2"/>
      <c r="P5602" s="2"/>
      <c r="Q5602" s="2"/>
      <c r="R5602" s="2"/>
      <c r="S5602" s="2"/>
      <c r="T5602" s="2"/>
      <c r="U5602" s="2"/>
      <c r="V5602" s="2"/>
      <c r="W5602" s="2"/>
    </row>
    <row r="5603" spans="1:23" x14ac:dyDescent="0.25">
      <c r="A5603" s="2"/>
      <c r="B5603" s="2"/>
      <c r="C5603" s="1"/>
      <c r="D5603" s="2"/>
      <c r="E5603" s="2"/>
      <c r="F5603" s="2"/>
      <c r="G5603" s="2"/>
      <c r="H5603" s="2"/>
      <c r="I5603" s="2"/>
      <c r="J5603" s="2"/>
      <c r="K5603" s="2"/>
      <c r="L5603" s="2"/>
      <c r="M5603" s="2"/>
      <c r="N5603" s="2"/>
      <c r="O5603" s="2"/>
      <c r="P5603" s="2"/>
      <c r="Q5603" s="2"/>
      <c r="R5603" s="2"/>
      <c r="S5603" s="2"/>
      <c r="T5603" s="2"/>
      <c r="U5603" s="2"/>
      <c r="V5603" s="2"/>
      <c r="W5603" s="2"/>
    </row>
    <row r="5604" spans="1:23" x14ac:dyDescent="0.25">
      <c r="A5604" s="2"/>
      <c r="B5604" s="2"/>
      <c r="C5604" s="1"/>
      <c r="D5604" s="2"/>
      <c r="E5604" s="2"/>
      <c r="F5604" s="2"/>
      <c r="G5604" s="2"/>
      <c r="H5604" s="2"/>
      <c r="I5604" s="2"/>
      <c r="J5604" s="2"/>
      <c r="K5604" s="2"/>
      <c r="L5604" s="2"/>
      <c r="M5604" s="2"/>
      <c r="N5604" s="2"/>
      <c r="O5604" s="2"/>
      <c r="P5604" s="2"/>
      <c r="Q5604" s="2"/>
      <c r="R5604" s="2"/>
      <c r="S5604" s="2"/>
      <c r="T5604" s="2"/>
      <c r="U5604" s="2"/>
      <c r="V5604" s="2"/>
      <c r="W5604" s="2"/>
    </row>
    <row r="5605" spans="1:23" x14ac:dyDescent="0.25">
      <c r="A5605" s="2"/>
      <c r="B5605" s="2"/>
      <c r="C5605" s="1"/>
      <c r="D5605" s="2"/>
      <c r="E5605" s="2"/>
      <c r="F5605" s="2"/>
      <c r="G5605" s="2"/>
      <c r="H5605" s="2"/>
      <c r="I5605" s="2"/>
      <c r="J5605" s="2"/>
      <c r="K5605" s="2"/>
      <c r="L5605" s="2"/>
      <c r="M5605" s="2"/>
      <c r="N5605" s="2"/>
      <c r="O5605" s="2"/>
      <c r="P5605" s="2"/>
      <c r="Q5605" s="2"/>
      <c r="R5605" s="2"/>
      <c r="S5605" s="2"/>
      <c r="T5605" s="2"/>
      <c r="U5605" s="2"/>
      <c r="V5605" s="2"/>
      <c r="W5605" s="2"/>
    </row>
    <row r="5606" spans="1:23" x14ac:dyDescent="0.25">
      <c r="A5606" s="2"/>
      <c r="B5606" s="2"/>
      <c r="C5606" s="1"/>
      <c r="D5606" s="2"/>
      <c r="E5606" s="2"/>
      <c r="F5606" s="2"/>
      <c r="G5606" s="2"/>
      <c r="H5606" s="2"/>
      <c r="I5606" s="2"/>
      <c r="J5606" s="2"/>
      <c r="K5606" s="2"/>
      <c r="L5606" s="2"/>
      <c r="M5606" s="2"/>
      <c r="N5606" s="2"/>
      <c r="O5606" s="2"/>
      <c r="P5606" s="2"/>
      <c r="Q5606" s="2"/>
      <c r="R5606" s="2"/>
      <c r="S5606" s="2"/>
      <c r="T5606" s="2"/>
      <c r="U5606" s="2"/>
      <c r="V5606" s="2"/>
      <c r="W5606" s="2"/>
    </row>
    <row r="5607" spans="1:23" x14ac:dyDescent="0.25">
      <c r="A5607" s="2"/>
      <c r="B5607" s="2"/>
      <c r="C5607" s="1"/>
      <c r="D5607" s="2"/>
      <c r="E5607" s="2"/>
      <c r="F5607" s="2"/>
      <c r="G5607" s="2"/>
      <c r="H5607" s="2"/>
      <c r="I5607" s="2"/>
      <c r="J5607" s="2"/>
      <c r="K5607" s="2"/>
      <c r="L5607" s="2"/>
      <c r="M5607" s="2"/>
      <c r="N5607" s="2"/>
      <c r="O5607" s="2"/>
      <c r="P5607" s="2"/>
      <c r="Q5607" s="2"/>
      <c r="R5607" s="2"/>
      <c r="S5607" s="2"/>
      <c r="T5607" s="2"/>
      <c r="U5607" s="2"/>
      <c r="V5607" s="2"/>
      <c r="W5607" s="2"/>
    </row>
    <row r="5608" spans="1:23" x14ac:dyDescent="0.25">
      <c r="A5608" s="2"/>
      <c r="B5608" s="2"/>
      <c r="C5608" s="1"/>
      <c r="D5608" s="2"/>
      <c r="E5608" s="2"/>
      <c r="F5608" s="2"/>
      <c r="G5608" s="2"/>
      <c r="H5608" s="2"/>
      <c r="I5608" s="2"/>
      <c r="J5608" s="2"/>
      <c r="K5608" s="2"/>
      <c r="L5608" s="2"/>
      <c r="M5608" s="2"/>
      <c r="N5608" s="2"/>
      <c r="O5608" s="2"/>
      <c r="P5608" s="2"/>
      <c r="Q5608" s="2"/>
      <c r="R5608" s="2"/>
      <c r="S5608" s="2"/>
      <c r="T5608" s="2"/>
      <c r="U5608" s="2"/>
      <c r="V5608" s="2"/>
      <c r="W5608" s="2"/>
    </row>
    <row r="5609" spans="1:23" x14ac:dyDescent="0.25">
      <c r="A5609" s="2"/>
      <c r="B5609" s="2"/>
      <c r="C5609" s="1"/>
      <c r="D5609" s="2"/>
      <c r="E5609" s="2"/>
      <c r="F5609" s="2"/>
      <c r="G5609" s="2"/>
      <c r="H5609" s="2"/>
      <c r="I5609" s="2"/>
      <c r="J5609" s="2"/>
      <c r="K5609" s="2"/>
      <c r="L5609" s="2"/>
      <c r="M5609" s="2"/>
      <c r="N5609" s="2"/>
      <c r="O5609" s="2"/>
      <c r="P5609" s="2"/>
      <c r="Q5609" s="2"/>
      <c r="R5609" s="2"/>
      <c r="S5609" s="2"/>
      <c r="T5609" s="2"/>
      <c r="U5609" s="2"/>
      <c r="V5609" s="2"/>
      <c r="W5609" s="2"/>
    </row>
    <row r="5610" spans="1:23" x14ac:dyDescent="0.25">
      <c r="A5610" s="2"/>
      <c r="B5610" s="2"/>
      <c r="C5610" s="1"/>
      <c r="D5610" s="2"/>
      <c r="E5610" s="2"/>
      <c r="F5610" s="2"/>
      <c r="G5610" s="2"/>
      <c r="H5610" s="2"/>
      <c r="I5610" s="2"/>
      <c r="J5610" s="2"/>
      <c r="K5610" s="2"/>
      <c r="L5610" s="2"/>
      <c r="M5610" s="2"/>
      <c r="N5610" s="2"/>
      <c r="O5610" s="2"/>
      <c r="P5610" s="2"/>
      <c r="Q5610" s="2"/>
      <c r="R5610" s="2"/>
      <c r="S5610" s="2"/>
      <c r="T5610" s="2"/>
      <c r="U5610" s="2"/>
      <c r="V5610" s="2"/>
      <c r="W5610" s="2"/>
    </row>
    <row r="5611" spans="1:23" x14ac:dyDescent="0.25">
      <c r="A5611" s="2"/>
      <c r="B5611" s="2"/>
      <c r="C5611" s="1"/>
      <c r="D5611" s="2"/>
      <c r="E5611" s="2"/>
      <c r="F5611" s="2"/>
      <c r="G5611" s="2"/>
      <c r="H5611" s="2"/>
      <c r="I5611" s="2"/>
      <c r="J5611" s="2"/>
      <c r="K5611" s="2"/>
      <c r="L5611" s="2"/>
      <c r="M5611" s="2"/>
      <c r="N5611" s="2"/>
      <c r="O5611" s="2"/>
      <c r="P5611" s="2"/>
      <c r="Q5611" s="2"/>
      <c r="R5611" s="2"/>
      <c r="S5611" s="2"/>
      <c r="T5611" s="2"/>
      <c r="U5611" s="2"/>
      <c r="V5611" s="2"/>
      <c r="W5611" s="2"/>
    </row>
    <row r="5612" spans="1:23" x14ac:dyDescent="0.25">
      <c r="A5612" s="2"/>
      <c r="B5612" s="2"/>
      <c r="C5612" s="1"/>
      <c r="D5612" s="2"/>
      <c r="E5612" s="2"/>
      <c r="F5612" s="2"/>
      <c r="G5612" s="2"/>
      <c r="H5612" s="2"/>
      <c r="I5612" s="2"/>
      <c r="J5612" s="2"/>
      <c r="K5612" s="2"/>
      <c r="L5612" s="2"/>
      <c r="M5612" s="2"/>
      <c r="N5612" s="2"/>
      <c r="O5612" s="2"/>
      <c r="P5612" s="2"/>
      <c r="Q5612" s="2"/>
      <c r="R5612" s="2"/>
      <c r="S5612" s="2"/>
      <c r="T5612" s="2"/>
      <c r="U5612" s="2"/>
      <c r="V5612" s="2"/>
      <c r="W5612" s="2"/>
    </row>
    <row r="5613" spans="1:23" x14ac:dyDescent="0.25">
      <c r="A5613" s="2"/>
      <c r="B5613" s="2"/>
      <c r="C5613" s="1"/>
      <c r="D5613" s="2"/>
      <c r="E5613" s="2"/>
      <c r="F5613" s="2"/>
      <c r="G5613" s="2"/>
      <c r="H5613" s="2"/>
      <c r="I5613" s="2"/>
      <c r="J5613" s="2"/>
      <c r="K5613" s="2"/>
      <c r="L5613" s="2"/>
      <c r="M5613" s="2"/>
      <c r="N5613" s="2"/>
      <c r="O5613" s="2"/>
      <c r="P5613" s="2"/>
      <c r="Q5613" s="2"/>
      <c r="R5613" s="2"/>
      <c r="S5613" s="2"/>
      <c r="T5613" s="2"/>
      <c r="U5613" s="2"/>
      <c r="V5613" s="2"/>
      <c r="W5613" s="2"/>
    </row>
    <row r="5614" spans="1:23" x14ac:dyDescent="0.25">
      <c r="A5614" s="2"/>
      <c r="B5614" s="2"/>
      <c r="C5614" s="1"/>
      <c r="D5614" s="2"/>
      <c r="E5614" s="2"/>
      <c r="F5614" s="2"/>
      <c r="G5614" s="2"/>
      <c r="H5614" s="2"/>
      <c r="I5614" s="2"/>
      <c r="J5614" s="2"/>
      <c r="K5614" s="2"/>
      <c r="L5614" s="2"/>
      <c r="M5614" s="2"/>
      <c r="N5614" s="2"/>
      <c r="O5614" s="2"/>
      <c r="P5614" s="2"/>
      <c r="Q5614" s="2"/>
      <c r="R5614" s="2"/>
      <c r="S5614" s="2"/>
      <c r="T5614" s="2"/>
      <c r="U5614" s="2"/>
      <c r="V5614" s="2"/>
      <c r="W5614" s="2"/>
    </row>
    <row r="5615" spans="1:23" x14ac:dyDescent="0.25">
      <c r="A5615" s="2"/>
      <c r="B5615" s="2"/>
      <c r="C5615" s="1"/>
      <c r="D5615" s="2"/>
      <c r="E5615" s="2"/>
      <c r="F5615" s="2"/>
      <c r="G5615" s="2"/>
      <c r="H5615" s="2"/>
      <c r="I5615" s="2"/>
      <c r="J5615" s="2"/>
      <c r="K5615" s="2"/>
      <c r="L5615" s="2"/>
      <c r="M5615" s="2"/>
      <c r="N5615" s="2"/>
      <c r="O5615" s="2"/>
      <c r="P5615" s="2"/>
      <c r="Q5615" s="2"/>
      <c r="R5615" s="2"/>
      <c r="S5615" s="2"/>
      <c r="T5615" s="2"/>
      <c r="U5615" s="2"/>
      <c r="V5615" s="2"/>
      <c r="W5615" s="2"/>
    </row>
    <row r="5616" spans="1:23" x14ac:dyDescent="0.25">
      <c r="A5616" s="2"/>
      <c r="B5616" s="2"/>
      <c r="C5616" s="1"/>
      <c r="D5616" s="2"/>
      <c r="E5616" s="2"/>
      <c r="F5616" s="2"/>
      <c r="G5616" s="2"/>
      <c r="H5616" s="2"/>
      <c r="I5616" s="2"/>
      <c r="J5616" s="2"/>
      <c r="K5616" s="2"/>
      <c r="L5616" s="2"/>
      <c r="M5616" s="2"/>
      <c r="N5616" s="2"/>
      <c r="O5616" s="2"/>
      <c r="P5616" s="2"/>
      <c r="Q5616" s="2"/>
      <c r="R5616" s="2"/>
      <c r="S5616" s="2"/>
      <c r="T5616" s="2"/>
      <c r="U5616" s="2"/>
      <c r="V5616" s="2"/>
      <c r="W5616" s="2"/>
    </row>
    <row r="5617" spans="1:23" x14ac:dyDescent="0.25">
      <c r="A5617" s="2"/>
      <c r="B5617" s="2"/>
      <c r="C5617" s="1"/>
      <c r="D5617" s="2"/>
      <c r="E5617" s="2"/>
      <c r="F5617" s="2"/>
      <c r="G5617" s="2"/>
      <c r="H5617" s="2"/>
      <c r="I5617" s="2"/>
      <c r="J5617" s="2"/>
      <c r="K5617" s="2"/>
      <c r="L5617" s="2"/>
      <c r="M5617" s="2"/>
      <c r="N5617" s="2"/>
      <c r="O5617" s="2"/>
      <c r="P5617" s="2"/>
      <c r="Q5617" s="2"/>
      <c r="R5617" s="2"/>
      <c r="S5617" s="2"/>
      <c r="T5617" s="2"/>
      <c r="U5617" s="2"/>
      <c r="V5617" s="2"/>
      <c r="W5617" s="2"/>
    </row>
    <row r="5618" spans="1:23" x14ac:dyDescent="0.25">
      <c r="A5618" s="2"/>
      <c r="B5618" s="2"/>
      <c r="C5618" s="1"/>
      <c r="D5618" s="2"/>
      <c r="E5618" s="2"/>
      <c r="F5618" s="2"/>
      <c r="G5618" s="2"/>
      <c r="H5618" s="2"/>
      <c r="I5618" s="2"/>
      <c r="J5618" s="2"/>
      <c r="K5618" s="2"/>
      <c r="L5618" s="2"/>
      <c r="M5618" s="2"/>
      <c r="N5618" s="2"/>
      <c r="O5618" s="2"/>
      <c r="P5618" s="2"/>
      <c r="Q5618" s="2"/>
      <c r="R5618" s="2"/>
      <c r="S5618" s="2"/>
      <c r="T5618" s="2"/>
      <c r="U5618" s="2"/>
      <c r="V5618" s="2"/>
      <c r="W5618" s="2"/>
    </row>
    <row r="5619" spans="1:23" x14ac:dyDescent="0.25">
      <c r="A5619" s="2"/>
      <c r="B5619" s="2"/>
      <c r="C5619" s="1"/>
      <c r="D5619" s="2"/>
      <c r="E5619" s="2"/>
      <c r="F5619" s="2"/>
      <c r="G5619" s="2"/>
      <c r="H5619" s="2"/>
      <c r="I5619" s="2"/>
      <c r="J5619" s="2"/>
      <c r="K5619" s="2"/>
      <c r="L5619" s="2"/>
      <c r="M5619" s="2"/>
      <c r="N5619" s="2"/>
      <c r="O5619" s="2"/>
      <c r="P5619" s="2"/>
      <c r="Q5619" s="2"/>
      <c r="R5619" s="2"/>
      <c r="S5619" s="2"/>
      <c r="T5619" s="2"/>
      <c r="U5619" s="2"/>
      <c r="V5619" s="2"/>
      <c r="W5619" s="2"/>
    </row>
    <row r="5620" spans="1:23" x14ac:dyDescent="0.25">
      <c r="A5620" s="2"/>
      <c r="B5620" s="2"/>
      <c r="C5620" s="1"/>
      <c r="D5620" s="2"/>
      <c r="E5620" s="2"/>
      <c r="F5620" s="2"/>
      <c r="G5620" s="2"/>
      <c r="H5620" s="2"/>
      <c r="I5620" s="2"/>
      <c r="J5620" s="2"/>
      <c r="K5620" s="2"/>
      <c r="L5620" s="2"/>
      <c r="M5620" s="2"/>
      <c r="N5620" s="2"/>
      <c r="O5620" s="2"/>
      <c r="P5620" s="2"/>
      <c r="Q5620" s="2"/>
      <c r="R5620" s="2"/>
      <c r="S5620" s="2"/>
      <c r="T5620" s="2"/>
      <c r="U5620" s="2"/>
      <c r="V5620" s="2"/>
      <c r="W5620" s="2"/>
    </row>
    <row r="5621" spans="1:23" x14ac:dyDescent="0.25">
      <c r="A5621" s="2"/>
      <c r="B5621" s="2"/>
      <c r="C5621" s="1"/>
      <c r="D5621" s="2"/>
      <c r="E5621" s="2"/>
      <c r="F5621" s="2"/>
      <c r="G5621" s="2"/>
      <c r="H5621" s="2"/>
      <c r="I5621" s="2"/>
      <c r="J5621" s="2"/>
      <c r="K5621" s="2"/>
      <c r="L5621" s="2"/>
      <c r="M5621" s="2"/>
      <c r="N5621" s="2"/>
      <c r="O5621" s="2"/>
      <c r="P5621" s="2"/>
      <c r="Q5621" s="2"/>
      <c r="R5621" s="2"/>
      <c r="S5621" s="2"/>
      <c r="T5621" s="2"/>
      <c r="U5621" s="2"/>
      <c r="V5621" s="2"/>
      <c r="W5621" s="2"/>
    </row>
    <row r="5622" spans="1:23" x14ac:dyDescent="0.25">
      <c r="A5622" s="2"/>
      <c r="B5622" s="2"/>
      <c r="C5622" s="1"/>
      <c r="D5622" s="2"/>
      <c r="E5622" s="2"/>
      <c r="F5622" s="2"/>
      <c r="G5622" s="2"/>
      <c r="H5622" s="2"/>
      <c r="I5622" s="2"/>
      <c r="J5622" s="2"/>
      <c r="K5622" s="2"/>
      <c r="L5622" s="2"/>
      <c r="M5622" s="2"/>
      <c r="N5622" s="2"/>
      <c r="O5622" s="2"/>
      <c r="P5622" s="2"/>
      <c r="Q5622" s="2"/>
      <c r="R5622" s="2"/>
      <c r="S5622" s="2"/>
      <c r="T5622" s="2"/>
      <c r="U5622" s="2"/>
      <c r="V5622" s="2"/>
      <c r="W5622" s="2"/>
    </row>
    <row r="5623" spans="1:23" x14ac:dyDescent="0.25">
      <c r="A5623" s="2"/>
      <c r="B5623" s="2"/>
      <c r="C5623" s="1"/>
      <c r="D5623" s="2"/>
      <c r="E5623" s="2"/>
      <c r="F5623" s="2"/>
      <c r="G5623" s="2"/>
      <c r="H5623" s="2"/>
      <c r="I5623" s="2"/>
      <c r="J5623" s="2"/>
      <c r="K5623" s="2"/>
      <c r="L5623" s="2"/>
      <c r="M5623" s="2"/>
      <c r="N5623" s="2"/>
      <c r="O5623" s="2"/>
      <c r="P5623" s="2"/>
      <c r="Q5623" s="2"/>
      <c r="R5623" s="2"/>
      <c r="S5623" s="2"/>
      <c r="T5623" s="2"/>
      <c r="U5623" s="2"/>
      <c r="V5623" s="2"/>
      <c r="W5623" s="2"/>
    </row>
    <row r="5624" spans="1:23" x14ac:dyDescent="0.25">
      <c r="A5624" s="2"/>
      <c r="B5624" s="2"/>
      <c r="C5624" s="1"/>
      <c r="D5624" s="2"/>
      <c r="E5624" s="2"/>
      <c r="F5624" s="2"/>
      <c r="G5624" s="2"/>
      <c r="H5624" s="2"/>
      <c r="I5624" s="2"/>
      <c r="J5624" s="2"/>
      <c r="K5624" s="2"/>
      <c r="L5624" s="2"/>
      <c r="M5624" s="2"/>
      <c r="N5624" s="2"/>
      <c r="O5624" s="2"/>
      <c r="P5624" s="2"/>
      <c r="Q5624" s="2"/>
      <c r="R5624" s="2"/>
      <c r="S5624" s="2"/>
      <c r="T5624" s="2"/>
      <c r="U5624" s="2"/>
      <c r="V5624" s="2"/>
      <c r="W5624" s="2"/>
    </row>
    <row r="5625" spans="1:23" x14ac:dyDescent="0.25">
      <c r="A5625" s="2"/>
      <c r="B5625" s="2"/>
      <c r="C5625" s="1"/>
      <c r="D5625" s="2"/>
      <c r="E5625" s="2"/>
      <c r="F5625" s="2"/>
      <c r="G5625" s="2"/>
      <c r="H5625" s="2"/>
      <c r="I5625" s="2"/>
      <c r="J5625" s="2"/>
      <c r="K5625" s="2"/>
      <c r="L5625" s="2"/>
      <c r="M5625" s="2"/>
      <c r="N5625" s="2"/>
      <c r="O5625" s="2"/>
      <c r="P5625" s="2"/>
      <c r="Q5625" s="2"/>
      <c r="R5625" s="2"/>
      <c r="S5625" s="2"/>
      <c r="T5625" s="2"/>
      <c r="U5625" s="2"/>
      <c r="V5625" s="2"/>
      <c r="W5625" s="2"/>
    </row>
    <row r="5626" spans="1:23" x14ac:dyDescent="0.25">
      <c r="A5626" s="2"/>
      <c r="B5626" s="2"/>
      <c r="C5626" s="1"/>
      <c r="D5626" s="2"/>
      <c r="E5626" s="2"/>
      <c r="F5626" s="2"/>
      <c r="G5626" s="2"/>
      <c r="H5626" s="2"/>
      <c r="I5626" s="2"/>
      <c r="J5626" s="2"/>
      <c r="K5626" s="2"/>
      <c r="L5626" s="2"/>
      <c r="M5626" s="2"/>
      <c r="N5626" s="2"/>
      <c r="O5626" s="2"/>
      <c r="P5626" s="2"/>
      <c r="Q5626" s="2"/>
      <c r="R5626" s="2"/>
      <c r="S5626" s="2"/>
      <c r="T5626" s="2"/>
      <c r="U5626" s="2"/>
      <c r="V5626" s="2"/>
      <c r="W5626" s="2"/>
    </row>
    <row r="5627" spans="1:23" x14ac:dyDescent="0.25">
      <c r="A5627" s="2"/>
      <c r="B5627" s="2"/>
      <c r="C5627" s="1"/>
      <c r="D5627" s="2"/>
      <c r="E5627" s="2"/>
      <c r="F5627" s="2"/>
      <c r="G5627" s="2"/>
      <c r="H5627" s="2"/>
      <c r="I5627" s="2"/>
      <c r="J5627" s="2"/>
      <c r="K5627" s="2"/>
      <c r="L5627" s="2"/>
      <c r="M5627" s="2"/>
      <c r="N5627" s="2"/>
      <c r="O5627" s="2"/>
      <c r="P5627" s="2"/>
      <c r="Q5627" s="2"/>
      <c r="R5627" s="2"/>
      <c r="S5627" s="2"/>
      <c r="T5627" s="2"/>
      <c r="U5627" s="2"/>
      <c r="V5627" s="2"/>
      <c r="W5627" s="2"/>
    </row>
    <row r="5628" spans="1:23" x14ac:dyDescent="0.25">
      <c r="A5628" s="2"/>
      <c r="B5628" s="2"/>
      <c r="C5628" s="1"/>
      <c r="D5628" s="2"/>
      <c r="E5628" s="2"/>
      <c r="F5628" s="2"/>
      <c r="G5628" s="2"/>
      <c r="H5628" s="2"/>
      <c r="I5628" s="2"/>
      <c r="J5628" s="2"/>
      <c r="K5628" s="2"/>
      <c r="L5628" s="2"/>
      <c r="M5628" s="2"/>
      <c r="N5628" s="2"/>
      <c r="O5628" s="2"/>
      <c r="P5628" s="2"/>
      <c r="Q5628" s="2"/>
      <c r="R5628" s="2"/>
      <c r="S5628" s="2"/>
      <c r="T5628" s="2"/>
      <c r="U5628" s="2"/>
      <c r="V5628" s="2"/>
      <c r="W5628" s="2"/>
    </row>
    <row r="5629" spans="1:23" x14ac:dyDescent="0.25">
      <c r="A5629" s="2"/>
      <c r="B5629" s="2"/>
      <c r="C5629" s="1"/>
      <c r="D5629" s="2"/>
      <c r="E5629" s="2"/>
      <c r="F5629" s="2"/>
      <c r="G5629" s="2"/>
      <c r="H5629" s="2"/>
      <c r="I5629" s="2"/>
      <c r="J5629" s="2"/>
      <c r="K5629" s="2"/>
      <c r="L5629" s="2"/>
      <c r="M5629" s="2"/>
      <c r="N5629" s="2"/>
      <c r="O5629" s="2"/>
      <c r="P5629" s="2"/>
      <c r="Q5629" s="2"/>
      <c r="R5629" s="2"/>
      <c r="S5629" s="2"/>
      <c r="T5629" s="2"/>
      <c r="U5629" s="2"/>
      <c r="V5629" s="2"/>
      <c r="W5629" s="2"/>
    </row>
    <row r="5630" spans="1:23" x14ac:dyDescent="0.25">
      <c r="A5630" s="2"/>
      <c r="B5630" s="2"/>
      <c r="C5630" s="1"/>
      <c r="D5630" s="2"/>
      <c r="E5630" s="2"/>
      <c r="F5630" s="2"/>
      <c r="G5630" s="2"/>
      <c r="H5630" s="2"/>
      <c r="I5630" s="2"/>
      <c r="J5630" s="2"/>
      <c r="K5630" s="2"/>
      <c r="L5630" s="2"/>
      <c r="M5630" s="2"/>
      <c r="N5630" s="2"/>
      <c r="O5630" s="2"/>
      <c r="P5630" s="2"/>
      <c r="Q5630" s="2"/>
      <c r="R5630" s="2"/>
      <c r="S5630" s="2"/>
      <c r="T5630" s="2"/>
      <c r="U5630" s="2"/>
      <c r="V5630" s="2"/>
      <c r="W5630" s="2"/>
    </row>
    <row r="5631" spans="1:23" x14ac:dyDescent="0.25">
      <c r="A5631" s="2"/>
      <c r="B5631" s="2"/>
      <c r="C5631" s="1"/>
      <c r="D5631" s="2"/>
      <c r="E5631" s="2"/>
      <c r="F5631" s="2"/>
      <c r="G5631" s="2"/>
      <c r="H5631" s="2"/>
      <c r="I5631" s="2"/>
      <c r="J5631" s="2"/>
      <c r="K5631" s="2"/>
      <c r="L5631" s="2"/>
      <c r="M5631" s="2"/>
      <c r="N5631" s="2"/>
      <c r="O5631" s="2"/>
      <c r="P5631" s="2"/>
      <c r="Q5631" s="2"/>
      <c r="R5631" s="2"/>
      <c r="S5631" s="2"/>
      <c r="T5631" s="2"/>
      <c r="U5631" s="2"/>
      <c r="V5631" s="2"/>
      <c r="W5631" s="2"/>
    </row>
    <row r="5632" spans="1:23" x14ac:dyDescent="0.25">
      <c r="A5632" s="2"/>
      <c r="B5632" s="2"/>
      <c r="C5632" s="1"/>
      <c r="D5632" s="2"/>
      <c r="E5632" s="2"/>
      <c r="F5632" s="2"/>
      <c r="G5632" s="2"/>
      <c r="H5632" s="2"/>
      <c r="I5632" s="2"/>
      <c r="J5632" s="2"/>
      <c r="K5632" s="2"/>
      <c r="L5632" s="2"/>
      <c r="M5632" s="2"/>
      <c r="N5632" s="2"/>
      <c r="O5632" s="2"/>
      <c r="P5632" s="2"/>
      <c r="Q5632" s="2"/>
      <c r="R5632" s="2"/>
      <c r="S5632" s="2"/>
      <c r="T5632" s="2"/>
      <c r="U5632" s="2"/>
      <c r="V5632" s="2"/>
      <c r="W5632" s="2"/>
    </row>
    <row r="5633" spans="1:23" x14ac:dyDescent="0.25">
      <c r="A5633" s="2"/>
      <c r="B5633" s="2"/>
      <c r="C5633" s="1"/>
      <c r="D5633" s="2"/>
      <c r="E5633" s="2"/>
      <c r="F5633" s="2"/>
      <c r="G5633" s="2"/>
      <c r="H5633" s="2"/>
      <c r="I5633" s="2"/>
      <c r="J5633" s="2"/>
      <c r="K5633" s="2"/>
      <c r="L5633" s="2"/>
      <c r="M5633" s="2"/>
      <c r="N5633" s="2"/>
      <c r="O5633" s="2"/>
      <c r="P5633" s="2"/>
      <c r="Q5633" s="2"/>
      <c r="R5633" s="2"/>
      <c r="S5633" s="2"/>
      <c r="T5633" s="2"/>
      <c r="U5633" s="2"/>
      <c r="V5633" s="2"/>
      <c r="W5633" s="2"/>
    </row>
    <row r="5634" spans="1:23" x14ac:dyDescent="0.25">
      <c r="A5634" s="2"/>
      <c r="B5634" s="2"/>
      <c r="C5634" s="1"/>
      <c r="D5634" s="2"/>
      <c r="E5634" s="2"/>
      <c r="F5634" s="2"/>
      <c r="G5634" s="2"/>
      <c r="H5634" s="2"/>
      <c r="I5634" s="2"/>
      <c r="J5634" s="2"/>
      <c r="K5634" s="2"/>
      <c r="L5634" s="2"/>
      <c r="M5634" s="2"/>
      <c r="N5634" s="2"/>
      <c r="O5634" s="2"/>
      <c r="P5634" s="2"/>
      <c r="Q5634" s="2"/>
      <c r="R5634" s="2"/>
      <c r="S5634" s="2"/>
      <c r="T5634" s="2"/>
      <c r="U5634" s="2"/>
      <c r="V5634" s="2"/>
      <c r="W5634" s="2"/>
    </row>
    <row r="5635" spans="1:23" x14ac:dyDescent="0.25">
      <c r="A5635" s="2"/>
      <c r="B5635" s="2"/>
      <c r="C5635" s="1"/>
      <c r="D5635" s="2"/>
      <c r="E5635" s="2"/>
      <c r="F5635" s="2"/>
      <c r="G5635" s="2"/>
      <c r="H5635" s="2"/>
      <c r="I5635" s="2"/>
      <c r="J5635" s="2"/>
      <c r="K5635" s="2"/>
      <c r="L5635" s="2"/>
      <c r="M5635" s="2"/>
      <c r="N5635" s="2"/>
      <c r="O5635" s="2"/>
      <c r="P5635" s="2"/>
      <c r="Q5635" s="2"/>
      <c r="R5635" s="2"/>
      <c r="S5635" s="2"/>
      <c r="T5635" s="2"/>
      <c r="U5635" s="2"/>
      <c r="V5635" s="2"/>
      <c r="W5635" s="2"/>
    </row>
    <row r="5636" spans="1:23" x14ac:dyDescent="0.25">
      <c r="A5636" s="2"/>
      <c r="B5636" s="2"/>
      <c r="C5636" s="1"/>
      <c r="D5636" s="2"/>
      <c r="E5636" s="2"/>
      <c r="F5636" s="2"/>
      <c r="G5636" s="2"/>
      <c r="H5636" s="2"/>
      <c r="I5636" s="2"/>
      <c r="J5636" s="2"/>
      <c r="K5636" s="2"/>
      <c r="L5636" s="2"/>
      <c r="M5636" s="2"/>
      <c r="N5636" s="2"/>
      <c r="O5636" s="2"/>
      <c r="P5636" s="2"/>
      <c r="Q5636" s="2"/>
      <c r="R5636" s="2"/>
      <c r="S5636" s="2"/>
      <c r="T5636" s="2"/>
      <c r="U5636" s="2"/>
      <c r="V5636" s="2"/>
      <c r="W5636" s="2"/>
    </row>
    <row r="5637" spans="1:23" x14ac:dyDescent="0.25">
      <c r="A5637" s="2"/>
      <c r="B5637" s="2"/>
      <c r="C5637" s="1"/>
      <c r="D5637" s="2"/>
      <c r="E5637" s="2"/>
      <c r="F5637" s="2"/>
      <c r="G5637" s="2"/>
      <c r="H5637" s="2"/>
      <c r="I5637" s="2"/>
      <c r="J5637" s="2"/>
      <c r="K5637" s="2"/>
      <c r="L5637" s="2"/>
      <c r="M5637" s="2"/>
      <c r="N5637" s="2"/>
      <c r="O5637" s="2"/>
      <c r="P5637" s="2"/>
      <c r="Q5637" s="2"/>
      <c r="R5637" s="2"/>
      <c r="S5637" s="2"/>
      <c r="T5637" s="2"/>
      <c r="U5637" s="2"/>
      <c r="V5637" s="2"/>
      <c r="W5637" s="2"/>
    </row>
    <row r="5638" spans="1:23" x14ac:dyDescent="0.25">
      <c r="A5638" s="2"/>
      <c r="B5638" s="2"/>
      <c r="C5638" s="1"/>
      <c r="D5638" s="2"/>
      <c r="E5638" s="2"/>
      <c r="F5638" s="2"/>
      <c r="G5638" s="2"/>
      <c r="H5638" s="2"/>
      <c r="I5638" s="2"/>
      <c r="J5638" s="2"/>
      <c r="K5638" s="2"/>
      <c r="L5638" s="2"/>
      <c r="M5638" s="2"/>
      <c r="N5638" s="2"/>
      <c r="O5638" s="2"/>
      <c r="P5638" s="2"/>
      <c r="Q5638" s="2"/>
      <c r="R5638" s="2"/>
      <c r="S5638" s="2"/>
      <c r="T5638" s="2"/>
      <c r="U5638" s="2"/>
      <c r="V5638" s="2"/>
      <c r="W5638" s="2"/>
    </row>
    <row r="5639" spans="1:23" x14ac:dyDescent="0.25">
      <c r="A5639" s="2"/>
      <c r="B5639" s="2"/>
      <c r="C5639" s="1"/>
      <c r="D5639" s="2"/>
      <c r="E5639" s="2"/>
      <c r="F5639" s="2"/>
      <c r="G5639" s="2"/>
      <c r="H5639" s="2"/>
      <c r="I5639" s="2"/>
      <c r="J5639" s="2"/>
      <c r="K5639" s="2"/>
      <c r="L5639" s="2"/>
      <c r="M5639" s="2"/>
      <c r="N5639" s="2"/>
      <c r="O5639" s="2"/>
      <c r="P5639" s="2"/>
      <c r="Q5639" s="2"/>
      <c r="R5639" s="2"/>
      <c r="S5639" s="2"/>
      <c r="T5639" s="2"/>
      <c r="U5639" s="2"/>
      <c r="V5639" s="2"/>
      <c r="W5639" s="2"/>
    </row>
    <row r="5640" spans="1:23" x14ac:dyDescent="0.25">
      <c r="A5640" s="2"/>
      <c r="B5640" s="2"/>
      <c r="C5640" s="1"/>
      <c r="D5640" s="2"/>
      <c r="E5640" s="2"/>
      <c r="F5640" s="2"/>
      <c r="G5640" s="2"/>
      <c r="H5640" s="2"/>
      <c r="I5640" s="2"/>
      <c r="J5640" s="2"/>
      <c r="K5640" s="2"/>
      <c r="L5640" s="2"/>
      <c r="M5640" s="2"/>
      <c r="N5640" s="2"/>
      <c r="O5640" s="2"/>
      <c r="P5640" s="2"/>
      <c r="Q5640" s="2"/>
      <c r="R5640" s="2"/>
      <c r="S5640" s="2"/>
      <c r="T5640" s="2"/>
      <c r="U5640" s="2"/>
      <c r="V5640" s="2"/>
      <c r="W5640" s="2"/>
    </row>
    <row r="5641" spans="1:23" x14ac:dyDescent="0.25">
      <c r="A5641" s="2"/>
      <c r="B5641" s="2"/>
      <c r="C5641" s="1"/>
      <c r="D5641" s="2"/>
      <c r="E5641" s="2"/>
      <c r="F5641" s="2"/>
      <c r="G5641" s="2"/>
      <c r="H5641" s="2"/>
      <c r="I5641" s="2"/>
      <c r="J5641" s="2"/>
      <c r="K5641" s="2"/>
      <c r="L5641" s="2"/>
      <c r="M5641" s="2"/>
      <c r="N5641" s="2"/>
      <c r="O5641" s="2"/>
      <c r="P5641" s="2"/>
      <c r="Q5641" s="2"/>
      <c r="R5641" s="2"/>
      <c r="S5641" s="2"/>
      <c r="T5641" s="2"/>
      <c r="U5641" s="2"/>
      <c r="V5641" s="2"/>
      <c r="W5641" s="2"/>
    </row>
    <row r="5642" spans="1:23" x14ac:dyDescent="0.25">
      <c r="A5642" s="2"/>
      <c r="B5642" s="2"/>
      <c r="C5642" s="1"/>
      <c r="D5642" s="2"/>
      <c r="E5642" s="2"/>
      <c r="F5642" s="2"/>
      <c r="G5642" s="2"/>
      <c r="H5642" s="2"/>
      <c r="I5642" s="2"/>
      <c r="J5642" s="2"/>
      <c r="K5642" s="2"/>
      <c r="L5642" s="2"/>
      <c r="M5642" s="2"/>
      <c r="N5642" s="2"/>
      <c r="O5642" s="2"/>
      <c r="P5642" s="2"/>
      <c r="Q5642" s="2"/>
      <c r="R5642" s="2"/>
      <c r="S5642" s="2"/>
      <c r="T5642" s="2"/>
      <c r="U5642" s="2"/>
      <c r="V5642" s="2"/>
      <c r="W5642" s="2"/>
    </row>
    <row r="5643" spans="1:23" x14ac:dyDescent="0.25">
      <c r="A5643" s="2"/>
      <c r="B5643" s="2"/>
      <c r="C5643" s="1"/>
      <c r="D5643" s="2"/>
      <c r="E5643" s="2"/>
      <c r="F5643" s="2"/>
      <c r="G5643" s="2"/>
      <c r="H5643" s="2"/>
      <c r="I5643" s="2"/>
      <c r="J5643" s="2"/>
      <c r="K5643" s="2"/>
      <c r="L5643" s="2"/>
      <c r="M5643" s="2"/>
      <c r="N5643" s="2"/>
      <c r="O5643" s="2"/>
      <c r="P5643" s="2"/>
      <c r="Q5643" s="2"/>
      <c r="R5643" s="2"/>
      <c r="S5643" s="2"/>
      <c r="T5643" s="2"/>
      <c r="U5643" s="2"/>
      <c r="V5643" s="2"/>
      <c r="W5643" s="2"/>
    </row>
    <row r="5644" spans="1:23" x14ac:dyDescent="0.25">
      <c r="A5644" s="2"/>
      <c r="B5644" s="2"/>
      <c r="C5644" s="1"/>
      <c r="D5644" s="2"/>
      <c r="E5644" s="2"/>
      <c r="F5644" s="2"/>
      <c r="G5644" s="2"/>
      <c r="H5644" s="2"/>
      <c r="I5644" s="2"/>
      <c r="J5644" s="2"/>
      <c r="K5644" s="2"/>
      <c r="L5644" s="2"/>
      <c r="M5644" s="2"/>
      <c r="N5644" s="2"/>
      <c r="O5644" s="2"/>
      <c r="P5644" s="2"/>
      <c r="Q5644" s="2"/>
      <c r="R5644" s="2"/>
      <c r="S5644" s="2"/>
      <c r="T5644" s="2"/>
      <c r="U5644" s="2"/>
      <c r="V5644" s="2"/>
      <c r="W5644" s="2"/>
    </row>
    <row r="5645" spans="1:23" x14ac:dyDescent="0.25">
      <c r="A5645" s="2"/>
      <c r="B5645" s="2"/>
      <c r="C5645" s="1"/>
      <c r="D5645" s="2"/>
      <c r="E5645" s="2"/>
      <c r="F5645" s="2"/>
      <c r="G5645" s="2"/>
      <c r="H5645" s="2"/>
      <c r="I5645" s="2"/>
      <c r="J5645" s="2"/>
      <c r="K5645" s="2"/>
      <c r="L5645" s="2"/>
      <c r="M5645" s="2"/>
      <c r="N5645" s="2"/>
      <c r="O5645" s="2"/>
      <c r="P5645" s="2"/>
      <c r="Q5645" s="2"/>
      <c r="R5645" s="2"/>
      <c r="S5645" s="2"/>
      <c r="T5645" s="2"/>
      <c r="U5645" s="2"/>
      <c r="V5645" s="2"/>
      <c r="W5645" s="2"/>
    </row>
    <row r="5646" spans="1:23" x14ac:dyDescent="0.25">
      <c r="A5646" s="2"/>
      <c r="B5646" s="2"/>
      <c r="C5646" s="1"/>
      <c r="D5646" s="2"/>
      <c r="E5646" s="2"/>
      <c r="F5646" s="2"/>
      <c r="G5646" s="2"/>
      <c r="H5646" s="2"/>
      <c r="I5646" s="2"/>
      <c r="J5646" s="2"/>
      <c r="K5646" s="2"/>
      <c r="L5646" s="2"/>
      <c r="M5646" s="2"/>
      <c r="N5646" s="2"/>
      <c r="O5646" s="2"/>
      <c r="P5646" s="2"/>
      <c r="Q5646" s="2"/>
      <c r="R5646" s="2"/>
      <c r="S5646" s="2"/>
      <c r="T5646" s="2"/>
      <c r="U5646" s="2"/>
      <c r="V5646" s="2"/>
      <c r="W5646" s="2"/>
    </row>
    <row r="5647" spans="1:23" x14ac:dyDescent="0.25">
      <c r="A5647" s="2"/>
      <c r="B5647" s="2"/>
      <c r="C5647" s="1"/>
      <c r="D5647" s="2"/>
      <c r="E5647" s="2"/>
      <c r="F5647" s="2"/>
      <c r="G5647" s="2"/>
      <c r="H5647" s="2"/>
      <c r="I5647" s="2"/>
      <c r="J5647" s="2"/>
      <c r="K5647" s="2"/>
      <c r="L5647" s="2"/>
      <c r="M5647" s="2"/>
      <c r="N5647" s="2"/>
      <c r="O5647" s="2"/>
      <c r="P5647" s="2"/>
      <c r="Q5647" s="2"/>
      <c r="R5647" s="2"/>
      <c r="S5647" s="2"/>
      <c r="T5647" s="2"/>
      <c r="U5647" s="2"/>
      <c r="V5647" s="2"/>
      <c r="W5647" s="2"/>
    </row>
    <row r="5648" spans="1:23" x14ac:dyDescent="0.25">
      <c r="A5648" s="2"/>
      <c r="B5648" s="2"/>
      <c r="C5648" s="1"/>
      <c r="D5648" s="2"/>
      <c r="E5648" s="2"/>
      <c r="F5648" s="2"/>
      <c r="G5648" s="2"/>
      <c r="H5648" s="2"/>
      <c r="I5648" s="2"/>
      <c r="J5648" s="2"/>
      <c r="K5648" s="2"/>
      <c r="L5648" s="2"/>
      <c r="M5648" s="2"/>
      <c r="N5648" s="2"/>
      <c r="O5648" s="2"/>
      <c r="P5648" s="2"/>
      <c r="Q5648" s="2"/>
      <c r="R5648" s="2"/>
      <c r="S5648" s="2"/>
      <c r="T5648" s="2"/>
      <c r="U5648" s="2"/>
      <c r="V5648" s="2"/>
      <c r="W5648" s="2"/>
    </row>
    <row r="5649" spans="1:23" x14ac:dyDescent="0.25">
      <c r="A5649" s="2"/>
      <c r="B5649" s="2"/>
      <c r="C5649" s="1"/>
      <c r="D5649" s="2"/>
      <c r="E5649" s="2"/>
      <c r="F5649" s="2"/>
      <c r="G5649" s="2"/>
      <c r="H5649" s="2"/>
      <c r="I5649" s="2"/>
      <c r="J5649" s="2"/>
      <c r="K5649" s="2"/>
      <c r="L5649" s="2"/>
      <c r="M5649" s="2"/>
      <c r="N5649" s="2"/>
      <c r="O5649" s="2"/>
      <c r="P5649" s="2"/>
      <c r="Q5649" s="2"/>
      <c r="R5649" s="2"/>
      <c r="S5649" s="2"/>
      <c r="T5649" s="2"/>
      <c r="U5649" s="2"/>
      <c r="V5649" s="2"/>
      <c r="W5649" s="2"/>
    </row>
    <row r="5650" spans="1:23" x14ac:dyDescent="0.25">
      <c r="A5650" s="2"/>
      <c r="B5650" s="2"/>
      <c r="C5650" s="1"/>
      <c r="D5650" s="2"/>
      <c r="E5650" s="2"/>
      <c r="F5650" s="2"/>
      <c r="G5650" s="2"/>
      <c r="H5650" s="2"/>
      <c r="I5650" s="2"/>
      <c r="J5650" s="2"/>
      <c r="K5650" s="2"/>
      <c r="L5650" s="2"/>
      <c r="M5650" s="2"/>
      <c r="N5650" s="2"/>
      <c r="O5650" s="2"/>
      <c r="P5650" s="2"/>
      <c r="Q5650" s="2"/>
      <c r="R5650" s="2"/>
      <c r="S5650" s="2"/>
      <c r="T5650" s="2"/>
      <c r="U5650" s="2"/>
      <c r="V5650" s="2"/>
      <c r="W5650" s="2"/>
    </row>
    <row r="5651" spans="1:23" x14ac:dyDescent="0.25">
      <c r="A5651" s="2"/>
      <c r="B5651" s="2"/>
      <c r="C5651" s="1"/>
      <c r="D5651" s="2"/>
      <c r="E5651" s="2"/>
      <c r="F5651" s="2"/>
      <c r="G5651" s="2"/>
      <c r="H5651" s="2"/>
      <c r="I5651" s="2"/>
      <c r="J5651" s="2"/>
      <c r="K5651" s="2"/>
      <c r="L5651" s="2"/>
      <c r="M5651" s="2"/>
      <c r="N5651" s="2"/>
      <c r="O5651" s="2"/>
      <c r="P5651" s="2"/>
      <c r="Q5651" s="2"/>
      <c r="R5651" s="2"/>
      <c r="S5651" s="2"/>
      <c r="T5651" s="2"/>
      <c r="U5651" s="2"/>
      <c r="V5651" s="2"/>
      <c r="W5651" s="2"/>
    </row>
    <row r="5652" spans="1:23" x14ac:dyDescent="0.25">
      <c r="A5652" s="2"/>
      <c r="B5652" s="2"/>
      <c r="C5652" s="1"/>
      <c r="D5652" s="2"/>
      <c r="E5652" s="2"/>
      <c r="F5652" s="2"/>
      <c r="G5652" s="2"/>
      <c r="H5652" s="2"/>
      <c r="I5652" s="2"/>
      <c r="J5652" s="2"/>
      <c r="K5652" s="2"/>
      <c r="L5652" s="2"/>
      <c r="M5652" s="2"/>
      <c r="N5652" s="2"/>
      <c r="O5652" s="2"/>
      <c r="P5652" s="2"/>
      <c r="Q5652" s="2"/>
      <c r="R5652" s="2"/>
      <c r="S5652" s="2"/>
      <c r="T5652" s="2"/>
      <c r="U5652" s="2"/>
      <c r="V5652" s="2"/>
      <c r="W5652" s="2"/>
    </row>
    <row r="5653" spans="1:23" x14ac:dyDescent="0.25">
      <c r="A5653" s="2"/>
      <c r="B5653" s="2"/>
      <c r="C5653" s="1"/>
      <c r="D5653" s="2"/>
      <c r="E5653" s="2"/>
      <c r="F5653" s="2"/>
      <c r="G5653" s="2"/>
      <c r="H5653" s="2"/>
      <c r="I5653" s="2"/>
      <c r="J5653" s="2"/>
      <c r="K5653" s="2"/>
      <c r="L5653" s="2"/>
      <c r="M5653" s="2"/>
      <c r="N5653" s="2"/>
      <c r="O5653" s="2"/>
      <c r="P5653" s="2"/>
      <c r="Q5653" s="2"/>
      <c r="R5653" s="2"/>
      <c r="S5653" s="2"/>
      <c r="T5653" s="2"/>
      <c r="U5653" s="2"/>
      <c r="V5653" s="2"/>
      <c r="W5653" s="2"/>
    </row>
    <row r="5654" spans="1:23" x14ac:dyDescent="0.25">
      <c r="A5654" s="2"/>
      <c r="B5654" s="2"/>
      <c r="C5654" s="1"/>
      <c r="D5654" s="2"/>
      <c r="E5654" s="2"/>
      <c r="F5654" s="2"/>
      <c r="G5654" s="2"/>
      <c r="H5654" s="2"/>
      <c r="I5654" s="2"/>
      <c r="J5654" s="2"/>
      <c r="K5654" s="2"/>
      <c r="L5654" s="2"/>
      <c r="M5654" s="2"/>
      <c r="N5654" s="2"/>
      <c r="O5654" s="2"/>
      <c r="P5654" s="2"/>
      <c r="Q5654" s="2"/>
      <c r="R5654" s="2"/>
      <c r="S5654" s="2"/>
      <c r="T5654" s="2"/>
      <c r="U5654" s="2"/>
      <c r="V5654" s="2"/>
      <c r="W5654" s="2"/>
    </row>
    <row r="5655" spans="1:23" x14ac:dyDescent="0.25">
      <c r="A5655" s="2"/>
      <c r="B5655" s="2"/>
      <c r="C5655" s="1"/>
      <c r="D5655" s="2"/>
      <c r="E5655" s="2"/>
      <c r="F5655" s="2"/>
      <c r="G5655" s="2"/>
      <c r="H5655" s="2"/>
      <c r="I5655" s="2"/>
      <c r="J5655" s="2"/>
      <c r="K5655" s="2"/>
      <c r="L5655" s="2"/>
      <c r="M5655" s="2"/>
      <c r="N5655" s="2"/>
      <c r="O5655" s="2"/>
      <c r="P5655" s="2"/>
      <c r="Q5655" s="2"/>
      <c r="R5655" s="2"/>
      <c r="S5655" s="2"/>
      <c r="T5655" s="2"/>
      <c r="U5655" s="2"/>
      <c r="V5655" s="2"/>
      <c r="W5655" s="2"/>
    </row>
    <row r="5656" spans="1:23" x14ac:dyDescent="0.25">
      <c r="A5656" s="2"/>
      <c r="B5656" s="2"/>
      <c r="C5656" s="1"/>
      <c r="D5656" s="2"/>
      <c r="E5656" s="2"/>
      <c r="F5656" s="2"/>
      <c r="G5656" s="2"/>
      <c r="H5656" s="2"/>
      <c r="I5656" s="2"/>
      <c r="J5656" s="2"/>
      <c r="K5656" s="2"/>
      <c r="L5656" s="2"/>
      <c r="M5656" s="2"/>
      <c r="N5656" s="2"/>
      <c r="O5656" s="2"/>
      <c r="P5656" s="2"/>
      <c r="Q5656" s="2"/>
      <c r="R5656" s="2"/>
      <c r="S5656" s="2"/>
      <c r="T5656" s="2"/>
      <c r="U5656" s="2"/>
      <c r="V5656" s="2"/>
      <c r="W5656" s="2"/>
    </row>
    <row r="5657" spans="1:23" x14ac:dyDescent="0.25">
      <c r="A5657" s="2"/>
      <c r="B5657" s="2"/>
      <c r="C5657" s="1"/>
      <c r="D5657" s="2"/>
      <c r="E5657" s="2"/>
      <c r="F5657" s="2"/>
      <c r="G5657" s="2"/>
      <c r="H5657" s="2"/>
      <c r="I5657" s="2"/>
      <c r="J5657" s="2"/>
      <c r="K5657" s="2"/>
      <c r="L5657" s="2"/>
      <c r="M5657" s="2"/>
      <c r="N5657" s="2"/>
      <c r="O5657" s="2"/>
      <c r="P5657" s="2"/>
      <c r="Q5657" s="2"/>
      <c r="R5657" s="2"/>
      <c r="S5657" s="2"/>
      <c r="T5657" s="2"/>
      <c r="U5657" s="2"/>
      <c r="V5657" s="2"/>
      <c r="W5657" s="2"/>
    </row>
    <row r="5658" spans="1:23" x14ac:dyDescent="0.25">
      <c r="A5658" s="2"/>
      <c r="B5658" s="2"/>
      <c r="C5658" s="1"/>
      <c r="D5658" s="2"/>
      <c r="E5658" s="2"/>
      <c r="F5658" s="2"/>
      <c r="G5658" s="2"/>
      <c r="H5658" s="2"/>
      <c r="I5658" s="2"/>
      <c r="J5658" s="2"/>
      <c r="K5658" s="2"/>
      <c r="L5658" s="2"/>
      <c r="M5658" s="2"/>
      <c r="N5658" s="2"/>
      <c r="O5658" s="2"/>
      <c r="P5658" s="2"/>
      <c r="Q5658" s="2"/>
      <c r="R5658" s="2"/>
      <c r="S5658" s="2"/>
      <c r="T5658" s="2"/>
      <c r="U5658" s="2"/>
      <c r="V5658" s="2"/>
      <c r="W5658" s="2"/>
    </row>
    <row r="5659" spans="1:23" x14ac:dyDescent="0.25">
      <c r="A5659" s="2"/>
      <c r="B5659" s="2"/>
      <c r="C5659" s="1"/>
      <c r="D5659" s="2"/>
      <c r="E5659" s="2"/>
      <c r="F5659" s="2"/>
      <c r="G5659" s="2"/>
      <c r="H5659" s="2"/>
      <c r="I5659" s="2"/>
      <c r="J5659" s="2"/>
      <c r="K5659" s="2"/>
      <c r="L5659" s="2"/>
      <c r="M5659" s="2"/>
      <c r="N5659" s="2"/>
      <c r="O5659" s="2"/>
      <c r="P5659" s="2"/>
      <c r="Q5659" s="2"/>
      <c r="R5659" s="2"/>
      <c r="S5659" s="2"/>
      <c r="T5659" s="2"/>
      <c r="U5659" s="2"/>
      <c r="V5659" s="2"/>
      <c r="W5659" s="2"/>
    </row>
    <row r="5660" spans="1:23" x14ac:dyDescent="0.25">
      <c r="A5660" s="2"/>
      <c r="B5660" s="2"/>
      <c r="C5660" s="1"/>
      <c r="D5660" s="2"/>
      <c r="E5660" s="2"/>
      <c r="F5660" s="2"/>
      <c r="G5660" s="2"/>
      <c r="H5660" s="2"/>
      <c r="I5660" s="2"/>
      <c r="J5660" s="2"/>
      <c r="K5660" s="2"/>
      <c r="L5660" s="2"/>
      <c r="M5660" s="2"/>
      <c r="N5660" s="2"/>
      <c r="O5660" s="2"/>
      <c r="P5660" s="2"/>
      <c r="Q5660" s="2"/>
      <c r="R5660" s="2"/>
      <c r="S5660" s="2"/>
      <c r="T5660" s="2"/>
      <c r="U5660" s="2"/>
      <c r="V5660" s="2"/>
      <c r="W5660" s="2"/>
    </row>
    <row r="5661" spans="1:23" x14ac:dyDescent="0.25">
      <c r="A5661" s="2"/>
      <c r="B5661" s="2"/>
      <c r="C5661" s="1"/>
      <c r="D5661" s="2"/>
      <c r="E5661" s="2"/>
      <c r="F5661" s="2"/>
      <c r="G5661" s="2"/>
      <c r="H5661" s="2"/>
      <c r="I5661" s="2"/>
      <c r="J5661" s="2"/>
      <c r="K5661" s="2"/>
      <c r="L5661" s="2"/>
      <c r="M5661" s="2"/>
      <c r="N5661" s="2"/>
      <c r="O5661" s="2"/>
      <c r="P5661" s="2"/>
      <c r="Q5661" s="2"/>
      <c r="R5661" s="2"/>
      <c r="S5661" s="2"/>
      <c r="T5661" s="2"/>
      <c r="U5661" s="2"/>
      <c r="V5661" s="2"/>
      <c r="W5661" s="2"/>
    </row>
    <row r="5662" spans="1:23" x14ac:dyDescent="0.25">
      <c r="A5662" s="2"/>
      <c r="B5662" s="2"/>
      <c r="C5662" s="1"/>
      <c r="D5662" s="2"/>
      <c r="E5662" s="2"/>
      <c r="F5662" s="2"/>
      <c r="G5662" s="2"/>
      <c r="H5662" s="2"/>
      <c r="I5662" s="2"/>
      <c r="J5662" s="2"/>
      <c r="K5662" s="2"/>
      <c r="L5662" s="2"/>
      <c r="M5662" s="2"/>
      <c r="N5662" s="2"/>
      <c r="O5662" s="2"/>
      <c r="P5662" s="2"/>
      <c r="Q5662" s="2"/>
      <c r="R5662" s="2"/>
      <c r="S5662" s="2"/>
      <c r="T5662" s="2"/>
      <c r="U5662" s="2"/>
      <c r="V5662" s="2"/>
      <c r="W5662" s="2"/>
    </row>
    <row r="5663" spans="1:23" x14ac:dyDescent="0.25">
      <c r="A5663" s="2"/>
      <c r="B5663" s="2"/>
      <c r="C5663" s="1"/>
      <c r="D5663" s="2"/>
      <c r="E5663" s="2"/>
      <c r="F5663" s="2"/>
      <c r="G5663" s="2"/>
      <c r="H5663" s="2"/>
      <c r="I5663" s="2"/>
      <c r="J5663" s="2"/>
      <c r="K5663" s="2"/>
      <c r="L5663" s="2"/>
      <c r="M5663" s="2"/>
      <c r="N5663" s="2"/>
      <c r="O5663" s="2"/>
      <c r="P5663" s="2"/>
      <c r="Q5663" s="2"/>
      <c r="R5663" s="2"/>
      <c r="S5663" s="2"/>
      <c r="T5663" s="2"/>
      <c r="U5663" s="2"/>
      <c r="V5663" s="2"/>
      <c r="W5663" s="2"/>
    </row>
    <row r="5664" spans="1:23" x14ac:dyDescent="0.25">
      <c r="A5664" s="2"/>
      <c r="B5664" s="2"/>
      <c r="C5664" s="1"/>
      <c r="D5664" s="2"/>
      <c r="E5664" s="2"/>
      <c r="F5664" s="2"/>
      <c r="G5664" s="2"/>
      <c r="H5664" s="2"/>
      <c r="I5664" s="2"/>
      <c r="J5664" s="2"/>
      <c r="K5664" s="2"/>
      <c r="L5664" s="2"/>
      <c r="M5664" s="2"/>
      <c r="N5664" s="2"/>
      <c r="O5664" s="2"/>
      <c r="P5664" s="2"/>
      <c r="Q5664" s="2"/>
      <c r="R5664" s="2"/>
      <c r="S5664" s="2"/>
      <c r="T5664" s="2"/>
      <c r="U5664" s="2"/>
      <c r="V5664" s="2"/>
      <c r="W5664" s="2"/>
    </row>
    <row r="5665" spans="1:23" x14ac:dyDescent="0.25">
      <c r="A5665" s="2"/>
      <c r="B5665" s="2"/>
      <c r="C5665" s="1"/>
      <c r="D5665" s="2"/>
      <c r="E5665" s="2"/>
      <c r="F5665" s="2"/>
      <c r="G5665" s="2"/>
      <c r="H5665" s="2"/>
      <c r="I5665" s="2"/>
      <c r="J5665" s="2"/>
      <c r="K5665" s="2"/>
      <c r="L5665" s="2"/>
      <c r="M5665" s="2"/>
      <c r="N5665" s="2"/>
      <c r="O5665" s="2"/>
      <c r="P5665" s="2"/>
      <c r="Q5665" s="2"/>
      <c r="R5665" s="2"/>
      <c r="S5665" s="2"/>
      <c r="T5665" s="2"/>
      <c r="U5665" s="2"/>
      <c r="V5665" s="2"/>
      <c r="W5665" s="2"/>
    </row>
    <row r="5666" spans="1:23" x14ac:dyDescent="0.25">
      <c r="A5666" s="2"/>
      <c r="B5666" s="2"/>
      <c r="C5666" s="1"/>
      <c r="D5666" s="2"/>
      <c r="E5666" s="2"/>
      <c r="F5666" s="2"/>
      <c r="G5666" s="2"/>
      <c r="H5666" s="2"/>
      <c r="I5666" s="2"/>
      <c r="J5666" s="2"/>
      <c r="K5666" s="2"/>
      <c r="L5666" s="2"/>
      <c r="M5666" s="2"/>
      <c r="N5666" s="2"/>
      <c r="O5666" s="2"/>
      <c r="P5666" s="2"/>
      <c r="Q5666" s="2"/>
      <c r="R5666" s="2"/>
      <c r="S5666" s="2"/>
      <c r="T5666" s="2"/>
      <c r="U5666" s="2"/>
      <c r="V5666" s="2"/>
      <c r="W5666" s="2"/>
    </row>
    <row r="5667" spans="1:23" x14ac:dyDescent="0.25">
      <c r="A5667" s="2"/>
      <c r="B5667" s="2"/>
      <c r="C5667" s="1"/>
      <c r="D5667" s="2"/>
      <c r="E5667" s="2"/>
      <c r="F5667" s="2"/>
      <c r="G5667" s="2"/>
      <c r="H5667" s="2"/>
      <c r="I5667" s="2"/>
      <c r="J5667" s="2"/>
      <c r="K5667" s="2"/>
      <c r="L5667" s="2"/>
      <c r="M5667" s="2"/>
      <c r="N5667" s="2"/>
      <c r="O5667" s="2"/>
      <c r="P5667" s="2"/>
      <c r="Q5667" s="2"/>
      <c r="R5667" s="2"/>
      <c r="S5667" s="2"/>
      <c r="T5667" s="2"/>
      <c r="U5667" s="2"/>
      <c r="V5667" s="2"/>
      <c r="W5667" s="2"/>
    </row>
    <row r="5668" spans="1:23" x14ac:dyDescent="0.25">
      <c r="A5668" s="2"/>
      <c r="B5668" s="2"/>
      <c r="C5668" s="1"/>
      <c r="D5668" s="2"/>
      <c r="E5668" s="2"/>
      <c r="F5668" s="2"/>
      <c r="G5668" s="2"/>
      <c r="H5668" s="2"/>
      <c r="I5668" s="2"/>
      <c r="J5668" s="2"/>
      <c r="K5668" s="2"/>
      <c r="L5668" s="2"/>
      <c r="M5668" s="2"/>
      <c r="N5668" s="2"/>
      <c r="O5668" s="2"/>
      <c r="P5668" s="2"/>
      <c r="Q5668" s="2"/>
      <c r="R5668" s="2"/>
      <c r="S5668" s="2"/>
      <c r="T5668" s="2"/>
      <c r="U5668" s="2"/>
      <c r="V5668" s="2"/>
      <c r="W5668" s="2"/>
    </row>
    <row r="5669" spans="1:23" x14ac:dyDescent="0.25">
      <c r="A5669" s="2"/>
      <c r="B5669" s="2"/>
      <c r="C5669" s="1"/>
      <c r="D5669" s="2"/>
      <c r="E5669" s="2"/>
      <c r="F5669" s="2"/>
      <c r="G5669" s="2"/>
      <c r="H5669" s="2"/>
      <c r="I5669" s="2"/>
      <c r="J5669" s="2"/>
      <c r="K5669" s="2"/>
      <c r="L5669" s="2"/>
      <c r="M5669" s="2"/>
      <c r="N5669" s="2"/>
      <c r="O5669" s="2"/>
      <c r="P5669" s="2"/>
      <c r="Q5669" s="2"/>
      <c r="R5669" s="2"/>
      <c r="S5669" s="2"/>
      <c r="T5669" s="2"/>
      <c r="U5669" s="2"/>
      <c r="V5669" s="2"/>
      <c r="W5669" s="2"/>
    </row>
    <row r="5670" spans="1:23" x14ac:dyDescent="0.25">
      <c r="A5670" s="2"/>
      <c r="B5670" s="2"/>
      <c r="C5670" s="1"/>
      <c r="D5670" s="2"/>
      <c r="E5670" s="2"/>
      <c r="F5670" s="2"/>
      <c r="G5670" s="2"/>
      <c r="H5670" s="2"/>
      <c r="I5670" s="2"/>
      <c r="J5670" s="2"/>
      <c r="K5670" s="2"/>
      <c r="L5670" s="2"/>
      <c r="M5670" s="2"/>
      <c r="N5670" s="2"/>
      <c r="O5670" s="2"/>
      <c r="P5670" s="2"/>
      <c r="Q5670" s="2"/>
      <c r="R5670" s="2"/>
      <c r="S5670" s="2"/>
      <c r="T5670" s="2"/>
      <c r="U5670" s="2"/>
      <c r="V5670" s="2"/>
      <c r="W5670" s="2"/>
    </row>
    <row r="5671" spans="1:23" x14ac:dyDescent="0.25">
      <c r="A5671" s="2"/>
      <c r="B5671" s="2"/>
      <c r="C5671" s="1"/>
      <c r="D5671" s="2"/>
      <c r="E5671" s="2"/>
      <c r="F5671" s="2"/>
      <c r="G5671" s="2"/>
      <c r="H5671" s="2"/>
      <c r="I5671" s="2"/>
      <c r="J5671" s="2"/>
      <c r="K5671" s="2"/>
      <c r="L5671" s="2"/>
      <c r="M5671" s="2"/>
      <c r="N5671" s="2"/>
      <c r="O5671" s="2"/>
      <c r="P5671" s="2"/>
      <c r="Q5671" s="2"/>
      <c r="R5671" s="2"/>
      <c r="S5671" s="2"/>
      <c r="T5671" s="2"/>
      <c r="U5671" s="2"/>
      <c r="V5671" s="2"/>
      <c r="W5671" s="2"/>
    </row>
    <row r="5672" spans="1:23" x14ac:dyDescent="0.25">
      <c r="A5672" s="2"/>
      <c r="B5672" s="2"/>
      <c r="C5672" s="1"/>
      <c r="D5672" s="2"/>
      <c r="E5672" s="2"/>
      <c r="F5672" s="2"/>
      <c r="G5672" s="2"/>
      <c r="H5672" s="2"/>
      <c r="I5672" s="2"/>
      <c r="J5672" s="2"/>
      <c r="K5672" s="2"/>
      <c r="L5672" s="2"/>
      <c r="M5672" s="2"/>
      <c r="N5672" s="2"/>
      <c r="O5672" s="2"/>
      <c r="P5672" s="2"/>
      <c r="Q5672" s="2"/>
      <c r="R5672" s="2"/>
      <c r="S5672" s="2"/>
      <c r="T5672" s="2"/>
      <c r="U5672" s="2"/>
      <c r="V5672" s="2"/>
      <c r="W5672" s="2"/>
    </row>
    <row r="5673" spans="1:23" x14ac:dyDescent="0.25">
      <c r="A5673" s="2"/>
      <c r="B5673" s="2"/>
      <c r="C5673" s="1"/>
      <c r="D5673" s="2"/>
      <c r="E5673" s="2"/>
      <c r="F5673" s="2"/>
      <c r="G5673" s="2"/>
      <c r="H5673" s="2"/>
      <c r="I5673" s="2"/>
      <c r="J5673" s="2"/>
      <c r="K5673" s="2"/>
      <c r="L5673" s="2"/>
      <c r="M5673" s="2"/>
      <c r="N5673" s="2"/>
      <c r="O5673" s="2"/>
      <c r="P5673" s="2"/>
      <c r="Q5673" s="2"/>
      <c r="R5673" s="2"/>
      <c r="S5673" s="2"/>
      <c r="T5673" s="2"/>
      <c r="U5673" s="2"/>
      <c r="V5673" s="2"/>
      <c r="W5673" s="2"/>
    </row>
    <row r="5674" spans="1:23" x14ac:dyDescent="0.25">
      <c r="A5674" s="2"/>
      <c r="B5674" s="2"/>
      <c r="C5674" s="1"/>
      <c r="D5674" s="2"/>
      <c r="E5674" s="2"/>
      <c r="F5674" s="2"/>
      <c r="G5674" s="2"/>
      <c r="H5674" s="2"/>
      <c r="I5674" s="2"/>
      <c r="J5674" s="2"/>
      <c r="K5674" s="2"/>
      <c r="L5674" s="2"/>
      <c r="M5674" s="2"/>
      <c r="N5674" s="2"/>
      <c r="O5674" s="2"/>
      <c r="P5674" s="2"/>
      <c r="Q5674" s="2"/>
      <c r="R5674" s="2"/>
      <c r="S5674" s="2"/>
      <c r="T5674" s="2"/>
      <c r="U5674" s="2"/>
      <c r="V5674" s="2"/>
      <c r="W5674" s="2"/>
    </row>
    <row r="5675" spans="1:23" x14ac:dyDescent="0.25">
      <c r="A5675" s="2"/>
      <c r="B5675" s="2"/>
      <c r="C5675" s="1"/>
      <c r="D5675" s="2"/>
      <c r="E5675" s="2"/>
      <c r="F5675" s="2"/>
      <c r="G5675" s="2"/>
      <c r="H5675" s="2"/>
      <c r="I5675" s="2"/>
      <c r="J5675" s="2"/>
      <c r="K5675" s="2"/>
      <c r="L5675" s="2"/>
      <c r="M5675" s="2"/>
      <c r="N5675" s="2"/>
      <c r="O5675" s="2"/>
      <c r="P5675" s="2"/>
      <c r="Q5675" s="2"/>
      <c r="R5675" s="2"/>
      <c r="S5675" s="2"/>
      <c r="T5675" s="2"/>
      <c r="U5675" s="2"/>
      <c r="V5675" s="2"/>
      <c r="W5675" s="2"/>
    </row>
    <row r="5676" spans="1:23" x14ac:dyDescent="0.25">
      <c r="A5676" s="2"/>
      <c r="B5676" s="2"/>
      <c r="C5676" s="1"/>
      <c r="D5676" s="2"/>
      <c r="E5676" s="2"/>
      <c r="F5676" s="2"/>
      <c r="G5676" s="2"/>
      <c r="H5676" s="2"/>
      <c r="I5676" s="2"/>
      <c r="J5676" s="2"/>
      <c r="K5676" s="2"/>
      <c r="L5676" s="2"/>
      <c r="M5676" s="2"/>
      <c r="N5676" s="2"/>
      <c r="O5676" s="2"/>
      <c r="P5676" s="2"/>
      <c r="Q5676" s="2"/>
      <c r="R5676" s="2"/>
      <c r="S5676" s="2"/>
      <c r="T5676" s="2"/>
      <c r="U5676" s="2"/>
      <c r="V5676" s="2"/>
      <c r="W5676" s="2"/>
    </row>
    <row r="5677" spans="1:23" x14ac:dyDescent="0.25">
      <c r="A5677" s="2"/>
      <c r="B5677" s="2"/>
      <c r="C5677" s="1"/>
      <c r="D5677" s="2"/>
      <c r="E5677" s="2"/>
      <c r="F5677" s="2"/>
      <c r="G5677" s="2"/>
      <c r="H5677" s="2"/>
      <c r="I5677" s="2"/>
      <c r="J5677" s="2"/>
      <c r="K5677" s="2"/>
      <c r="L5677" s="2"/>
      <c r="M5677" s="2"/>
      <c r="N5677" s="2"/>
      <c r="O5677" s="2"/>
      <c r="P5677" s="2"/>
      <c r="Q5677" s="2"/>
      <c r="R5677" s="2"/>
      <c r="S5677" s="2"/>
      <c r="T5677" s="2"/>
      <c r="U5677" s="2"/>
      <c r="V5677" s="2"/>
      <c r="W5677" s="2"/>
    </row>
    <row r="5678" spans="1:23" x14ac:dyDescent="0.25">
      <c r="A5678" s="2"/>
      <c r="B5678" s="2"/>
      <c r="C5678" s="1"/>
      <c r="D5678" s="2"/>
      <c r="E5678" s="2"/>
      <c r="F5678" s="2"/>
      <c r="G5678" s="2"/>
      <c r="H5678" s="2"/>
      <c r="I5678" s="2"/>
      <c r="J5678" s="2"/>
      <c r="K5678" s="2"/>
      <c r="L5678" s="2"/>
      <c r="M5678" s="2"/>
      <c r="N5678" s="2"/>
      <c r="O5678" s="2"/>
      <c r="P5678" s="2"/>
      <c r="Q5678" s="2"/>
      <c r="R5678" s="2"/>
      <c r="S5678" s="2"/>
      <c r="T5678" s="2"/>
      <c r="U5678" s="2"/>
      <c r="V5678" s="2"/>
      <c r="W5678" s="2"/>
    </row>
    <row r="5679" spans="1:23" x14ac:dyDescent="0.25">
      <c r="A5679" s="2"/>
      <c r="B5679" s="2"/>
      <c r="C5679" s="1"/>
      <c r="D5679" s="2"/>
      <c r="E5679" s="2"/>
      <c r="F5679" s="2"/>
      <c r="G5679" s="2"/>
      <c r="H5679" s="2"/>
      <c r="I5679" s="2"/>
      <c r="J5679" s="2"/>
      <c r="K5679" s="2"/>
      <c r="L5679" s="2"/>
      <c r="M5679" s="2"/>
      <c r="N5679" s="2"/>
      <c r="O5679" s="2"/>
      <c r="P5679" s="2"/>
      <c r="Q5679" s="2"/>
      <c r="R5679" s="2"/>
      <c r="S5679" s="2"/>
      <c r="T5679" s="2"/>
      <c r="U5679" s="2"/>
      <c r="V5679" s="2"/>
      <c r="W5679" s="2"/>
    </row>
    <row r="5680" spans="1:23" x14ac:dyDescent="0.25">
      <c r="A5680" s="2"/>
      <c r="B5680" s="2"/>
      <c r="C5680" s="1"/>
      <c r="D5680" s="2"/>
      <c r="E5680" s="2"/>
      <c r="F5680" s="2"/>
      <c r="G5680" s="2"/>
      <c r="H5680" s="2"/>
      <c r="I5680" s="2"/>
      <c r="J5680" s="2"/>
      <c r="K5680" s="2"/>
      <c r="L5680" s="2"/>
      <c r="M5680" s="2"/>
      <c r="N5680" s="2"/>
      <c r="O5680" s="2"/>
      <c r="P5680" s="2"/>
      <c r="Q5680" s="2"/>
      <c r="R5680" s="2"/>
      <c r="S5680" s="2"/>
      <c r="T5680" s="2"/>
      <c r="U5680" s="2"/>
      <c r="V5680" s="2"/>
      <c r="W5680" s="2"/>
    </row>
    <row r="5681" spans="1:23" x14ac:dyDescent="0.25">
      <c r="A5681" s="2"/>
      <c r="B5681" s="2"/>
      <c r="C5681" s="1"/>
      <c r="D5681" s="2"/>
      <c r="E5681" s="2"/>
      <c r="F5681" s="2"/>
      <c r="G5681" s="2"/>
      <c r="H5681" s="2"/>
      <c r="I5681" s="2"/>
      <c r="J5681" s="2"/>
      <c r="K5681" s="2"/>
      <c r="L5681" s="2"/>
      <c r="M5681" s="2"/>
      <c r="N5681" s="2"/>
      <c r="O5681" s="2"/>
      <c r="P5681" s="2"/>
      <c r="Q5681" s="2"/>
      <c r="R5681" s="2"/>
      <c r="S5681" s="2"/>
      <c r="T5681" s="2"/>
      <c r="U5681" s="2"/>
      <c r="V5681" s="2"/>
      <c r="W5681" s="2"/>
    </row>
    <row r="5682" spans="1:23" x14ac:dyDescent="0.25">
      <c r="A5682" s="2"/>
      <c r="B5682" s="2"/>
      <c r="C5682" s="1"/>
      <c r="D5682" s="2"/>
      <c r="E5682" s="2"/>
      <c r="F5682" s="2"/>
      <c r="G5682" s="2"/>
      <c r="H5682" s="2"/>
      <c r="I5682" s="2"/>
      <c r="J5682" s="2"/>
      <c r="K5682" s="2"/>
      <c r="L5682" s="2"/>
      <c r="M5682" s="2"/>
      <c r="N5682" s="2"/>
      <c r="O5682" s="2"/>
      <c r="P5682" s="2"/>
      <c r="Q5682" s="2"/>
      <c r="R5682" s="2"/>
      <c r="S5682" s="2"/>
      <c r="T5682" s="2"/>
      <c r="U5682" s="2"/>
      <c r="V5682" s="2"/>
      <c r="W5682" s="2"/>
    </row>
    <row r="5683" spans="1:23" x14ac:dyDescent="0.25">
      <c r="A5683" s="2"/>
      <c r="B5683" s="2"/>
      <c r="C5683" s="1"/>
      <c r="D5683" s="2"/>
      <c r="E5683" s="2"/>
      <c r="F5683" s="2"/>
      <c r="G5683" s="2"/>
      <c r="H5683" s="2"/>
      <c r="I5683" s="2"/>
      <c r="J5683" s="2"/>
      <c r="K5683" s="2"/>
      <c r="L5683" s="2"/>
      <c r="M5683" s="2"/>
      <c r="N5683" s="2"/>
      <c r="O5683" s="2"/>
      <c r="P5683" s="2"/>
      <c r="Q5683" s="2"/>
      <c r="R5683" s="2"/>
      <c r="S5683" s="2"/>
      <c r="T5683" s="2"/>
      <c r="U5683" s="2"/>
      <c r="V5683" s="2"/>
      <c r="W5683" s="2"/>
    </row>
    <row r="5684" spans="1:23" x14ac:dyDescent="0.25">
      <c r="A5684" s="2"/>
      <c r="B5684" s="2"/>
      <c r="C5684" s="1"/>
      <c r="D5684" s="2"/>
      <c r="E5684" s="2"/>
      <c r="F5684" s="2"/>
      <c r="G5684" s="2"/>
      <c r="H5684" s="2"/>
      <c r="I5684" s="2"/>
      <c r="J5684" s="2"/>
      <c r="K5684" s="2"/>
      <c r="L5684" s="2"/>
      <c r="M5684" s="2"/>
      <c r="N5684" s="2"/>
      <c r="O5684" s="2"/>
      <c r="P5684" s="2"/>
      <c r="Q5684" s="2"/>
      <c r="R5684" s="2"/>
      <c r="S5684" s="2"/>
      <c r="T5684" s="2"/>
      <c r="U5684" s="2"/>
      <c r="V5684" s="2"/>
      <c r="W5684" s="2"/>
    </row>
    <row r="5685" spans="1:23" x14ac:dyDescent="0.25">
      <c r="A5685" s="2"/>
      <c r="B5685" s="2"/>
      <c r="C5685" s="1"/>
      <c r="D5685" s="2"/>
      <c r="E5685" s="2"/>
      <c r="F5685" s="2"/>
      <c r="G5685" s="2"/>
      <c r="H5685" s="2"/>
      <c r="I5685" s="2"/>
      <c r="J5685" s="2"/>
      <c r="K5685" s="2"/>
      <c r="L5685" s="2"/>
      <c r="M5685" s="2"/>
      <c r="N5685" s="2"/>
      <c r="O5685" s="2"/>
      <c r="P5685" s="2"/>
      <c r="Q5685" s="2"/>
      <c r="R5685" s="2"/>
      <c r="S5685" s="2"/>
      <c r="T5685" s="2"/>
      <c r="U5685" s="2"/>
      <c r="V5685" s="2"/>
      <c r="W5685" s="2"/>
    </row>
    <row r="5686" spans="1:23" x14ac:dyDescent="0.25">
      <c r="A5686" s="2"/>
      <c r="B5686" s="2"/>
      <c r="C5686" s="1"/>
      <c r="D5686" s="2"/>
      <c r="E5686" s="2"/>
      <c r="F5686" s="2"/>
      <c r="G5686" s="2"/>
      <c r="H5686" s="2"/>
      <c r="I5686" s="2"/>
      <c r="J5686" s="2"/>
      <c r="K5686" s="2"/>
      <c r="L5686" s="2"/>
      <c r="M5686" s="2"/>
      <c r="N5686" s="2"/>
      <c r="O5686" s="2"/>
      <c r="P5686" s="2"/>
      <c r="Q5686" s="2"/>
      <c r="R5686" s="2"/>
      <c r="S5686" s="2"/>
      <c r="T5686" s="2"/>
      <c r="U5686" s="2"/>
      <c r="V5686" s="2"/>
      <c r="W5686" s="2"/>
    </row>
    <row r="5687" spans="1:23" x14ac:dyDescent="0.25">
      <c r="A5687" s="2"/>
      <c r="B5687" s="2"/>
      <c r="C5687" s="1"/>
      <c r="D5687" s="2"/>
      <c r="E5687" s="2"/>
      <c r="F5687" s="2"/>
      <c r="G5687" s="2"/>
      <c r="H5687" s="2"/>
      <c r="I5687" s="2"/>
      <c r="J5687" s="2"/>
      <c r="K5687" s="2"/>
      <c r="L5687" s="2"/>
      <c r="M5687" s="2"/>
      <c r="N5687" s="2"/>
      <c r="O5687" s="2"/>
      <c r="P5687" s="2"/>
      <c r="Q5687" s="2"/>
      <c r="R5687" s="2"/>
      <c r="S5687" s="2"/>
      <c r="T5687" s="2"/>
      <c r="U5687" s="2"/>
      <c r="V5687" s="2"/>
      <c r="W5687" s="2"/>
    </row>
    <row r="5688" spans="1:23" x14ac:dyDescent="0.25">
      <c r="A5688" s="2"/>
      <c r="B5688" s="2"/>
      <c r="C5688" s="1"/>
      <c r="D5688" s="2"/>
      <c r="E5688" s="2"/>
      <c r="F5688" s="2"/>
      <c r="G5688" s="2"/>
      <c r="H5688" s="2"/>
      <c r="I5688" s="2"/>
      <c r="J5688" s="2"/>
      <c r="K5688" s="2"/>
      <c r="L5688" s="2"/>
      <c r="M5688" s="2"/>
      <c r="N5688" s="2"/>
      <c r="O5688" s="2"/>
      <c r="P5688" s="2"/>
      <c r="Q5688" s="2"/>
      <c r="R5688" s="2"/>
      <c r="S5688" s="2"/>
      <c r="T5688" s="2"/>
      <c r="U5688" s="2"/>
      <c r="V5688" s="2"/>
      <c r="W5688" s="2"/>
    </row>
    <row r="5689" spans="1:23" x14ac:dyDescent="0.25">
      <c r="A5689" s="2"/>
      <c r="B5689" s="2"/>
      <c r="C5689" s="1"/>
      <c r="D5689" s="2"/>
      <c r="E5689" s="2"/>
      <c r="F5689" s="2"/>
      <c r="G5689" s="2"/>
      <c r="H5689" s="2"/>
      <c r="I5689" s="2"/>
      <c r="J5689" s="2"/>
      <c r="K5689" s="2"/>
      <c r="L5689" s="2"/>
      <c r="M5689" s="2"/>
      <c r="N5689" s="2"/>
      <c r="O5689" s="2"/>
      <c r="P5689" s="2"/>
      <c r="Q5689" s="2"/>
      <c r="R5689" s="2"/>
      <c r="S5689" s="2"/>
      <c r="T5689" s="2"/>
      <c r="U5689" s="2"/>
      <c r="V5689" s="2"/>
      <c r="W5689" s="2"/>
    </row>
    <row r="5690" spans="1:23" x14ac:dyDescent="0.25">
      <c r="A5690" s="2"/>
      <c r="B5690" s="2"/>
      <c r="C5690" s="1"/>
      <c r="D5690" s="2"/>
      <c r="E5690" s="2"/>
      <c r="F5690" s="2"/>
      <c r="G5690" s="2"/>
      <c r="H5690" s="2"/>
      <c r="I5690" s="2"/>
      <c r="J5690" s="2"/>
      <c r="K5690" s="2"/>
      <c r="L5690" s="2"/>
      <c r="M5690" s="2"/>
      <c r="N5690" s="2"/>
      <c r="O5690" s="2"/>
      <c r="P5690" s="2"/>
      <c r="Q5690" s="2"/>
      <c r="R5690" s="2"/>
      <c r="S5690" s="2"/>
      <c r="T5690" s="2"/>
      <c r="U5690" s="2"/>
      <c r="V5690" s="2"/>
      <c r="W5690" s="2"/>
    </row>
    <row r="5691" spans="1:23" x14ac:dyDescent="0.25">
      <c r="A5691" s="2"/>
      <c r="B5691" s="2"/>
      <c r="C5691" s="1"/>
      <c r="D5691" s="2"/>
      <c r="E5691" s="2"/>
      <c r="F5691" s="2"/>
      <c r="G5691" s="2"/>
      <c r="H5691" s="2"/>
      <c r="I5691" s="2"/>
      <c r="J5691" s="2"/>
      <c r="K5691" s="2"/>
      <c r="L5691" s="2"/>
      <c r="M5691" s="2"/>
      <c r="N5691" s="2"/>
      <c r="O5691" s="2"/>
      <c r="P5691" s="2"/>
      <c r="Q5691" s="2"/>
      <c r="R5691" s="2"/>
      <c r="S5691" s="2"/>
      <c r="T5691" s="2"/>
      <c r="U5691" s="2"/>
      <c r="V5691" s="2"/>
      <c r="W5691" s="2"/>
    </row>
    <row r="5692" spans="1:23" x14ac:dyDescent="0.25">
      <c r="A5692" s="2"/>
      <c r="B5692" s="2"/>
      <c r="C5692" s="1"/>
      <c r="D5692" s="2"/>
      <c r="E5692" s="2"/>
      <c r="F5692" s="2"/>
      <c r="G5692" s="2"/>
      <c r="H5692" s="2"/>
      <c r="I5692" s="2"/>
      <c r="J5692" s="2"/>
      <c r="K5692" s="2"/>
      <c r="L5692" s="2"/>
      <c r="M5692" s="2"/>
      <c r="N5692" s="2"/>
      <c r="O5692" s="2"/>
      <c r="P5692" s="2"/>
      <c r="Q5692" s="2"/>
      <c r="R5692" s="2"/>
      <c r="S5692" s="2"/>
      <c r="T5692" s="2"/>
      <c r="U5692" s="2"/>
      <c r="V5692" s="2"/>
      <c r="W5692" s="2"/>
    </row>
    <row r="5693" spans="1:23" x14ac:dyDescent="0.25">
      <c r="A5693" s="2"/>
      <c r="B5693" s="2"/>
      <c r="C5693" s="1"/>
      <c r="D5693" s="2"/>
      <c r="E5693" s="2"/>
      <c r="F5693" s="2"/>
      <c r="G5693" s="2"/>
      <c r="H5693" s="2"/>
      <c r="I5693" s="2"/>
      <c r="J5693" s="2"/>
      <c r="K5693" s="2"/>
      <c r="L5693" s="2"/>
      <c r="M5693" s="2"/>
      <c r="N5693" s="2"/>
      <c r="O5693" s="2"/>
      <c r="P5693" s="2"/>
      <c r="Q5693" s="2"/>
      <c r="R5693" s="2"/>
      <c r="S5693" s="2"/>
      <c r="T5693" s="2"/>
      <c r="U5693" s="2"/>
      <c r="V5693" s="2"/>
      <c r="W5693" s="2"/>
    </row>
    <row r="5694" spans="1:23" x14ac:dyDescent="0.25">
      <c r="A5694" s="2"/>
      <c r="B5694" s="2"/>
      <c r="C5694" s="1"/>
      <c r="D5694" s="2"/>
      <c r="E5694" s="2"/>
      <c r="F5694" s="2"/>
      <c r="G5694" s="2"/>
      <c r="H5694" s="2"/>
      <c r="I5694" s="2"/>
      <c r="J5694" s="2"/>
      <c r="K5694" s="2"/>
      <c r="L5694" s="2"/>
      <c r="M5694" s="2"/>
      <c r="N5694" s="2"/>
      <c r="O5694" s="2"/>
      <c r="P5694" s="2"/>
      <c r="Q5694" s="2"/>
      <c r="R5694" s="2"/>
      <c r="S5694" s="2"/>
      <c r="T5694" s="2"/>
      <c r="U5694" s="2"/>
      <c r="V5694" s="2"/>
      <c r="W5694" s="2"/>
    </row>
    <row r="5695" spans="1:23" x14ac:dyDescent="0.25">
      <c r="A5695" s="2"/>
      <c r="B5695" s="2"/>
      <c r="C5695" s="1"/>
      <c r="D5695" s="2"/>
      <c r="E5695" s="2"/>
      <c r="F5695" s="2"/>
      <c r="G5695" s="2"/>
      <c r="H5695" s="2"/>
      <c r="I5695" s="2"/>
      <c r="J5695" s="2"/>
      <c r="K5695" s="2"/>
      <c r="L5695" s="2"/>
      <c r="M5695" s="2"/>
      <c r="N5695" s="2"/>
      <c r="O5695" s="2"/>
      <c r="P5695" s="2"/>
      <c r="Q5695" s="2"/>
      <c r="R5695" s="2"/>
      <c r="S5695" s="2"/>
      <c r="T5695" s="2"/>
      <c r="U5695" s="2"/>
      <c r="V5695" s="2"/>
      <c r="W5695" s="2"/>
    </row>
    <row r="5696" spans="1:23" x14ac:dyDescent="0.25">
      <c r="A5696" s="2"/>
      <c r="B5696" s="2"/>
      <c r="C5696" s="1"/>
      <c r="D5696" s="2"/>
      <c r="E5696" s="2"/>
      <c r="F5696" s="2"/>
      <c r="G5696" s="2"/>
      <c r="H5696" s="2"/>
      <c r="I5696" s="2"/>
      <c r="J5696" s="2"/>
      <c r="K5696" s="2"/>
      <c r="L5696" s="2"/>
      <c r="M5696" s="2"/>
      <c r="N5696" s="2"/>
      <c r="O5696" s="2"/>
      <c r="P5696" s="2"/>
      <c r="Q5696" s="2"/>
      <c r="R5696" s="2"/>
      <c r="S5696" s="2"/>
      <c r="T5696" s="2"/>
      <c r="U5696" s="2"/>
      <c r="V5696" s="2"/>
      <c r="W5696" s="2"/>
    </row>
    <row r="5697" spans="1:23" x14ac:dyDescent="0.25">
      <c r="A5697" s="2"/>
      <c r="B5697" s="2"/>
      <c r="C5697" s="1"/>
      <c r="D5697" s="2"/>
      <c r="E5697" s="2"/>
      <c r="F5697" s="2"/>
      <c r="G5697" s="2"/>
      <c r="H5697" s="2"/>
      <c r="I5697" s="2"/>
      <c r="J5697" s="2"/>
      <c r="K5697" s="2"/>
      <c r="L5697" s="2"/>
      <c r="M5697" s="2"/>
      <c r="N5697" s="2"/>
      <c r="O5697" s="2"/>
      <c r="P5697" s="2"/>
      <c r="Q5697" s="2"/>
      <c r="R5697" s="2"/>
      <c r="S5697" s="2"/>
      <c r="T5697" s="2"/>
      <c r="U5697" s="2"/>
      <c r="V5697" s="2"/>
      <c r="W5697" s="2"/>
    </row>
    <row r="5698" spans="1:23" x14ac:dyDescent="0.25">
      <c r="A5698" s="2"/>
      <c r="B5698" s="2"/>
      <c r="C5698" s="1"/>
      <c r="D5698" s="2"/>
      <c r="E5698" s="2"/>
      <c r="F5698" s="2"/>
      <c r="G5698" s="2"/>
      <c r="H5698" s="2"/>
      <c r="I5698" s="2"/>
      <c r="J5698" s="2"/>
      <c r="K5698" s="2"/>
      <c r="L5698" s="2"/>
      <c r="M5698" s="2"/>
      <c r="N5698" s="2"/>
      <c r="O5698" s="2"/>
      <c r="P5698" s="2"/>
      <c r="Q5698" s="2"/>
      <c r="R5698" s="2"/>
      <c r="S5698" s="2"/>
      <c r="T5698" s="2"/>
      <c r="U5698" s="2"/>
      <c r="V5698" s="2"/>
      <c r="W5698" s="2"/>
    </row>
    <row r="5699" spans="1:23" x14ac:dyDescent="0.25">
      <c r="A5699" s="2"/>
      <c r="B5699" s="2"/>
      <c r="C5699" s="1"/>
      <c r="D5699" s="2"/>
      <c r="E5699" s="2"/>
      <c r="F5699" s="2"/>
      <c r="G5699" s="2"/>
      <c r="H5699" s="2"/>
      <c r="I5699" s="2"/>
      <c r="J5699" s="2"/>
      <c r="K5699" s="2"/>
      <c r="L5699" s="2"/>
      <c r="M5699" s="2"/>
      <c r="N5699" s="2"/>
      <c r="O5699" s="2"/>
      <c r="P5699" s="2"/>
      <c r="Q5699" s="2"/>
      <c r="R5699" s="2"/>
      <c r="S5699" s="2"/>
      <c r="T5699" s="2"/>
      <c r="U5699" s="2"/>
      <c r="V5699" s="2"/>
      <c r="W5699" s="2"/>
    </row>
    <row r="5700" spans="1:23" x14ac:dyDescent="0.25">
      <c r="A5700" s="2"/>
      <c r="B5700" s="2"/>
      <c r="C5700" s="1"/>
      <c r="D5700" s="2"/>
      <c r="E5700" s="2"/>
      <c r="F5700" s="2"/>
      <c r="G5700" s="2"/>
      <c r="H5700" s="2"/>
      <c r="I5700" s="2"/>
      <c r="J5700" s="2"/>
      <c r="K5700" s="2"/>
      <c r="L5700" s="2"/>
      <c r="M5700" s="2"/>
      <c r="N5700" s="2"/>
      <c r="O5700" s="2"/>
      <c r="P5700" s="2"/>
      <c r="Q5700" s="2"/>
      <c r="R5700" s="2"/>
      <c r="S5700" s="2"/>
      <c r="T5700" s="2"/>
      <c r="U5700" s="2"/>
      <c r="V5700" s="2"/>
      <c r="W5700" s="2"/>
    </row>
    <row r="5701" spans="1:23" x14ac:dyDescent="0.25">
      <c r="A5701" s="2"/>
      <c r="B5701" s="2"/>
      <c r="C5701" s="1"/>
      <c r="D5701" s="2"/>
      <c r="E5701" s="2"/>
      <c r="F5701" s="2"/>
      <c r="G5701" s="2"/>
      <c r="H5701" s="2"/>
      <c r="I5701" s="2"/>
      <c r="J5701" s="2"/>
      <c r="K5701" s="2"/>
      <c r="L5701" s="2"/>
      <c r="M5701" s="2"/>
      <c r="N5701" s="2"/>
      <c r="O5701" s="2"/>
      <c r="P5701" s="2"/>
      <c r="Q5701" s="2"/>
      <c r="R5701" s="2"/>
      <c r="S5701" s="2"/>
      <c r="T5701" s="2"/>
      <c r="U5701" s="2"/>
      <c r="V5701" s="2"/>
      <c r="W5701" s="2"/>
    </row>
    <row r="5702" spans="1:23" x14ac:dyDescent="0.25">
      <c r="A5702" s="2"/>
      <c r="B5702" s="2"/>
      <c r="C5702" s="1"/>
      <c r="D5702" s="2"/>
      <c r="E5702" s="2"/>
      <c r="F5702" s="2"/>
      <c r="G5702" s="2"/>
      <c r="H5702" s="2"/>
      <c r="I5702" s="2"/>
      <c r="J5702" s="2"/>
      <c r="K5702" s="2"/>
      <c r="L5702" s="2"/>
      <c r="M5702" s="2"/>
      <c r="N5702" s="2"/>
      <c r="O5702" s="2"/>
      <c r="P5702" s="2"/>
      <c r="Q5702" s="2"/>
      <c r="R5702" s="2"/>
      <c r="S5702" s="2"/>
      <c r="T5702" s="2"/>
      <c r="U5702" s="2"/>
      <c r="V5702" s="2"/>
      <c r="W5702" s="2"/>
    </row>
    <row r="5703" spans="1:23" x14ac:dyDescent="0.25">
      <c r="A5703" s="2"/>
      <c r="B5703" s="2"/>
      <c r="C5703" s="1"/>
      <c r="D5703" s="2"/>
      <c r="E5703" s="2"/>
      <c r="F5703" s="2"/>
      <c r="G5703" s="2"/>
      <c r="H5703" s="2"/>
      <c r="I5703" s="2"/>
      <c r="J5703" s="2"/>
      <c r="K5703" s="2"/>
      <c r="L5703" s="2"/>
      <c r="M5703" s="2"/>
      <c r="N5703" s="2"/>
      <c r="O5703" s="2"/>
      <c r="P5703" s="2"/>
      <c r="Q5703" s="2"/>
      <c r="R5703" s="2"/>
      <c r="S5703" s="2"/>
      <c r="T5703" s="2"/>
      <c r="U5703" s="2"/>
      <c r="V5703" s="2"/>
      <c r="W5703" s="2"/>
    </row>
    <row r="5704" spans="1:23" x14ac:dyDescent="0.25">
      <c r="A5704" s="2"/>
      <c r="B5704" s="2"/>
      <c r="C5704" s="1"/>
      <c r="D5704" s="2"/>
      <c r="E5704" s="2"/>
      <c r="F5704" s="2"/>
      <c r="G5704" s="2"/>
      <c r="H5704" s="2"/>
      <c r="I5704" s="2"/>
      <c r="J5704" s="2"/>
      <c r="K5704" s="2"/>
      <c r="L5704" s="2"/>
      <c r="M5704" s="2"/>
      <c r="N5704" s="2"/>
      <c r="O5704" s="2"/>
      <c r="P5704" s="2"/>
      <c r="Q5704" s="2"/>
      <c r="R5704" s="2"/>
      <c r="S5704" s="2"/>
      <c r="T5704" s="2"/>
      <c r="U5704" s="2"/>
      <c r="V5704" s="2"/>
      <c r="W5704" s="2"/>
    </row>
    <row r="5705" spans="1:23" x14ac:dyDescent="0.25">
      <c r="A5705" s="2"/>
      <c r="B5705" s="2"/>
      <c r="C5705" s="1"/>
      <c r="D5705" s="2"/>
      <c r="E5705" s="2"/>
      <c r="F5705" s="2"/>
      <c r="G5705" s="2"/>
      <c r="H5705" s="2"/>
      <c r="I5705" s="2"/>
      <c r="J5705" s="2"/>
      <c r="K5705" s="2"/>
      <c r="L5705" s="2"/>
      <c r="M5705" s="2"/>
      <c r="N5705" s="2"/>
      <c r="O5705" s="2"/>
      <c r="P5705" s="2"/>
      <c r="Q5705" s="2"/>
      <c r="R5705" s="2"/>
      <c r="S5705" s="2"/>
      <c r="T5705" s="2"/>
      <c r="U5705" s="2"/>
      <c r="V5705" s="2"/>
      <c r="W5705" s="2"/>
    </row>
    <row r="5706" spans="1:23" x14ac:dyDescent="0.25">
      <c r="A5706" s="2"/>
      <c r="B5706" s="2"/>
      <c r="C5706" s="1"/>
      <c r="D5706" s="2"/>
      <c r="E5706" s="2"/>
      <c r="F5706" s="2"/>
      <c r="G5706" s="2"/>
      <c r="H5706" s="2"/>
      <c r="I5706" s="2"/>
      <c r="J5706" s="2"/>
      <c r="K5706" s="2"/>
      <c r="L5706" s="2"/>
      <c r="M5706" s="2"/>
      <c r="N5706" s="2"/>
      <c r="O5706" s="2"/>
      <c r="P5706" s="2"/>
      <c r="Q5706" s="2"/>
      <c r="R5706" s="2"/>
      <c r="S5706" s="2"/>
      <c r="T5706" s="2"/>
      <c r="U5706" s="2"/>
      <c r="V5706" s="2"/>
      <c r="W5706" s="2"/>
    </row>
    <row r="5707" spans="1:23" x14ac:dyDescent="0.25">
      <c r="A5707" s="2"/>
      <c r="B5707" s="2"/>
      <c r="C5707" s="1"/>
      <c r="D5707" s="2"/>
      <c r="E5707" s="2"/>
      <c r="F5707" s="2"/>
      <c r="G5707" s="2"/>
      <c r="H5707" s="2"/>
      <c r="I5707" s="2"/>
      <c r="J5707" s="2"/>
      <c r="K5707" s="2"/>
      <c r="L5707" s="2"/>
      <c r="M5707" s="2"/>
      <c r="N5707" s="2"/>
      <c r="O5707" s="2"/>
      <c r="P5707" s="2"/>
      <c r="Q5707" s="2"/>
      <c r="R5707" s="2"/>
      <c r="S5707" s="2"/>
      <c r="T5707" s="2"/>
      <c r="U5707" s="2"/>
      <c r="V5707" s="2"/>
      <c r="W5707" s="2"/>
    </row>
    <row r="5708" spans="1:23" x14ac:dyDescent="0.25">
      <c r="A5708" s="2"/>
      <c r="B5708" s="2"/>
      <c r="C5708" s="1"/>
      <c r="D5708" s="2"/>
      <c r="E5708" s="2"/>
      <c r="F5708" s="2"/>
      <c r="G5708" s="2"/>
      <c r="H5708" s="2"/>
      <c r="I5708" s="2"/>
      <c r="J5708" s="2"/>
      <c r="K5708" s="2"/>
      <c r="L5708" s="2"/>
      <c r="M5708" s="2"/>
      <c r="N5708" s="2"/>
      <c r="O5708" s="2"/>
      <c r="P5708" s="2"/>
      <c r="Q5708" s="2"/>
      <c r="R5708" s="2"/>
      <c r="S5708" s="2"/>
      <c r="T5708" s="2"/>
      <c r="U5708" s="2"/>
      <c r="V5708" s="2"/>
      <c r="W5708" s="2"/>
    </row>
    <row r="5709" spans="1:23" x14ac:dyDescent="0.25">
      <c r="A5709" s="2"/>
      <c r="B5709" s="2"/>
      <c r="C5709" s="1"/>
      <c r="D5709" s="2"/>
      <c r="E5709" s="2"/>
      <c r="F5709" s="2"/>
      <c r="G5709" s="2"/>
      <c r="H5709" s="2"/>
      <c r="I5709" s="2"/>
      <c r="J5709" s="2"/>
      <c r="K5709" s="2"/>
      <c r="L5709" s="2"/>
      <c r="M5709" s="2"/>
      <c r="N5709" s="2"/>
      <c r="O5709" s="2"/>
      <c r="P5709" s="2"/>
      <c r="Q5709" s="2"/>
      <c r="R5709" s="2"/>
      <c r="S5709" s="2"/>
      <c r="T5709" s="2"/>
      <c r="U5709" s="2"/>
      <c r="V5709" s="2"/>
      <c r="W5709" s="2"/>
    </row>
    <row r="5710" spans="1:23" x14ac:dyDescent="0.25">
      <c r="A5710" s="2"/>
      <c r="B5710" s="2"/>
      <c r="C5710" s="1"/>
      <c r="D5710" s="2"/>
      <c r="E5710" s="2"/>
      <c r="F5710" s="2"/>
      <c r="G5710" s="2"/>
      <c r="H5710" s="2"/>
      <c r="I5710" s="2"/>
      <c r="J5710" s="2"/>
      <c r="K5710" s="2"/>
      <c r="L5710" s="2"/>
      <c r="M5710" s="2"/>
      <c r="N5710" s="2"/>
      <c r="O5710" s="2"/>
      <c r="P5710" s="2"/>
      <c r="Q5710" s="2"/>
      <c r="R5710" s="2"/>
      <c r="S5710" s="2"/>
      <c r="T5710" s="2"/>
      <c r="U5710" s="2"/>
      <c r="V5710" s="2"/>
      <c r="W5710" s="2"/>
    </row>
    <row r="5711" spans="1:23" x14ac:dyDescent="0.25">
      <c r="A5711" s="2"/>
      <c r="B5711" s="2"/>
      <c r="C5711" s="1"/>
      <c r="D5711" s="2"/>
      <c r="E5711" s="2"/>
      <c r="F5711" s="2"/>
      <c r="G5711" s="2"/>
      <c r="H5711" s="2"/>
      <c r="I5711" s="2"/>
      <c r="J5711" s="2"/>
      <c r="K5711" s="2"/>
      <c r="L5711" s="2"/>
      <c r="M5711" s="2"/>
      <c r="N5711" s="2"/>
      <c r="O5711" s="2"/>
      <c r="P5711" s="2"/>
      <c r="Q5711" s="2"/>
      <c r="R5711" s="2"/>
      <c r="S5711" s="2"/>
      <c r="T5711" s="2"/>
      <c r="U5711" s="2"/>
      <c r="V5711" s="2"/>
      <c r="W5711" s="2"/>
    </row>
    <row r="5712" spans="1:23" x14ac:dyDescent="0.25">
      <c r="A5712" s="2"/>
      <c r="B5712" s="2"/>
      <c r="C5712" s="1"/>
      <c r="D5712" s="2"/>
      <c r="E5712" s="2"/>
      <c r="F5712" s="2"/>
      <c r="G5712" s="2"/>
      <c r="H5712" s="2"/>
      <c r="I5712" s="2"/>
      <c r="J5712" s="2"/>
      <c r="K5712" s="2"/>
      <c r="L5712" s="2"/>
      <c r="M5712" s="2"/>
      <c r="N5712" s="2"/>
      <c r="O5712" s="2"/>
      <c r="P5712" s="2"/>
      <c r="Q5712" s="2"/>
      <c r="R5712" s="2"/>
      <c r="S5712" s="2"/>
      <c r="T5712" s="2"/>
      <c r="U5712" s="2"/>
      <c r="V5712" s="2"/>
      <c r="W5712" s="2"/>
    </row>
    <row r="5713" spans="1:23" x14ac:dyDescent="0.25">
      <c r="A5713" s="2"/>
      <c r="B5713" s="2"/>
      <c r="C5713" s="1"/>
      <c r="D5713" s="2"/>
      <c r="E5713" s="2"/>
      <c r="F5713" s="2"/>
      <c r="G5713" s="2"/>
      <c r="H5713" s="2"/>
      <c r="I5713" s="2"/>
      <c r="J5713" s="2"/>
      <c r="K5713" s="2"/>
      <c r="L5713" s="2"/>
      <c r="M5713" s="2"/>
      <c r="N5713" s="2"/>
      <c r="O5713" s="2"/>
      <c r="P5713" s="2"/>
      <c r="Q5713" s="2"/>
      <c r="R5713" s="2"/>
      <c r="S5713" s="2"/>
      <c r="T5713" s="2"/>
      <c r="U5713" s="2"/>
      <c r="V5713" s="2"/>
      <c r="W5713" s="2"/>
    </row>
    <row r="5714" spans="1:23" x14ac:dyDescent="0.25">
      <c r="A5714" s="2"/>
      <c r="B5714" s="2"/>
      <c r="C5714" s="1"/>
      <c r="D5714" s="2"/>
      <c r="E5714" s="2"/>
      <c r="F5714" s="2"/>
      <c r="G5714" s="2"/>
      <c r="H5714" s="2"/>
      <c r="I5714" s="2"/>
      <c r="J5714" s="2"/>
      <c r="K5714" s="2"/>
      <c r="L5714" s="2"/>
      <c r="M5714" s="2"/>
      <c r="N5714" s="2"/>
      <c r="O5714" s="2"/>
      <c r="P5714" s="2"/>
      <c r="Q5714" s="2"/>
      <c r="R5714" s="2"/>
      <c r="S5714" s="2"/>
      <c r="T5714" s="2"/>
      <c r="U5714" s="2"/>
      <c r="V5714" s="2"/>
      <c r="W5714" s="2"/>
    </row>
    <row r="5715" spans="1:23" x14ac:dyDescent="0.25">
      <c r="A5715" s="2"/>
      <c r="B5715" s="2"/>
      <c r="C5715" s="1"/>
      <c r="D5715" s="2"/>
      <c r="E5715" s="2"/>
      <c r="F5715" s="2"/>
      <c r="G5715" s="2"/>
      <c r="H5715" s="2"/>
      <c r="I5715" s="2"/>
      <c r="J5715" s="2"/>
      <c r="K5715" s="2"/>
      <c r="L5715" s="2"/>
      <c r="M5715" s="2"/>
      <c r="N5715" s="2"/>
      <c r="O5715" s="2"/>
      <c r="P5715" s="2"/>
      <c r="Q5715" s="2"/>
      <c r="R5715" s="2"/>
      <c r="S5715" s="2"/>
      <c r="T5715" s="2"/>
      <c r="U5715" s="2"/>
      <c r="V5715" s="2"/>
      <c r="W5715" s="2"/>
    </row>
    <row r="5716" spans="1:23" x14ac:dyDescent="0.25">
      <c r="A5716" s="2"/>
      <c r="B5716" s="2"/>
      <c r="C5716" s="1"/>
      <c r="D5716" s="2"/>
      <c r="E5716" s="2"/>
      <c r="F5716" s="2"/>
      <c r="G5716" s="2"/>
      <c r="H5716" s="2"/>
      <c r="I5716" s="2"/>
      <c r="J5716" s="2"/>
      <c r="K5716" s="2"/>
      <c r="L5716" s="2"/>
      <c r="M5716" s="2"/>
      <c r="N5716" s="2"/>
      <c r="O5716" s="2"/>
      <c r="P5716" s="2"/>
      <c r="Q5716" s="2"/>
      <c r="R5716" s="2"/>
      <c r="S5716" s="2"/>
      <c r="T5716" s="2"/>
      <c r="U5716" s="2"/>
      <c r="V5716" s="2"/>
      <c r="W5716" s="2"/>
    </row>
    <row r="5717" spans="1:23" x14ac:dyDescent="0.25">
      <c r="A5717" s="2"/>
      <c r="B5717" s="2"/>
      <c r="C5717" s="1"/>
      <c r="D5717" s="2"/>
      <c r="E5717" s="2"/>
      <c r="F5717" s="2"/>
      <c r="G5717" s="2"/>
      <c r="H5717" s="2"/>
      <c r="I5717" s="2"/>
      <c r="J5717" s="2"/>
      <c r="K5717" s="2"/>
      <c r="L5717" s="2"/>
      <c r="M5717" s="2"/>
      <c r="N5717" s="2"/>
      <c r="O5717" s="2"/>
      <c r="P5717" s="2"/>
      <c r="Q5717" s="2"/>
      <c r="R5717" s="2"/>
      <c r="S5717" s="2"/>
      <c r="T5717" s="2"/>
      <c r="U5717" s="2"/>
      <c r="V5717" s="2"/>
      <c r="W5717" s="2"/>
    </row>
    <row r="5718" spans="1:23" x14ac:dyDescent="0.25">
      <c r="A5718" s="2"/>
      <c r="B5718" s="2"/>
      <c r="C5718" s="1"/>
      <c r="D5718" s="2"/>
      <c r="E5718" s="2"/>
      <c r="F5718" s="2"/>
      <c r="G5718" s="2"/>
      <c r="H5718" s="2"/>
      <c r="I5718" s="2"/>
      <c r="J5718" s="2"/>
      <c r="K5718" s="2"/>
      <c r="L5718" s="2"/>
      <c r="M5718" s="2"/>
      <c r="N5718" s="2"/>
      <c r="O5718" s="2"/>
      <c r="P5718" s="2"/>
      <c r="Q5718" s="2"/>
      <c r="R5718" s="2"/>
      <c r="S5718" s="2"/>
      <c r="T5718" s="2"/>
      <c r="U5718" s="2"/>
      <c r="V5718" s="2"/>
      <c r="W5718" s="2"/>
    </row>
    <row r="5719" spans="1:23" x14ac:dyDescent="0.25">
      <c r="A5719" s="2"/>
      <c r="B5719" s="2"/>
      <c r="C5719" s="1"/>
      <c r="D5719" s="2"/>
      <c r="E5719" s="2"/>
      <c r="F5719" s="2"/>
      <c r="G5719" s="2"/>
      <c r="H5719" s="2"/>
      <c r="I5719" s="2"/>
      <c r="J5719" s="2"/>
      <c r="K5719" s="2"/>
      <c r="L5719" s="2"/>
      <c r="M5719" s="2"/>
      <c r="N5719" s="2"/>
      <c r="O5719" s="2"/>
      <c r="P5719" s="2"/>
      <c r="Q5719" s="2"/>
      <c r="R5719" s="2"/>
      <c r="S5719" s="2"/>
      <c r="T5719" s="2"/>
      <c r="U5719" s="2"/>
      <c r="V5719" s="2"/>
      <c r="W5719" s="2"/>
    </row>
    <row r="5720" spans="1:23" x14ac:dyDescent="0.25">
      <c r="A5720" s="2"/>
      <c r="B5720" s="2"/>
      <c r="C5720" s="1"/>
      <c r="D5720" s="2"/>
      <c r="E5720" s="2"/>
      <c r="F5720" s="2"/>
      <c r="G5720" s="2"/>
      <c r="H5720" s="2"/>
      <c r="I5720" s="2"/>
      <c r="J5720" s="2"/>
      <c r="K5720" s="2"/>
      <c r="L5720" s="2"/>
      <c r="M5720" s="2"/>
      <c r="N5720" s="2"/>
      <c r="O5720" s="2"/>
      <c r="P5720" s="2"/>
      <c r="Q5720" s="2"/>
      <c r="R5720" s="2"/>
      <c r="S5720" s="2"/>
      <c r="T5720" s="2"/>
      <c r="U5720" s="2"/>
      <c r="V5720" s="2"/>
      <c r="W5720" s="2"/>
    </row>
    <row r="5721" spans="1:23" x14ac:dyDescent="0.25">
      <c r="A5721" s="2"/>
      <c r="B5721" s="2"/>
      <c r="C5721" s="1"/>
      <c r="D5721" s="2"/>
      <c r="E5721" s="2"/>
      <c r="F5721" s="2"/>
      <c r="G5721" s="2"/>
      <c r="H5721" s="2"/>
      <c r="I5721" s="2"/>
      <c r="J5721" s="2"/>
      <c r="K5721" s="2"/>
      <c r="L5721" s="2"/>
      <c r="M5721" s="2"/>
      <c r="N5721" s="2"/>
      <c r="O5721" s="2"/>
      <c r="P5721" s="2"/>
      <c r="Q5721" s="2"/>
      <c r="R5721" s="2"/>
      <c r="S5721" s="2"/>
      <c r="T5721" s="2"/>
      <c r="U5721" s="2"/>
      <c r="V5721" s="2"/>
      <c r="W5721" s="2"/>
    </row>
    <row r="5722" spans="1:23" x14ac:dyDescent="0.25">
      <c r="A5722" s="2"/>
      <c r="B5722" s="2"/>
      <c r="C5722" s="1"/>
      <c r="D5722" s="2"/>
      <c r="E5722" s="2"/>
      <c r="F5722" s="2"/>
      <c r="G5722" s="2"/>
      <c r="H5722" s="2"/>
      <c r="I5722" s="2"/>
      <c r="J5722" s="2"/>
      <c r="K5722" s="2"/>
      <c r="L5722" s="2"/>
      <c r="M5722" s="2"/>
      <c r="N5722" s="2"/>
      <c r="O5722" s="2"/>
      <c r="P5722" s="2"/>
      <c r="Q5722" s="2"/>
      <c r="R5722" s="2"/>
      <c r="S5722" s="2"/>
      <c r="T5722" s="2"/>
      <c r="U5722" s="2"/>
      <c r="V5722" s="2"/>
      <c r="W5722" s="2"/>
    </row>
    <row r="5723" spans="1:23" x14ac:dyDescent="0.25">
      <c r="A5723" s="2"/>
      <c r="B5723" s="2"/>
      <c r="C5723" s="1"/>
      <c r="D5723" s="2"/>
      <c r="E5723" s="2"/>
      <c r="F5723" s="2"/>
      <c r="G5723" s="2"/>
      <c r="H5723" s="2"/>
      <c r="I5723" s="2"/>
      <c r="J5723" s="2"/>
      <c r="K5723" s="2"/>
      <c r="L5723" s="2"/>
      <c r="M5723" s="2"/>
      <c r="N5723" s="2"/>
      <c r="O5723" s="2"/>
      <c r="P5723" s="2"/>
      <c r="Q5723" s="2"/>
      <c r="R5723" s="2"/>
      <c r="S5723" s="2"/>
      <c r="T5723" s="2"/>
      <c r="U5723" s="2"/>
      <c r="V5723" s="2"/>
      <c r="W5723" s="2"/>
    </row>
    <row r="5724" spans="1:23" x14ac:dyDescent="0.25">
      <c r="A5724" s="2"/>
      <c r="B5724" s="2"/>
      <c r="C5724" s="1"/>
      <c r="D5724" s="2"/>
      <c r="E5724" s="2"/>
      <c r="F5724" s="2"/>
      <c r="G5724" s="2"/>
      <c r="H5724" s="2"/>
      <c r="I5724" s="2"/>
      <c r="J5724" s="2"/>
      <c r="K5724" s="2"/>
      <c r="L5724" s="2"/>
      <c r="M5724" s="2"/>
      <c r="N5724" s="2"/>
      <c r="O5724" s="2"/>
      <c r="P5724" s="2"/>
      <c r="Q5724" s="2"/>
      <c r="R5724" s="2"/>
      <c r="S5724" s="2"/>
      <c r="T5724" s="2"/>
      <c r="U5724" s="2"/>
      <c r="V5724" s="2"/>
      <c r="W5724" s="2"/>
    </row>
    <row r="5725" spans="1:23" x14ac:dyDescent="0.25">
      <c r="A5725" s="2"/>
      <c r="B5725" s="2"/>
      <c r="C5725" s="1"/>
      <c r="D5725" s="2"/>
      <c r="E5725" s="2"/>
      <c r="F5725" s="2"/>
      <c r="G5725" s="2"/>
      <c r="H5725" s="2"/>
      <c r="I5725" s="2"/>
      <c r="J5725" s="2"/>
      <c r="K5725" s="2"/>
      <c r="L5725" s="2"/>
      <c r="M5725" s="2"/>
      <c r="N5725" s="2"/>
      <c r="O5725" s="2"/>
      <c r="P5725" s="2"/>
      <c r="Q5725" s="2"/>
      <c r="R5725" s="2"/>
      <c r="S5725" s="2"/>
      <c r="T5725" s="2"/>
      <c r="U5725" s="2"/>
      <c r="V5725" s="2"/>
      <c r="W5725" s="2"/>
    </row>
    <row r="5726" spans="1:23" x14ac:dyDescent="0.25">
      <c r="A5726" s="2"/>
      <c r="B5726" s="2"/>
      <c r="C5726" s="1"/>
      <c r="D5726" s="2"/>
      <c r="E5726" s="2"/>
      <c r="F5726" s="2"/>
      <c r="G5726" s="2"/>
      <c r="H5726" s="2"/>
      <c r="I5726" s="2"/>
      <c r="J5726" s="2"/>
      <c r="K5726" s="2"/>
      <c r="L5726" s="2"/>
      <c r="M5726" s="2"/>
      <c r="N5726" s="2"/>
      <c r="O5726" s="2"/>
      <c r="P5726" s="2"/>
      <c r="Q5726" s="2"/>
      <c r="R5726" s="2"/>
      <c r="S5726" s="2"/>
      <c r="T5726" s="2"/>
      <c r="U5726" s="2"/>
      <c r="V5726" s="2"/>
      <c r="W5726" s="2"/>
    </row>
    <row r="5727" spans="1:23" x14ac:dyDescent="0.25">
      <c r="A5727" s="2"/>
      <c r="B5727" s="2"/>
      <c r="C5727" s="1"/>
      <c r="D5727" s="2"/>
      <c r="E5727" s="2"/>
      <c r="F5727" s="2"/>
      <c r="G5727" s="2"/>
      <c r="H5727" s="2"/>
      <c r="I5727" s="2"/>
      <c r="J5727" s="2"/>
      <c r="K5727" s="2"/>
      <c r="L5727" s="2"/>
      <c r="M5727" s="2"/>
      <c r="N5727" s="2"/>
      <c r="O5727" s="2"/>
      <c r="P5727" s="2"/>
      <c r="Q5727" s="2"/>
      <c r="R5727" s="2"/>
      <c r="S5727" s="2"/>
      <c r="T5727" s="2"/>
      <c r="U5727" s="2"/>
      <c r="V5727" s="2"/>
      <c r="W5727" s="2"/>
    </row>
    <row r="5728" spans="1:23" x14ac:dyDescent="0.25">
      <c r="A5728" s="2"/>
      <c r="B5728" s="2"/>
      <c r="C5728" s="1"/>
      <c r="D5728" s="2"/>
      <c r="E5728" s="2"/>
      <c r="F5728" s="2"/>
      <c r="G5728" s="2"/>
      <c r="H5728" s="2"/>
      <c r="I5728" s="2"/>
      <c r="J5728" s="2"/>
      <c r="K5728" s="2"/>
      <c r="L5728" s="2"/>
      <c r="M5728" s="2"/>
      <c r="N5728" s="2"/>
      <c r="O5728" s="2"/>
      <c r="P5728" s="2"/>
      <c r="Q5728" s="2"/>
      <c r="R5728" s="2"/>
      <c r="S5728" s="2"/>
      <c r="T5728" s="2"/>
      <c r="U5728" s="2"/>
      <c r="V5728" s="2"/>
      <c r="W5728" s="2"/>
    </row>
    <row r="5729" spans="1:23" x14ac:dyDescent="0.25">
      <c r="A5729" s="2"/>
      <c r="B5729" s="2"/>
      <c r="C5729" s="1"/>
      <c r="D5729" s="2"/>
      <c r="E5729" s="2"/>
      <c r="F5729" s="2"/>
      <c r="G5729" s="2"/>
      <c r="H5729" s="2"/>
      <c r="I5729" s="2"/>
      <c r="J5729" s="2"/>
      <c r="K5729" s="2"/>
      <c r="L5729" s="2"/>
      <c r="M5729" s="2"/>
      <c r="N5729" s="2"/>
      <c r="O5729" s="2"/>
      <c r="P5729" s="2"/>
      <c r="Q5729" s="2"/>
      <c r="R5729" s="2"/>
      <c r="S5729" s="2"/>
      <c r="T5729" s="2"/>
      <c r="U5729" s="2"/>
      <c r="V5729" s="2"/>
      <c r="W5729" s="2"/>
    </row>
    <row r="5730" spans="1:23" x14ac:dyDescent="0.25">
      <c r="A5730" s="2"/>
      <c r="B5730" s="2"/>
      <c r="C5730" s="1"/>
      <c r="D5730" s="2"/>
      <c r="E5730" s="2"/>
      <c r="F5730" s="2"/>
      <c r="G5730" s="2"/>
      <c r="H5730" s="2"/>
      <c r="I5730" s="2"/>
      <c r="J5730" s="2"/>
      <c r="K5730" s="2"/>
      <c r="L5730" s="2"/>
      <c r="M5730" s="2"/>
      <c r="N5730" s="2"/>
      <c r="O5730" s="2"/>
      <c r="P5730" s="2"/>
      <c r="Q5730" s="2"/>
      <c r="R5730" s="2"/>
      <c r="S5730" s="2"/>
      <c r="T5730" s="2"/>
      <c r="U5730" s="2"/>
      <c r="V5730" s="2"/>
      <c r="W5730" s="2"/>
    </row>
    <row r="5731" spans="1:23" x14ac:dyDescent="0.25">
      <c r="A5731" s="2"/>
      <c r="B5731" s="2"/>
      <c r="C5731" s="1"/>
      <c r="D5731" s="2"/>
      <c r="E5731" s="2"/>
      <c r="F5731" s="2"/>
      <c r="G5731" s="2"/>
      <c r="H5731" s="2"/>
      <c r="I5731" s="2"/>
      <c r="J5731" s="2"/>
      <c r="K5731" s="2"/>
      <c r="L5731" s="2"/>
      <c r="M5731" s="2"/>
      <c r="N5731" s="2"/>
      <c r="O5731" s="2"/>
      <c r="P5731" s="2"/>
      <c r="Q5731" s="2"/>
      <c r="R5731" s="2"/>
      <c r="S5731" s="2"/>
      <c r="T5731" s="2"/>
      <c r="U5731" s="2"/>
      <c r="V5731" s="2"/>
      <c r="W5731" s="2"/>
    </row>
    <row r="5732" spans="1:23" x14ac:dyDescent="0.25">
      <c r="A5732" s="2"/>
      <c r="B5732" s="2"/>
      <c r="C5732" s="1"/>
      <c r="D5732" s="2"/>
      <c r="E5732" s="2"/>
      <c r="F5732" s="2"/>
      <c r="G5732" s="2"/>
      <c r="H5732" s="2"/>
      <c r="I5732" s="2"/>
      <c r="J5732" s="2"/>
      <c r="K5732" s="2"/>
      <c r="L5732" s="2"/>
      <c r="M5732" s="2"/>
      <c r="N5732" s="2"/>
      <c r="O5732" s="2"/>
      <c r="P5732" s="2"/>
      <c r="Q5732" s="2"/>
      <c r="R5732" s="2"/>
      <c r="S5732" s="2"/>
      <c r="T5732" s="2"/>
      <c r="U5732" s="2"/>
      <c r="V5732" s="2"/>
      <c r="W5732" s="2"/>
    </row>
    <row r="5733" spans="1:23" x14ac:dyDescent="0.25">
      <c r="A5733" s="2"/>
      <c r="B5733" s="2"/>
      <c r="C5733" s="1"/>
      <c r="D5733" s="2"/>
      <c r="E5733" s="2"/>
      <c r="F5733" s="2"/>
      <c r="G5733" s="2"/>
      <c r="H5733" s="2"/>
      <c r="I5733" s="2"/>
      <c r="J5733" s="2"/>
      <c r="K5733" s="2"/>
      <c r="L5733" s="2"/>
      <c r="M5733" s="2"/>
      <c r="N5733" s="2"/>
      <c r="O5733" s="2"/>
      <c r="P5733" s="2"/>
      <c r="Q5733" s="2"/>
      <c r="R5733" s="2"/>
      <c r="S5733" s="2"/>
      <c r="T5733" s="2"/>
      <c r="U5733" s="2"/>
      <c r="V5733" s="2"/>
      <c r="W5733" s="2"/>
    </row>
    <row r="5734" spans="1:23" x14ac:dyDescent="0.25">
      <c r="A5734" s="2"/>
      <c r="B5734" s="2"/>
      <c r="C5734" s="1"/>
      <c r="D5734" s="2"/>
      <c r="E5734" s="2"/>
      <c r="F5734" s="2"/>
      <c r="G5734" s="2"/>
      <c r="H5734" s="2"/>
      <c r="I5734" s="2"/>
      <c r="J5734" s="2"/>
      <c r="K5734" s="2"/>
      <c r="L5734" s="2"/>
      <c r="M5734" s="2"/>
      <c r="N5734" s="2"/>
      <c r="O5734" s="2"/>
      <c r="P5734" s="2"/>
      <c r="Q5734" s="2"/>
      <c r="R5734" s="2"/>
      <c r="S5734" s="2"/>
      <c r="T5734" s="2"/>
      <c r="U5734" s="2"/>
      <c r="V5734" s="2"/>
      <c r="W5734" s="2"/>
    </row>
    <row r="5735" spans="1:23" x14ac:dyDescent="0.25">
      <c r="A5735" s="2"/>
      <c r="B5735" s="2"/>
      <c r="C5735" s="1"/>
      <c r="D5735" s="2"/>
      <c r="E5735" s="2"/>
      <c r="F5735" s="2"/>
      <c r="G5735" s="2"/>
      <c r="H5735" s="2"/>
      <c r="I5735" s="2"/>
      <c r="J5735" s="2"/>
      <c r="K5735" s="2"/>
      <c r="L5735" s="2"/>
      <c r="M5735" s="2"/>
      <c r="N5735" s="2"/>
      <c r="O5735" s="2"/>
      <c r="P5735" s="2"/>
      <c r="Q5735" s="2"/>
      <c r="R5735" s="2"/>
      <c r="S5735" s="2"/>
      <c r="T5735" s="2"/>
      <c r="U5735" s="2"/>
      <c r="V5735" s="2"/>
      <c r="W5735" s="2"/>
    </row>
    <row r="5736" spans="1:23" x14ac:dyDescent="0.25">
      <c r="A5736" s="2"/>
      <c r="B5736" s="2"/>
      <c r="C5736" s="1"/>
      <c r="D5736" s="2"/>
      <c r="E5736" s="2"/>
      <c r="F5736" s="2"/>
      <c r="G5736" s="2"/>
      <c r="H5736" s="2"/>
      <c r="I5736" s="2"/>
      <c r="J5736" s="2"/>
      <c r="K5736" s="2"/>
      <c r="L5736" s="2"/>
      <c r="M5736" s="2"/>
      <c r="N5736" s="2"/>
      <c r="O5736" s="2"/>
      <c r="P5736" s="2"/>
      <c r="Q5736" s="2"/>
      <c r="R5736" s="2"/>
      <c r="S5736" s="2"/>
      <c r="T5736" s="2"/>
      <c r="U5736" s="2"/>
      <c r="V5736" s="2"/>
      <c r="W5736" s="2"/>
    </row>
    <row r="5737" spans="1:23" x14ac:dyDescent="0.25">
      <c r="A5737" s="2"/>
      <c r="B5737" s="2"/>
      <c r="C5737" s="1"/>
      <c r="D5737" s="2"/>
      <c r="E5737" s="2"/>
      <c r="F5737" s="2"/>
      <c r="G5737" s="2"/>
      <c r="H5737" s="2"/>
      <c r="I5737" s="2"/>
      <c r="J5737" s="2"/>
      <c r="K5737" s="2"/>
      <c r="L5737" s="2"/>
      <c r="M5737" s="2"/>
      <c r="N5737" s="2"/>
      <c r="O5737" s="2"/>
      <c r="P5737" s="2"/>
      <c r="Q5737" s="2"/>
      <c r="R5737" s="2"/>
      <c r="S5737" s="2"/>
      <c r="T5737" s="2"/>
      <c r="U5737" s="2"/>
      <c r="V5737" s="2"/>
      <c r="W5737" s="2"/>
    </row>
    <row r="5738" spans="1:23" x14ac:dyDescent="0.25">
      <c r="A5738" s="2"/>
      <c r="B5738" s="2"/>
      <c r="C5738" s="1"/>
      <c r="D5738" s="2"/>
      <c r="E5738" s="2"/>
      <c r="F5738" s="2"/>
      <c r="G5738" s="2"/>
      <c r="H5738" s="2"/>
      <c r="I5738" s="2"/>
      <c r="J5738" s="2"/>
      <c r="K5738" s="2"/>
      <c r="L5738" s="2"/>
      <c r="M5738" s="2"/>
      <c r="N5738" s="2"/>
      <c r="O5738" s="2"/>
      <c r="P5738" s="2"/>
      <c r="Q5738" s="2"/>
      <c r="R5738" s="2"/>
      <c r="S5738" s="2"/>
      <c r="T5738" s="2"/>
      <c r="U5738" s="2"/>
      <c r="V5738" s="2"/>
      <c r="W5738" s="2"/>
    </row>
    <row r="5739" spans="1:23" x14ac:dyDescent="0.25">
      <c r="A5739" s="2"/>
      <c r="B5739" s="2"/>
      <c r="C5739" s="1"/>
      <c r="D5739" s="2"/>
      <c r="E5739" s="2"/>
      <c r="F5739" s="2"/>
      <c r="G5739" s="2"/>
      <c r="H5739" s="2"/>
      <c r="I5739" s="2"/>
      <c r="J5739" s="2"/>
      <c r="K5739" s="2"/>
      <c r="L5739" s="2"/>
      <c r="M5739" s="2"/>
      <c r="N5739" s="2"/>
      <c r="O5739" s="2"/>
      <c r="P5739" s="2"/>
      <c r="Q5739" s="2"/>
      <c r="R5739" s="2"/>
      <c r="S5739" s="2"/>
      <c r="T5739" s="2"/>
      <c r="U5739" s="2"/>
      <c r="V5739" s="2"/>
      <c r="W5739" s="2"/>
    </row>
    <row r="5740" spans="1:23" x14ac:dyDescent="0.25">
      <c r="A5740" s="2"/>
      <c r="B5740" s="2"/>
      <c r="C5740" s="1"/>
      <c r="D5740" s="2"/>
      <c r="E5740" s="2"/>
      <c r="F5740" s="2"/>
      <c r="G5740" s="2"/>
      <c r="H5740" s="2"/>
      <c r="I5740" s="2"/>
      <c r="J5740" s="2"/>
      <c r="K5740" s="2"/>
      <c r="L5740" s="2"/>
      <c r="M5740" s="2"/>
      <c r="N5740" s="2"/>
      <c r="O5740" s="2"/>
      <c r="P5740" s="2"/>
      <c r="Q5740" s="2"/>
      <c r="R5740" s="2"/>
      <c r="S5740" s="2"/>
      <c r="T5740" s="2"/>
      <c r="U5740" s="2"/>
      <c r="V5740" s="2"/>
      <c r="W5740" s="2"/>
    </row>
    <row r="5741" spans="1:23" x14ac:dyDescent="0.25">
      <c r="A5741" s="2"/>
      <c r="B5741" s="2"/>
      <c r="C5741" s="1"/>
      <c r="D5741" s="2"/>
      <c r="E5741" s="2"/>
      <c r="F5741" s="2"/>
      <c r="G5741" s="2"/>
      <c r="H5741" s="2"/>
      <c r="I5741" s="2"/>
      <c r="J5741" s="2"/>
      <c r="K5741" s="2"/>
      <c r="L5741" s="2"/>
      <c r="M5741" s="2"/>
      <c r="N5741" s="2"/>
      <c r="O5741" s="2"/>
      <c r="P5741" s="2"/>
      <c r="Q5741" s="2"/>
      <c r="R5741" s="2"/>
      <c r="S5741" s="2"/>
      <c r="T5741" s="2"/>
      <c r="U5741" s="2"/>
      <c r="V5741" s="2"/>
      <c r="W5741" s="2"/>
    </row>
    <row r="5742" spans="1:23" x14ac:dyDescent="0.25">
      <c r="A5742" s="2"/>
      <c r="B5742" s="2"/>
      <c r="C5742" s="1"/>
      <c r="D5742" s="2"/>
      <c r="E5742" s="2"/>
      <c r="F5742" s="2"/>
      <c r="G5742" s="2"/>
      <c r="H5742" s="2"/>
      <c r="I5742" s="2"/>
      <c r="J5742" s="2"/>
      <c r="K5742" s="2"/>
      <c r="L5742" s="2"/>
      <c r="M5742" s="2"/>
      <c r="N5742" s="2"/>
      <c r="O5742" s="2"/>
      <c r="P5742" s="2"/>
      <c r="Q5742" s="2"/>
      <c r="R5742" s="2"/>
      <c r="S5742" s="2"/>
      <c r="T5742" s="2"/>
      <c r="U5742" s="2"/>
      <c r="V5742" s="2"/>
      <c r="W5742" s="2"/>
    </row>
    <row r="5743" spans="1:23" x14ac:dyDescent="0.25">
      <c r="A5743" s="2"/>
      <c r="B5743" s="2"/>
      <c r="C5743" s="1"/>
      <c r="D5743" s="2"/>
      <c r="E5743" s="2"/>
      <c r="F5743" s="2"/>
      <c r="G5743" s="2"/>
      <c r="H5743" s="2"/>
      <c r="I5743" s="2"/>
      <c r="J5743" s="2"/>
      <c r="K5743" s="2"/>
      <c r="L5743" s="2"/>
      <c r="M5743" s="2"/>
      <c r="N5743" s="2"/>
      <c r="O5743" s="2"/>
      <c r="P5743" s="2"/>
      <c r="Q5743" s="2"/>
      <c r="R5743" s="2"/>
      <c r="S5743" s="2"/>
      <c r="T5743" s="2"/>
      <c r="U5743" s="2"/>
      <c r="V5743" s="2"/>
      <c r="W5743" s="2"/>
    </row>
    <row r="5744" spans="1:23" x14ac:dyDescent="0.25">
      <c r="A5744" s="2"/>
      <c r="B5744" s="2"/>
      <c r="C5744" s="1"/>
      <c r="D5744" s="2"/>
      <c r="E5744" s="2"/>
      <c r="F5744" s="2"/>
      <c r="G5744" s="2"/>
      <c r="H5744" s="2"/>
      <c r="I5744" s="2"/>
      <c r="J5744" s="2"/>
      <c r="K5744" s="2"/>
      <c r="L5744" s="2"/>
      <c r="M5744" s="2"/>
      <c r="N5744" s="2"/>
      <c r="O5744" s="2"/>
      <c r="P5744" s="2"/>
      <c r="Q5744" s="2"/>
      <c r="R5744" s="2"/>
      <c r="S5744" s="2"/>
      <c r="T5744" s="2"/>
      <c r="U5744" s="2"/>
      <c r="V5744" s="2"/>
      <c r="W5744" s="2"/>
    </row>
    <row r="5745" spans="1:23" x14ac:dyDescent="0.25">
      <c r="A5745" s="2"/>
      <c r="B5745" s="2"/>
      <c r="C5745" s="1"/>
      <c r="D5745" s="2"/>
      <c r="E5745" s="2"/>
      <c r="F5745" s="2"/>
      <c r="G5745" s="2"/>
      <c r="H5745" s="2"/>
      <c r="I5745" s="2"/>
      <c r="J5745" s="2"/>
      <c r="K5745" s="2"/>
      <c r="L5745" s="2"/>
      <c r="M5745" s="2"/>
      <c r="N5745" s="2"/>
      <c r="O5745" s="2"/>
      <c r="P5745" s="2"/>
      <c r="Q5745" s="2"/>
      <c r="R5745" s="2"/>
      <c r="S5745" s="2"/>
      <c r="T5745" s="2"/>
      <c r="U5745" s="2"/>
      <c r="V5745" s="2"/>
      <c r="W5745" s="2"/>
    </row>
    <row r="5746" spans="1:23" x14ac:dyDescent="0.25">
      <c r="A5746" s="2"/>
      <c r="B5746" s="2"/>
      <c r="C5746" s="1"/>
      <c r="D5746" s="2"/>
      <c r="E5746" s="2"/>
      <c r="F5746" s="2"/>
      <c r="G5746" s="2"/>
      <c r="H5746" s="2"/>
      <c r="I5746" s="2"/>
      <c r="J5746" s="2"/>
      <c r="K5746" s="2"/>
      <c r="L5746" s="2"/>
      <c r="M5746" s="2"/>
      <c r="N5746" s="2"/>
      <c r="O5746" s="2"/>
      <c r="P5746" s="2"/>
      <c r="Q5746" s="2"/>
      <c r="R5746" s="2"/>
      <c r="S5746" s="2"/>
      <c r="T5746" s="2"/>
      <c r="U5746" s="2"/>
      <c r="V5746" s="2"/>
      <c r="W5746" s="2"/>
    </row>
    <row r="5747" spans="1:23" x14ac:dyDescent="0.25">
      <c r="A5747" s="2"/>
      <c r="B5747" s="2"/>
      <c r="C5747" s="1"/>
      <c r="D5747" s="2"/>
      <c r="E5747" s="2"/>
      <c r="F5747" s="2"/>
      <c r="G5747" s="2"/>
      <c r="H5747" s="2"/>
      <c r="I5747" s="2"/>
      <c r="J5747" s="2"/>
      <c r="K5747" s="2"/>
      <c r="L5747" s="2"/>
      <c r="M5747" s="2"/>
      <c r="N5747" s="2"/>
      <c r="O5747" s="2"/>
      <c r="P5747" s="2"/>
      <c r="Q5747" s="2"/>
      <c r="R5747" s="2"/>
      <c r="S5747" s="2"/>
      <c r="T5747" s="2"/>
      <c r="U5747" s="2"/>
      <c r="V5747" s="2"/>
      <c r="W5747" s="2"/>
    </row>
    <row r="5748" spans="1:23" x14ac:dyDescent="0.25">
      <c r="A5748" s="2"/>
      <c r="B5748" s="2"/>
      <c r="C5748" s="1"/>
      <c r="D5748" s="2"/>
      <c r="E5748" s="2"/>
      <c r="F5748" s="2"/>
      <c r="G5748" s="2"/>
      <c r="H5748" s="2"/>
      <c r="I5748" s="2"/>
      <c r="J5748" s="2"/>
      <c r="K5748" s="2"/>
      <c r="L5748" s="2"/>
      <c r="M5748" s="2"/>
      <c r="N5748" s="2"/>
      <c r="O5748" s="2"/>
      <c r="P5748" s="2"/>
      <c r="Q5748" s="2"/>
      <c r="R5748" s="2"/>
      <c r="S5748" s="2"/>
      <c r="T5748" s="2"/>
      <c r="U5748" s="2"/>
      <c r="V5748" s="2"/>
      <c r="W5748" s="2"/>
    </row>
    <row r="5749" spans="1:23" x14ac:dyDescent="0.25">
      <c r="A5749" s="2"/>
      <c r="B5749" s="2"/>
      <c r="C5749" s="1"/>
      <c r="D5749" s="2"/>
      <c r="E5749" s="2"/>
      <c r="F5749" s="2"/>
      <c r="G5749" s="2"/>
      <c r="H5749" s="2"/>
      <c r="I5749" s="2"/>
      <c r="J5749" s="2"/>
      <c r="K5749" s="2"/>
      <c r="L5749" s="2"/>
      <c r="M5749" s="2"/>
      <c r="N5749" s="2"/>
      <c r="O5749" s="2"/>
      <c r="P5749" s="2"/>
      <c r="Q5749" s="2"/>
      <c r="R5749" s="2"/>
      <c r="S5749" s="2"/>
      <c r="T5749" s="2"/>
      <c r="U5749" s="2"/>
      <c r="V5749" s="2"/>
      <c r="W5749" s="2"/>
    </row>
    <row r="5750" spans="1:23" x14ac:dyDescent="0.25">
      <c r="A5750" s="2"/>
      <c r="B5750" s="2"/>
      <c r="C5750" s="1"/>
      <c r="D5750" s="2"/>
      <c r="E5750" s="2"/>
      <c r="F5750" s="2"/>
      <c r="G5750" s="2"/>
      <c r="H5750" s="2"/>
      <c r="I5750" s="2"/>
      <c r="J5750" s="2"/>
      <c r="K5750" s="2"/>
      <c r="L5750" s="2"/>
      <c r="M5750" s="2"/>
      <c r="N5750" s="2"/>
      <c r="O5750" s="2"/>
      <c r="P5750" s="2"/>
      <c r="Q5750" s="2"/>
      <c r="R5750" s="2"/>
      <c r="S5750" s="2"/>
      <c r="T5750" s="2"/>
      <c r="U5750" s="2"/>
      <c r="V5750" s="2"/>
      <c r="W5750" s="2"/>
    </row>
    <row r="5751" spans="1:23" x14ac:dyDescent="0.25">
      <c r="A5751" s="2"/>
      <c r="B5751" s="2"/>
      <c r="C5751" s="1"/>
      <c r="D5751" s="2"/>
      <c r="E5751" s="2"/>
      <c r="F5751" s="2"/>
      <c r="G5751" s="2"/>
      <c r="H5751" s="2"/>
      <c r="I5751" s="2"/>
      <c r="J5751" s="2"/>
      <c r="K5751" s="2"/>
      <c r="L5751" s="2"/>
      <c r="M5751" s="2"/>
      <c r="N5751" s="2"/>
      <c r="O5751" s="2"/>
      <c r="P5751" s="2"/>
      <c r="Q5751" s="2"/>
      <c r="R5751" s="2"/>
      <c r="S5751" s="2"/>
      <c r="T5751" s="2"/>
      <c r="U5751" s="2"/>
      <c r="V5751" s="2"/>
      <c r="W5751" s="2"/>
    </row>
    <row r="5752" spans="1:23" x14ac:dyDescent="0.25">
      <c r="A5752" s="2"/>
      <c r="B5752" s="2"/>
      <c r="C5752" s="1"/>
      <c r="D5752" s="2"/>
      <c r="E5752" s="2"/>
      <c r="F5752" s="2"/>
      <c r="G5752" s="2"/>
      <c r="H5752" s="2"/>
      <c r="I5752" s="2"/>
      <c r="J5752" s="2"/>
      <c r="K5752" s="2"/>
      <c r="L5752" s="2"/>
      <c r="M5752" s="2"/>
      <c r="N5752" s="2"/>
      <c r="O5752" s="2"/>
      <c r="P5752" s="2"/>
      <c r="Q5752" s="2"/>
      <c r="R5752" s="2"/>
      <c r="S5752" s="2"/>
      <c r="T5752" s="2"/>
      <c r="U5752" s="2"/>
      <c r="V5752" s="2"/>
      <c r="W5752" s="2"/>
    </row>
    <row r="5753" spans="1:23" x14ac:dyDescent="0.25">
      <c r="A5753" s="2"/>
      <c r="B5753" s="2"/>
      <c r="C5753" s="1"/>
      <c r="D5753" s="2"/>
      <c r="E5753" s="2"/>
      <c r="F5753" s="2"/>
      <c r="G5753" s="2"/>
      <c r="H5753" s="2"/>
      <c r="I5753" s="2"/>
      <c r="J5753" s="2"/>
      <c r="K5753" s="2"/>
      <c r="L5753" s="2"/>
      <c r="M5753" s="2"/>
      <c r="N5753" s="2"/>
      <c r="O5753" s="2"/>
      <c r="P5753" s="2"/>
      <c r="Q5753" s="2"/>
      <c r="R5753" s="2"/>
      <c r="S5753" s="2"/>
      <c r="T5753" s="2"/>
      <c r="U5753" s="2"/>
      <c r="V5753" s="2"/>
      <c r="W5753" s="2"/>
    </row>
    <row r="5754" spans="1:23" x14ac:dyDescent="0.25">
      <c r="A5754" s="2"/>
      <c r="B5754" s="2"/>
      <c r="C5754" s="1"/>
      <c r="D5754" s="2"/>
      <c r="E5754" s="2"/>
      <c r="F5754" s="2"/>
      <c r="G5754" s="2"/>
      <c r="H5754" s="2"/>
      <c r="I5754" s="2"/>
      <c r="J5754" s="2"/>
      <c r="K5754" s="2"/>
      <c r="L5754" s="2"/>
      <c r="M5754" s="2"/>
      <c r="N5754" s="2"/>
      <c r="O5754" s="2"/>
      <c r="P5754" s="2"/>
      <c r="Q5754" s="2"/>
      <c r="R5754" s="2"/>
      <c r="S5754" s="2"/>
      <c r="T5754" s="2"/>
      <c r="U5754" s="2"/>
      <c r="V5754" s="2"/>
      <c r="W5754" s="2"/>
    </row>
    <row r="5755" spans="1:23" x14ac:dyDescent="0.25">
      <c r="A5755" s="2"/>
      <c r="B5755" s="2"/>
      <c r="C5755" s="1"/>
      <c r="D5755" s="2"/>
      <c r="E5755" s="2"/>
      <c r="F5755" s="2"/>
      <c r="G5755" s="2"/>
      <c r="H5755" s="2"/>
      <c r="I5755" s="2"/>
      <c r="J5755" s="2"/>
      <c r="K5755" s="2"/>
      <c r="L5755" s="2"/>
      <c r="M5755" s="2"/>
      <c r="N5755" s="2"/>
      <c r="O5755" s="2"/>
      <c r="P5755" s="2"/>
      <c r="Q5755" s="2"/>
      <c r="R5755" s="2"/>
      <c r="S5755" s="2"/>
      <c r="T5755" s="2"/>
      <c r="U5755" s="2"/>
      <c r="V5755" s="2"/>
      <c r="W5755" s="2"/>
    </row>
    <row r="5756" spans="1:23" x14ac:dyDescent="0.25">
      <c r="A5756" s="2"/>
      <c r="B5756" s="2"/>
      <c r="C5756" s="1"/>
      <c r="D5756" s="2"/>
      <c r="E5756" s="2"/>
      <c r="F5756" s="2"/>
      <c r="G5756" s="2"/>
      <c r="H5756" s="2"/>
      <c r="I5756" s="2"/>
      <c r="J5756" s="2"/>
      <c r="K5756" s="2"/>
      <c r="L5756" s="2"/>
      <c r="M5756" s="2"/>
      <c r="N5756" s="2"/>
      <c r="O5756" s="2"/>
      <c r="P5756" s="2"/>
      <c r="Q5756" s="2"/>
      <c r="R5756" s="2"/>
      <c r="S5756" s="2"/>
      <c r="T5756" s="2"/>
      <c r="U5756" s="2"/>
      <c r="V5756" s="2"/>
      <c r="W5756" s="2"/>
    </row>
    <row r="5757" spans="1:23" x14ac:dyDescent="0.25">
      <c r="A5757" s="2"/>
      <c r="B5757" s="2"/>
      <c r="C5757" s="1"/>
      <c r="D5757" s="2"/>
      <c r="E5757" s="2"/>
      <c r="F5757" s="2"/>
      <c r="G5757" s="2"/>
      <c r="H5757" s="2"/>
      <c r="I5757" s="2"/>
      <c r="J5757" s="2"/>
      <c r="K5757" s="2"/>
      <c r="L5757" s="2"/>
      <c r="M5757" s="2"/>
      <c r="N5757" s="2"/>
      <c r="O5757" s="2"/>
      <c r="P5757" s="2"/>
      <c r="Q5757" s="2"/>
      <c r="R5757" s="2"/>
      <c r="S5757" s="2"/>
      <c r="T5757" s="2"/>
      <c r="U5757" s="2"/>
      <c r="V5757" s="2"/>
      <c r="W5757" s="2"/>
    </row>
    <row r="5758" spans="1:23" x14ac:dyDescent="0.25">
      <c r="A5758" s="2"/>
      <c r="B5758" s="2"/>
      <c r="C5758" s="1"/>
      <c r="D5758" s="2"/>
      <c r="E5758" s="2"/>
      <c r="F5758" s="2"/>
      <c r="G5758" s="2"/>
      <c r="H5758" s="2"/>
      <c r="I5758" s="2"/>
      <c r="J5758" s="2"/>
      <c r="K5758" s="2"/>
      <c r="L5758" s="2"/>
      <c r="M5758" s="2"/>
      <c r="N5758" s="2"/>
      <c r="O5758" s="2"/>
      <c r="P5758" s="2"/>
      <c r="Q5758" s="2"/>
      <c r="R5758" s="2"/>
      <c r="S5758" s="2"/>
      <c r="T5758" s="2"/>
      <c r="U5758" s="2"/>
      <c r="V5758" s="2"/>
      <c r="W5758" s="2"/>
    </row>
    <row r="5759" spans="1:23" x14ac:dyDescent="0.25">
      <c r="A5759" s="2"/>
      <c r="B5759" s="2"/>
      <c r="C5759" s="1"/>
      <c r="D5759" s="2"/>
      <c r="E5759" s="2"/>
      <c r="F5759" s="2"/>
      <c r="G5759" s="2"/>
      <c r="H5759" s="2"/>
      <c r="I5759" s="2"/>
      <c r="J5759" s="2"/>
      <c r="K5759" s="2"/>
      <c r="L5759" s="2"/>
      <c r="M5759" s="2"/>
      <c r="N5759" s="2"/>
      <c r="O5759" s="2"/>
      <c r="P5759" s="2"/>
      <c r="Q5759" s="2"/>
      <c r="R5759" s="2"/>
      <c r="S5759" s="2"/>
      <c r="T5759" s="2"/>
      <c r="U5759" s="2"/>
      <c r="V5759" s="2"/>
      <c r="W5759" s="2"/>
    </row>
    <row r="5760" spans="1:23" x14ac:dyDescent="0.25">
      <c r="A5760" s="2"/>
      <c r="B5760" s="2"/>
      <c r="C5760" s="1"/>
      <c r="D5760" s="2"/>
      <c r="E5760" s="2"/>
      <c r="F5760" s="2"/>
      <c r="G5760" s="2"/>
      <c r="H5760" s="2"/>
      <c r="I5760" s="2"/>
      <c r="J5760" s="2"/>
      <c r="K5760" s="2"/>
      <c r="L5760" s="2"/>
      <c r="M5760" s="2"/>
      <c r="N5760" s="2"/>
      <c r="O5760" s="2"/>
      <c r="P5760" s="2"/>
      <c r="Q5760" s="2"/>
      <c r="R5760" s="2"/>
      <c r="S5760" s="2"/>
      <c r="T5760" s="2"/>
      <c r="U5760" s="2"/>
      <c r="V5760" s="2"/>
      <c r="W5760" s="2"/>
    </row>
    <row r="5761" spans="1:23" x14ac:dyDescent="0.25">
      <c r="A5761" s="2"/>
      <c r="B5761" s="2"/>
      <c r="C5761" s="1"/>
      <c r="D5761" s="2"/>
      <c r="E5761" s="2"/>
      <c r="F5761" s="2"/>
      <c r="G5761" s="2"/>
      <c r="H5761" s="2"/>
      <c r="I5761" s="2"/>
      <c r="J5761" s="2"/>
      <c r="K5761" s="2"/>
      <c r="L5761" s="2"/>
      <c r="M5761" s="2"/>
      <c r="N5761" s="2"/>
      <c r="O5761" s="2"/>
      <c r="P5761" s="2"/>
      <c r="Q5761" s="2"/>
      <c r="R5761" s="2"/>
      <c r="S5761" s="2"/>
      <c r="T5761" s="2"/>
      <c r="U5761" s="2"/>
      <c r="V5761" s="2"/>
      <c r="W5761" s="2"/>
    </row>
    <row r="5762" spans="1:23" x14ac:dyDescent="0.25">
      <c r="A5762" s="2"/>
      <c r="B5762" s="2"/>
      <c r="C5762" s="1"/>
      <c r="D5762" s="2"/>
      <c r="E5762" s="2"/>
      <c r="F5762" s="2"/>
      <c r="G5762" s="2"/>
      <c r="H5762" s="2"/>
      <c r="I5762" s="2"/>
      <c r="J5762" s="2"/>
      <c r="K5762" s="2"/>
      <c r="L5762" s="2"/>
      <c r="M5762" s="2"/>
      <c r="N5762" s="2"/>
      <c r="O5762" s="2"/>
      <c r="P5762" s="2"/>
      <c r="Q5762" s="2"/>
      <c r="R5762" s="2"/>
      <c r="S5762" s="2"/>
      <c r="T5762" s="2"/>
      <c r="U5762" s="2"/>
      <c r="V5762" s="2"/>
      <c r="W5762" s="2"/>
    </row>
    <row r="5763" spans="1:23" x14ac:dyDescent="0.25">
      <c r="A5763" s="2"/>
      <c r="B5763" s="2"/>
      <c r="C5763" s="1"/>
      <c r="D5763" s="2"/>
      <c r="E5763" s="2"/>
      <c r="F5763" s="2"/>
      <c r="G5763" s="2"/>
      <c r="H5763" s="2"/>
      <c r="I5763" s="2"/>
      <c r="J5763" s="2"/>
      <c r="K5763" s="2"/>
      <c r="L5763" s="2"/>
      <c r="M5763" s="2"/>
      <c r="N5763" s="2"/>
      <c r="O5763" s="2"/>
      <c r="P5763" s="2"/>
      <c r="Q5763" s="2"/>
      <c r="R5763" s="2"/>
      <c r="S5763" s="2"/>
      <c r="T5763" s="2"/>
      <c r="U5763" s="2"/>
      <c r="V5763" s="2"/>
      <c r="W5763" s="2"/>
    </row>
    <row r="5764" spans="1:23" x14ac:dyDescent="0.25">
      <c r="A5764" s="2"/>
      <c r="B5764" s="2"/>
      <c r="C5764" s="1"/>
      <c r="D5764" s="2"/>
      <c r="E5764" s="2"/>
      <c r="F5764" s="2"/>
      <c r="G5764" s="2"/>
      <c r="H5764" s="2"/>
      <c r="I5764" s="2"/>
      <c r="J5764" s="2"/>
      <c r="K5764" s="2"/>
      <c r="L5764" s="2"/>
      <c r="M5764" s="2"/>
      <c r="N5764" s="2"/>
      <c r="O5764" s="2"/>
      <c r="P5764" s="2"/>
      <c r="Q5764" s="2"/>
      <c r="R5764" s="2"/>
      <c r="S5764" s="2"/>
      <c r="T5764" s="2"/>
      <c r="U5764" s="2"/>
      <c r="V5764" s="2"/>
      <c r="W5764" s="2"/>
    </row>
    <row r="5765" spans="1:23" x14ac:dyDescent="0.25">
      <c r="A5765" s="2"/>
      <c r="B5765" s="2"/>
      <c r="C5765" s="1"/>
      <c r="D5765" s="2"/>
      <c r="E5765" s="2"/>
      <c r="F5765" s="2"/>
      <c r="G5765" s="2"/>
      <c r="H5765" s="2"/>
      <c r="I5765" s="2"/>
      <c r="J5765" s="2"/>
      <c r="K5765" s="2"/>
      <c r="L5765" s="2"/>
      <c r="M5765" s="2"/>
      <c r="N5765" s="2"/>
      <c r="O5765" s="2"/>
      <c r="P5765" s="2"/>
      <c r="Q5765" s="2"/>
      <c r="R5765" s="2"/>
      <c r="S5765" s="2"/>
      <c r="T5765" s="2"/>
      <c r="U5765" s="2"/>
      <c r="V5765" s="2"/>
      <c r="W5765" s="2"/>
    </row>
    <row r="5766" spans="1:23" x14ac:dyDescent="0.25">
      <c r="A5766" s="2"/>
      <c r="B5766" s="2"/>
      <c r="C5766" s="1"/>
      <c r="D5766" s="2"/>
      <c r="E5766" s="2"/>
      <c r="F5766" s="2"/>
      <c r="G5766" s="2"/>
      <c r="H5766" s="2"/>
      <c r="I5766" s="2"/>
      <c r="J5766" s="2"/>
      <c r="K5766" s="2"/>
      <c r="L5766" s="2"/>
      <c r="M5766" s="2"/>
      <c r="N5766" s="2"/>
      <c r="O5766" s="2"/>
      <c r="P5766" s="2"/>
      <c r="Q5766" s="2"/>
      <c r="R5766" s="2"/>
      <c r="S5766" s="2"/>
      <c r="T5766" s="2"/>
      <c r="U5766" s="2"/>
      <c r="V5766" s="2"/>
      <c r="W5766" s="2"/>
    </row>
    <row r="5767" spans="1:23" x14ac:dyDescent="0.25">
      <c r="A5767" s="2"/>
      <c r="B5767" s="2"/>
      <c r="C5767" s="1"/>
      <c r="D5767" s="2"/>
      <c r="E5767" s="2"/>
      <c r="F5767" s="2"/>
      <c r="G5767" s="2"/>
      <c r="H5767" s="2"/>
      <c r="I5767" s="2"/>
      <c r="J5767" s="2"/>
      <c r="K5767" s="2"/>
      <c r="L5767" s="2"/>
      <c r="M5767" s="2"/>
      <c r="N5767" s="2"/>
      <c r="O5767" s="2"/>
      <c r="P5767" s="2"/>
      <c r="Q5767" s="2"/>
      <c r="R5767" s="2"/>
      <c r="S5767" s="2"/>
      <c r="T5767" s="2"/>
      <c r="U5767" s="2"/>
      <c r="V5767" s="2"/>
      <c r="W5767" s="2"/>
    </row>
    <row r="5768" spans="1:23" x14ac:dyDescent="0.25">
      <c r="A5768" s="2"/>
      <c r="B5768" s="2"/>
      <c r="C5768" s="1"/>
      <c r="D5768" s="2"/>
      <c r="E5768" s="2"/>
      <c r="F5768" s="2"/>
      <c r="G5768" s="2"/>
      <c r="H5768" s="2"/>
      <c r="I5768" s="2"/>
      <c r="J5768" s="2"/>
      <c r="K5768" s="2"/>
      <c r="L5768" s="2"/>
      <c r="M5768" s="2"/>
      <c r="N5768" s="2"/>
      <c r="O5768" s="2"/>
      <c r="P5768" s="2"/>
      <c r="Q5768" s="2"/>
      <c r="R5768" s="2"/>
      <c r="S5768" s="2"/>
      <c r="T5768" s="2"/>
      <c r="U5768" s="2"/>
      <c r="V5768" s="2"/>
      <c r="W5768" s="2"/>
    </row>
    <row r="5769" spans="1:23" x14ac:dyDescent="0.25">
      <c r="A5769" s="2"/>
      <c r="B5769" s="2"/>
      <c r="C5769" s="1"/>
      <c r="D5769" s="2"/>
      <c r="E5769" s="2"/>
      <c r="F5769" s="2"/>
      <c r="G5769" s="2"/>
      <c r="H5769" s="2"/>
      <c r="I5769" s="2"/>
      <c r="J5769" s="2"/>
      <c r="K5769" s="2"/>
      <c r="L5769" s="2"/>
      <c r="M5769" s="2"/>
      <c r="N5769" s="2"/>
      <c r="O5769" s="2"/>
      <c r="P5769" s="2"/>
      <c r="Q5769" s="2"/>
      <c r="R5769" s="2"/>
      <c r="S5769" s="2"/>
      <c r="T5769" s="2"/>
      <c r="U5769" s="2"/>
      <c r="V5769" s="2"/>
      <c r="W5769" s="2"/>
    </row>
    <row r="5770" spans="1:23" x14ac:dyDescent="0.25">
      <c r="A5770" s="2"/>
      <c r="B5770" s="2"/>
      <c r="C5770" s="1"/>
      <c r="D5770" s="2"/>
      <c r="E5770" s="2"/>
      <c r="F5770" s="2"/>
      <c r="G5770" s="2"/>
      <c r="H5770" s="2"/>
      <c r="I5770" s="2"/>
      <c r="J5770" s="2"/>
      <c r="K5770" s="2"/>
      <c r="L5770" s="2"/>
      <c r="M5770" s="2"/>
      <c r="N5770" s="2"/>
      <c r="O5770" s="2"/>
      <c r="P5770" s="2"/>
      <c r="Q5770" s="2"/>
      <c r="R5770" s="2"/>
      <c r="S5770" s="2"/>
      <c r="T5770" s="2"/>
      <c r="U5770" s="2"/>
      <c r="V5770" s="2"/>
      <c r="W5770" s="2"/>
    </row>
    <row r="5771" spans="1:23" x14ac:dyDescent="0.25">
      <c r="A5771" s="2"/>
      <c r="B5771" s="2"/>
      <c r="C5771" s="1"/>
      <c r="D5771" s="2"/>
      <c r="E5771" s="2"/>
      <c r="F5771" s="2"/>
      <c r="G5771" s="2"/>
      <c r="H5771" s="2"/>
      <c r="I5771" s="2"/>
      <c r="J5771" s="2"/>
      <c r="K5771" s="2"/>
      <c r="L5771" s="2"/>
      <c r="M5771" s="2"/>
      <c r="N5771" s="2"/>
      <c r="O5771" s="2"/>
      <c r="P5771" s="2"/>
      <c r="Q5771" s="2"/>
      <c r="R5771" s="2"/>
      <c r="S5771" s="2"/>
      <c r="T5771" s="2"/>
      <c r="U5771" s="2"/>
      <c r="V5771" s="2"/>
      <c r="W5771" s="2"/>
    </row>
    <row r="5772" spans="1:23" x14ac:dyDescent="0.25">
      <c r="A5772" s="2"/>
      <c r="B5772" s="2"/>
      <c r="C5772" s="1"/>
      <c r="D5772" s="2"/>
      <c r="E5772" s="2"/>
      <c r="F5772" s="2"/>
      <c r="G5772" s="2"/>
      <c r="H5772" s="2"/>
      <c r="I5772" s="2"/>
      <c r="J5772" s="2"/>
      <c r="K5772" s="2"/>
      <c r="L5772" s="2"/>
      <c r="M5772" s="2"/>
      <c r="N5772" s="2"/>
      <c r="O5772" s="2"/>
      <c r="P5772" s="2"/>
      <c r="Q5772" s="2"/>
      <c r="R5772" s="2"/>
      <c r="S5772" s="2"/>
      <c r="T5772" s="2"/>
      <c r="U5772" s="2"/>
      <c r="V5772" s="2"/>
      <c r="W5772" s="2"/>
    </row>
    <row r="5773" spans="1:23" x14ac:dyDescent="0.25">
      <c r="A5773" s="2"/>
      <c r="B5773" s="2"/>
      <c r="C5773" s="1"/>
      <c r="D5773" s="2"/>
      <c r="E5773" s="2"/>
      <c r="F5773" s="2"/>
      <c r="G5773" s="2"/>
      <c r="H5773" s="2"/>
      <c r="I5773" s="2"/>
      <c r="J5773" s="2"/>
      <c r="K5773" s="2"/>
      <c r="L5773" s="2"/>
      <c r="M5773" s="2"/>
      <c r="N5773" s="2"/>
      <c r="O5773" s="2"/>
      <c r="P5773" s="2"/>
      <c r="Q5773" s="2"/>
      <c r="R5773" s="2"/>
      <c r="S5773" s="2"/>
      <c r="T5773" s="2"/>
      <c r="U5773" s="2"/>
      <c r="V5773" s="2"/>
      <c r="W5773" s="2"/>
    </row>
    <row r="5774" spans="1:23" x14ac:dyDescent="0.25">
      <c r="A5774" s="2"/>
      <c r="B5774" s="2"/>
      <c r="C5774" s="1"/>
      <c r="D5774" s="2"/>
      <c r="E5774" s="2"/>
      <c r="F5774" s="2"/>
      <c r="G5774" s="2"/>
      <c r="H5774" s="2"/>
      <c r="I5774" s="2"/>
      <c r="J5774" s="2"/>
      <c r="K5774" s="2"/>
      <c r="L5774" s="2"/>
      <c r="M5774" s="2"/>
      <c r="N5774" s="2"/>
      <c r="O5774" s="2"/>
      <c r="P5774" s="2"/>
      <c r="Q5774" s="2"/>
      <c r="R5774" s="2"/>
      <c r="S5774" s="2"/>
      <c r="T5774" s="2"/>
      <c r="U5774" s="2"/>
      <c r="V5774" s="2"/>
      <c r="W5774" s="2"/>
    </row>
    <row r="5775" spans="1:23" x14ac:dyDescent="0.25">
      <c r="A5775" s="2"/>
      <c r="B5775" s="2"/>
      <c r="C5775" s="1"/>
      <c r="D5775" s="2"/>
      <c r="E5775" s="2"/>
      <c r="F5775" s="2"/>
      <c r="G5775" s="2"/>
      <c r="H5775" s="2"/>
      <c r="I5775" s="2"/>
      <c r="J5775" s="2"/>
      <c r="K5775" s="2"/>
      <c r="L5775" s="2"/>
      <c r="M5775" s="2"/>
      <c r="N5775" s="2"/>
      <c r="O5775" s="2"/>
      <c r="P5775" s="2"/>
      <c r="Q5775" s="2"/>
      <c r="R5775" s="2"/>
      <c r="S5775" s="2"/>
      <c r="T5775" s="2"/>
      <c r="U5775" s="2"/>
      <c r="V5775" s="2"/>
      <c r="W5775" s="2"/>
    </row>
    <row r="5776" spans="1:23" x14ac:dyDescent="0.25">
      <c r="A5776" s="2"/>
      <c r="B5776" s="2"/>
      <c r="C5776" s="1"/>
      <c r="D5776" s="2"/>
      <c r="E5776" s="2"/>
      <c r="F5776" s="2"/>
      <c r="G5776" s="2"/>
      <c r="H5776" s="2"/>
      <c r="I5776" s="2"/>
      <c r="J5776" s="2"/>
      <c r="K5776" s="2"/>
      <c r="L5776" s="2"/>
      <c r="M5776" s="2"/>
      <c r="N5776" s="2"/>
      <c r="O5776" s="2"/>
      <c r="P5776" s="2"/>
      <c r="Q5776" s="2"/>
      <c r="R5776" s="2"/>
      <c r="S5776" s="2"/>
      <c r="T5776" s="2"/>
      <c r="U5776" s="2"/>
      <c r="V5776" s="2"/>
      <c r="W5776" s="2"/>
    </row>
    <row r="5777" spans="1:23" x14ac:dyDescent="0.25">
      <c r="A5777" s="2"/>
      <c r="B5777" s="2"/>
      <c r="C5777" s="1"/>
      <c r="D5777" s="2"/>
      <c r="E5777" s="2"/>
      <c r="F5777" s="2"/>
      <c r="G5777" s="2"/>
      <c r="H5777" s="2"/>
      <c r="I5777" s="2"/>
      <c r="J5777" s="2"/>
      <c r="K5777" s="2"/>
      <c r="L5777" s="2"/>
      <c r="M5777" s="2"/>
      <c r="N5777" s="2"/>
      <c r="O5777" s="2"/>
      <c r="P5777" s="2"/>
      <c r="Q5777" s="2"/>
      <c r="R5777" s="2"/>
      <c r="S5777" s="2"/>
      <c r="T5777" s="2"/>
      <c r="U5777" s="2"/>
      <c r="V5777" s="2"/>
      <c r="W5777" s="2"/>
    </row>
    <row r="5778" spans="1:23" x14ac:dyDescent="0.25">
      <c r="A5778" s="2"/>
      <c r="B5778" s="2"/>
      <c r="C5778" s="1"/>
      <c r="D5778" s="2"/>
      <c r="E5778" s="2"/>
      <c r="F5778" s="2"/>
      <c r="G5778" s="2"/>
      <c r="H5778" s="2"/>
      <c r="I5778" s="2"/>
      <c r="J5778" s="2"/>
      <c r="K5778" s="2"/>
      <c r="L5778" s="2"/>
      <c r="M5778" s="2"/>
      <c r="N5778" s="2"/>
      <c r="O5778" s="2"/>
      <c r="P5778" s="2"/>
      <c r="Q5778" s="2"/>
      <c r="R5778" s="2"/>
      <c r="S5778" s="2"/>
      <c r="T5778" s="2"/>
      <c r="U5778" s="2"/>
      <c r="V5778" s="2"/>
      <c r="W5778" s="2"/>
    </row>
    <row r="5779" spans="1:23" x14ac:dyDescent="0.25">
      <c r="A5779" s="2"/>
      <c r="B5779" s="2"/>
      <c r="C5779" s="1"/>
      <c r="D5779" s="2"/>
      <c r="E5779" s="2"/>
      <c r="F5779" s="2"/>
      <c r="G5779" s="2"/>
      <c r="H5779" s="2"/>
      <c r="I5779" s="2"/>
      <c r="J5779" s="2"/>
      <c r="K5779" s="2"/>
      <c r="L5779" s="2"/>
      <c r="M5779" s="2"/>
      <c r="N5779" s="2"/>
      <c r="O5779" s="2"/>
      <c r="P5779" s="2"/>
      <c r="Q5779" s="2"/>
      <c r="R5779" s="2"/>
      <c r="S5779" s="2"/>
      <c r="T5779" s="2"/>
      <c r="U5779" s="2"/>
      <c r="V5779" s="2"/>
      <c r="W5779" s="2"/>
    </row>
    <row r="5780" spans="1:23" x14ac:dyDescent="0.25">
      <c r="A5780" s="2"/>
      <c r="B5780" s="2"/>
      <c r="C5780" s="1"/>
      <c r="D5780" s="2"/>
      <c r="E5780" s="2"/>
      <c r="F5780" s="2"/>
      <c r="G5780" s="2"/>
      <c r="H5780" s="2"/>
      <c r="I5780" s="2"/>
      <c r="J5780" s="2"/>
      <c r="K5780" s="2"/>
      <c r="L5780" s="2"/>
      <c r="M5780" s="2"/>
      <c r="N5780" s="2"/>
      <c r="O5780" s="2"/>
      <c r="P5780" s="2"/>
      <c r="Q5780" s="2"/>
      <c r="R5780" s="2"/>
      <c r="S5780" s="2"/>
      <c r="T5780" s="2"/>
      <c r="U5780" s="2"/>
      <c r="V5780" s="2"/>
      <c r="W5780" s="2"/>
    </row>
    <row r="5781" spans="1:23" x14ac:dyDescent="0.25">
      <c r="A5781" s="2"/>
      <c r="B5781" s="2"/>
      <c r="C5781" s="1"/>
      <c r="D5781" s="2"/>
      <c r="E5781" s="2"/>
      <c r="F5781" s="2"/>
      <c r="G5781" s="2"/>
      <c r="H5781" s="2"/>
      <c r="I5781" s="2"/>
      <c r="J5781" s="2"/>
      <c r="K5781" s="2"/>
      <c r="L5781" s="2"/>
      <c r="M5781" s="2"/>
      <c r="N5781" s="2"/>
      <c r="O5781" s="2"/>
      <c r="P5781" s="2"/>
      <c r="Q5781" s="2"/>
      <c r="R5781" s="2"/>
      <c r="S5781" s="2"/>
      <c r="T5781" s="2"/>
      <c r="U5781" s="2"/>
      <c r="V5781" s="2"/>
      <c r="W5781" s="2"/>
    </row>
    <row r="5782" spans="1:23" x14ac:dyDescent="0.25">
      <c r="A5782" s="2"/>
      <c r="B5782" s="2"/>
      <c r="C5782" s="1"/>
      <c r="D5782" s="2"/>
      <c r="E5782" s="2"/>
      <c r="F5782" s="2"/>
      <c r="G5782" s="2"/>
      <c r="H5782" s="2"/>
      <c r="I5782" s="2"/>
      <c r="J5782" s="2"/>
      <c r="K5782" s="2"/>
      <c r="L5782" s="2"/>
      <c r="M5782" s="2"/>
      <c r="N5782" s="2"/>
      <c r="O5782" s="2"/>
      <c r="P5782" s="2"/>
      <c r="Q5782" s="2"/>
      <c r="R5782" s="2"/>
      <c r="S5782" s="2"/>
      <c r="T5782" s="2"/>
      <c r="U5782" s="2"/>
      <c r="V5782" s="2"/>
      <c r="W5782" s="2"/>
    </row>
    <row r="5783" spans="1:23" x14ac:dyDescent="0.25">
      <c r="A5783" s="2"/>
      <c r="B5783" s="2"/>
      <c r="C5783" s="1"/>
      <c r="D5783" s="2"/>
      <c r="E5783" s="2"/>
      <c r="F5783" s="2"/>
      <c r="G5783" s="2"/>
      <c r="H5783" s="2"/>
      <c r="I5783" s="2"/>
      <c r="J5783" s="2"/>
      <c r="K5783" s="2"/>
      <c r="L5783" s="2"/>
      <c r="M5783" s="2"/>
      <c r="N5783" s="2"/>
      <c r="O5783" s="2"/>
      <c r="P5783" s="2"/>
      <c r="Q5783" s="2"/>
      <c r="R5783" s="2"/>
      <c r="S5783" s="2"/>
      <c r="T5783" s="2"/>
      <c r="U5783" s="2"/>
      <c r="V5783" s="2"/>
      <c r="W5783" s="2"/>
    </row>
    <row r="5784" spans="1:23" x14ac:dyDescent="0.25">
      <c r="A5784" s="2"/>
      <c r="B5784" s="2"/>
      <c r="C5784" s="1"/>
      <c r="D5784" s="2"/>
      <c r="E5784" s="2"/>
      <c r="F5784" s="2"/>
      <c r="G5784" s="2"/>
      <c r="H5784" s="2"/>
      <c r="I5784" s="2"/>
      <c r="J5784" s="2"/>
      <c r="K5784" s="2"/>
      <c r="L5784" s="2"/>
      <c r="M5784" s="2"/>
      <c r="N5784" s="2"/>
      <c r="O5784" s="2"/>
      <c r="P5784" s="2"/>
      <c r="Q5784" s="2"/>
      <c r="R5784" s="2"/>
      <c r="S5784" s="2"/>
      <c r="T5784" s="2"/>
      <c r="U5784" s="2"/>
      <c r="V5784" s="2"/>
      <c r="W5784" s="2"/>
    </row>
    <row r="5785" spans="1:23" x14ac:dyDescent="0.25">
      <c r="A5785" s="2"/>
      <c r="B5785" s="2"/>
      <c r="C5785" s="1"/>
      <c r="D5785" s="2"/>
      <c r="E5785" s="2"/>
      <c r="F5785" s="2"/>
      <c r="G5785" s="2"/>
      <c r="H5785" s="2"/>
      <c r="I5785" s="2"/>
      <c r="J5785" s="2"/>
      <c r="K5785" s="2"/>
      <c r="L5785" s="2"/>
      <c r="M5785" s="2"/>
      <c r="N5785" s="2"/>
      <c r="O5785" s="2"/>
      <c r="P5785" s="2"/>
      <c r="Q5785" s="2"/>
      <c r="R5785" s="2"/>
      <c r="S5785" s="2"/>
      <c r="T5785" s="2"/>
      <c r="U5785" s="2"/>
      <c r="V5785" s="2"/>
      <c r="W5785" s="2"/>
    </row>
    <row r="5786" spans="1:23" x14ac:dyDescent="0.25">
      <c r="A5786" s="2"/>
      <c r="B5786" s="2"/>
      <c r="C5786" s="1"/>
      <c r="D5786" s="2"/>
      <c r="E5786" s="2"/>
      <c r="F5786" s="2"/>
      <c r="G5786" s="2"/>
      <c r="H5786" s="2"/>
      <c r="I5786" s="2"/>
      <c r="J5786" s="2"/>
      <c r="K5786" s="2"/>
      <c r="L5786" s="2"/>
      <c r="M5786" s="2"/>
      <c r="N5786" s="2"/>
      <c r="O5786" s="2"/>
      <c r="P5786" s="2"/>
      <c r="Q5786" s="2"/>
      <c r="R5786" s="2"/>
      <c r="S5786" s="2"/>
      <c r="T5786" s="2"/>
      <c r="U5786" s="2"/>
      <c r="V5786" s="2"/>
      <c r="W5786" s="2"/>
    </row>
    <row r="5787" spans="1:23" x14ac:dyDescent="0.25">
      <c r="A5787" s="2"/>
      <c r="B5787" s="2"/>
      <c r="C5787" s="1"/>
      <c r="D5787" s="2"/>
      <c r="E5787" s="2"/>
      <c r="F5787" s="2"/>
      <c r="G5787" s="2"/>
      <c r="H5787" s="2"/>
      <c r="I5787" s="2"/>
      <c r="J5787" s="2"/>
      <c r="K5787" s="2"/>
      <c r="L5787" s="2"/>
      <c r="M5787" s="2"/>
      <c r="N5787" s="2"/>
      <c r="O5787" s="2"/>
      <c r="P5787" s="2"/>
      <c r="Q5787" s="2"/>
      <c r="R5787" s="2"/>
      <c r="S5787" s="2"/>
      <c r="T5787" s="2"/>
      <c r="U5787" s="2"/>
      <c r="V5787" s="2"/>
      <c r="W5787" s="2"/>
    </row>
    <row r="5788" spans="1:23" x14ac:dyDescent="0.25">
      <c r="A5788" s="2"/>
      <c r="B5788" s="2"/>
      <c r="C5788" s="1"/>
      <c r="D5788" s="2"/>
      <c r="E5788" s="2"/>
      <c r="F5788" s="2"/>
      <c r="G5788" s="2"/>
      <c r="H5788" s="2"/>
      <c r="I5788" s="2"/>
      <c r="J5788" s="2"/>
      <c r="K5788" s="2"/>
      <c r="L5788" s="2"/>
      <c r="M5788" s="2"/>
      <c r="N5788" s="2"/>
      <c r="O5788" s="2"/>
      <c r="P5788" s="2"/>
      <c r="Q5788" s="2"/>
      <c r="R5788" s="2"/>
      <c r="S5788" s="2"/>
      <c r="T5788" s="2"/>
      <c r="U5788" s="2"/>
      <c r="V5788" s="2"/>
      <c r="W5788" s="2"/>
    </row>
    <row r="5789" spans="1:23" x14ac:dyDescent="0.25">
      <c r="A5789" s="2"/>
      <c r="B5789" s="2"/>
      <c r="C5789" s="1"/>
      <c r="D5789" s="2"/>
      <c r="E5789" s="2"/>
      <c r="F5789" s="2"/>
      <c r="G5789" s="2"/>
      <c r="H5789" s="2"/>
      <c r="I5789" s="2"/>
      <c r="J5789" s="2"/>
      <c r="K5789" s="2"/>
      <c r="L5789" s="2"/>
      <c r="M5789" s="2"/>
      <c r="N5789" s="2"/>
      <c r="O5789" s="2"/>
      <c r="P5789" s="2"/>
      <c r="Q5789" s="2"/>
      <c r="R5789" s="2"/>
      <c r="S5789" s="2"/>
      <c r="T5789" s="2"/>
      <c r="U5789" s="2"/>
      <c r="V5789" s="2"/>
      <c r="W5789" s="2"/>
    </row>
    <row r="5790" spans="1:23" x14ac:dyDescent="0.25">
      <c r="A5790" s="2"/>
      <c r="B5790" s="2"/>
      <c r="C5790" s="1"/>
      <c r="D5790" s="2"/>
      <c r="E5790" s="2"/>
      <c r="F5790" s="2"/>
      <c r="G5790" s="2"/>
      <c r="H5790" s="2"/>
      <c r="I5790" s="2"/>
      <c r="J5790" s="2"/>
      <c r="K5790" s="2"/>
      <c r="L5790" s="2"/>
      <c r="M5790" s="2"/>
      <c r="N5790" s="2"/>
      <c r="O5790" s="2"/>
      <c r="P5790" s="2"/>
      <c r="Q5790" s="2"/>
      <c r="R5790" s="2"/>
      <c r="S5790" s="2"/>
      <c r="T5790" s="2"/>
      <c r="U5790" s="2"/>
      <c r="V5790" s="2"/>
      <c r="W5790" s="2"/>
    </row>
    <row r="5791" spans="1:23" x14ac:dyDescent="0.25">
      <c r="A5791" s="2"/>
      <c r="B5791" s="2"/>
      <c r="C5791" s="1"/>
      <c r="D5791" s="2"/>
      <c r="E5791" s="2"/>
      <c r="F5791" s="2"/>
      <c r="G5791" s="2"/>
      <c r="H5791" s="2"/>
      <c r="I5791" s="2"/>
      <c r="J5791" s="2"/>
      <c r="K5791" s="2"/>
      <c r="L5791" s="2"/>
      <c r="M5791" s="2"/>
      <c r="N5791" s="2"/>
      <c r="O5791" s="2"/>
      <c r="P5791" s="2"/>
      <c r="Q5791" s="2"/>
      <c r="R5791" s="2"/>
      <c r="S5791" s="2"/>
      <c r="T5791" s="2"/>
      <c r="U5791" s="2"/>
      <c r="V5791" s="2"/>
      <c r="W5791" s="2"/>
    </row>
    <row r="5792" spans="1:23" x14ac:dyDescent="0.25">
      <c r="A5792" s="2"/>
      <c r="B5792" s="2"/>
      <c r="C5792" s="1"/>
      <c r="D5792" s="2"/>
      <c r="E5792" s="2"/>
      <c r="F5792" s="2"/>
      <c r="G5792" s="2"/>
      <c r="H5792" s="2"/>
      <c r="I5792" s="2"/>
      <c r="J5792" s="2"/>
      <c r="K5792" s="2"/>
      <c r="L5792" s="2"/>
      <c r="M5792" s="2"/>
      <c r="N5792" s="2"/>
      <c r="O5792" s="2"/>
      <c r="P5792" s="2"/>
      <c r="Q5792" s="2"/>
      <c r="R5792" s="2"/>
      <c r="S5792" s="2"/>
      <c r="T5792" s="2"/>
      <c r="U5792" s="2"/>
      <c r="V5792" s="2"/>
      <c r="W5792" s="2"/>
    </row>
    <row r="5793" spans="1:23" x14ac:dyDescent="0.25">
      <c r="A5793" s="2"/>
      <c r="B5793" s="2"/>
      <c r="C5793" s="1"/>
      <c r="D5793" s="2"/>
      <c r="E5793" s="2"/>
      <c r="F5793" s="2"/>
      <c r="G5793" s="2"/>
      <c r="H5793" s="2"/>
      <c r="I5793" s="2"/>
      <c r="J5793" s="2"/>
      <c r="K5793" s="2"/>
      <c r="L5793" s="2"/>
      <c r="M5793" s="2"/>
      <c r="N5793" s="2"/>
      <c r="O5793" s="2"/>
      <c r="P5793" s="2"/>
      <c r="Q5793" s="2"/>
      <c r="R5793" s="2"/>
      <c r="S5793" s="2"/>
      <c r="T5793" s="2"/>
      <c r="U5793" s="2"/>
      <c r="V5793" s="2"/>
      <c r="W5793" s="2"/>
    </row>
    <row r="5794" spans="1:23" x14ac:dyDescent="0.25">
      <c r="A5794" s="2"/>
      <c r="B5794" s="2"/>
      <c r="C5794" s="1"/>
      <c r="D5794" s="2"/>
      <c r="E5794" s="2"/>
      <c r="F5794" s="2"/>
      <c r="G5794" s="2"/>
      <c r="H5794" s="2"/>
      <c r="I5794" s="2"/>
      <c r="J5794" s="2"/>
      <c r="K5794" s="2"/>
      <c r="L5794" s="2"/>
      <c r="M5794" s="2"/>
      <c r="N5794" s="2"/>
      <c r="O5794" s="2"/>
      <c r="P5794" s="2"/>
      <c r="Q5794" s="2"/>
      <c r="R5794" s="2"/>
      <c r="S5794" s="2"/>
      <c r="T5794" s="2"/>
      <c r="U5794" s="2"/>
      <c r="V5794" s="2"/>
      <c r="W5794" s="2"/>
    </row>
    <row r="5795" spans="1:23" x14ac:dyDescent="0.25">
      <c r="A5795" s="2"/>
      <c r="B5795" s="2"/>
      <c r="C5795" s="1"/>
      <c r="D5795" s="2"/>
      <c r="E5795" s="2"/>
      <c r="F5795" s="2"/>
      <c r="G5795" s="2"/>
      <c r="H5795" s="2"/>
      <c r="I5795" s="2"/>
      <c r="J5795" s="2"/>
      <c r="K5795" s="2"/>
      <c r="L5795" s="2"/>
      <c r="M5795" s="2"/>
      <c r="N5795" s="2"/>
      <c r="O5795" s="2"/>
      <c r="P5795" s="2"/>
      <c r="Q5795" s="2"/>
      <c r="R5795" s="2"/>
      <c r="S5795" s="2"/>
      <c r="T5795" s="2"/>
      <c r="U5795" s="2"/>
      <c r="V5795" s="2"/>
      <c r="W5795" s="2"/>
    </row>
    <row r="5796" spans="1:23" x14ac:dyDescent="0.25">
      <c r="A5796" s="2"/>
      <c r="B5796" s="2"/>
      <c r="C5796" s="1"/>
      <c r="D5796" s="2"/>
      <c r="E5796" s="2"/>
      <c r="F5796" s="2"/>
      <c r="G5796" s="2"/>
      <c r="H5796" s="2"/>
      <c r="I5796" s="2"/>
      <c r="J5796" s="2"/>
      <c r="K5796" s="2"/>
      <c r="L5796" s="2"/>
      <c r="M5796" s="2"/>
      <c r="N5796" s="2"/>
      <c r="O5796" s="2"/>
      <c r="P5796" s="2"/>
      <c r="Q5796" s="2"/>
      <c r="R5796" s="2"/>
      <c r="S5796" s="2"/>
      <c r="T5796" s="2"/>
      <c r="U5796" s="2"/>
      <c r="V5796" s="2"/>
      <c r="W5796" s="2"/>
    </row>
    <row r="5797" spans="1:23" x14ac:dyDescent="0.25">
      <c r="A5797" s="2"/>
      <c r="B5797" s="2"/>
      <c r="C5797" s="1"/>
      <c r="D5797" s="2"/>
      <c r="E5797" s="2"/>
      <c r="F5797" s="2"/>
      <c r="G5797" s="2"/>
      <c r="H5797" s="2"/>
      <c r="I5797" s="2"/>
      <c r="J5797" s="2"/>
      <c r="K5797" s="2"/>
      <c r="L5797" s="2"/>
      <c r="M5797" s="2"/>
      <c r="N5797" s="2"/>
      <c r="O5797" s="2"/>
      <c r="P5797" s="2"/>
      <c r="Q5797" s="2"/>
      <c r="R5797" s="2"/>
      <c r="S5797" s="2"/>
      <c r="T5797" s="2"/>
      <c r="U5797" s="2"/>
      <c r="V5797" s="2"/>
      <c r="W5797" s="2"/>
    </row>
    <row r="5798" spans="1:23" x14ac:dyDescent="0.25">
      <c r="A5798" s="2"/>
      <c r="B5798" s="2"/>
      <c r="C5798" s="1"/>
      <c r="D5798" s="2"/>
      <c r="E5798" s="2"/>
      <c r="F5798" s="2"/>
      <c r="G5798" s="2"/>
      <c r="H5798" s="2"/>
      <c r="I5798" s="2"/>
      <c r="J5798" s="2"/>
      <c r="K5798" s="2"/>
      <c r="L5798" s="2"/>
      <c r="M5798" s="2"/>
      <c r="N5798" s="2"/>
      <c r="O5798" s="2"/>
      <c r="P5798" s="2"/>
      <c r="Q5798" s="2"/>
      <c r="R5798" s="2"/>
      <c r="S5798" s="2"/>
      <c r="T5798" s="2"/>
      <c r="U5798" s="2"/>
      <c r="V5798" s="2"/>
      <c r="W5798" s="2"/>
    </row>
    <row r="5799" spans="1:23" x14ac:dyDescent="0.25">
      <c r="A5799" s="2"/>
      <c r="B5799" s="2"/>
      <c r="C5799" s="1"/>
      <c r="D5799" s="2"/>
      <c r="E5799" s="2"/>
      <c r="F5799" s="2"/>
      <c r="G5799" s="2"/>
      <c r="H5799" s="2"/>
      <c r="I5799" s="2"/>
      <c r="J5799" s="2"/>
      <c r="K5799" s="2"/>
      <c r="L5799" s="2"/>
      <c r="M5799" s="2"/>
      <c r="N5799" s="2"/>
      <c r="O5799" s="2"/>
      <c r="P5799" s="2"/>
      <c r="Q5799" s="2"/>
      <c r="R5799" s="2"/>
      <c r="S5799" s="2"/>
      <c r="T5799" s="2"/>
      <c r="U5799" s="2"/>
      <c r="V5799" s="2"/>
      <c r="W5799" s="2"/>
    </row>
    <row r="5800" spans="1:23" x14ac:dyDescent="0.25">
      <c r="A5800" s="2"/>
      <c r="B5800" s="2"/>
      <c r="C5800" s="1"/>
      <c r="D5800" s="2"/>
      <c r="E5800" s="2"/>
      <c r="F5800" s="2"/>
      <c r="G5800" s="2"/>
      <c r="H5800" s="2"/>
      <c r="I5800" s="2"/>
      <c r="J5800" s="2"/>
      <c r="K5800" s="2"/>
      <c r="L5800" s="2"/>
      <c r="M5800" s="2"/>
      <c r="N5800" s="2"/>
      <c r="O5800" s="2"/>
      <c r="P5800" s="2"/>
      <c r="Q5800" s="2"/>
      <c r="R5800" s="2"/>
      <c r="S5800" s="2"/>
      <c r="T5800" s="2"/>
      <c r="U5800" s="2"/>
      <c r="V5800" s="2"/>
      <c r="W5800" s="2"/>
    </row>
    <row r="5801" spans="1:23" x14ac:dyDescent="0.25">
      <c r="A5801" s="2"/>
      <c r="B5801" s="2"/>
      <c r="C5801" s="1"/>
      <c r="D5801" s="2"/>
      <c r="E5801" s="2"/>
      <c r="F5801" s="2"/>
      <c r="G5801" s="2"/>
      <c r="H5801" s="2"/>
      <c r="I5801" s="2"/>
      <c r="J5801" s="2"/>
      <c r="K5801" s="2"/>
      <c r="L5801" s="2"/>
      <c r="M5801" s="2"/>
      <c r="N5801" s="2"/>
      <c r="O5801" s="2"/>
      <c r="P5801" s="2"/>
      <c r="Q5801" s="2"/>
      <c r="R5801" s="2"/>
      <c r="S5801" s="2"/>
      <c r="T5801" s="2"/>
      <c r="U5801" s="2"/>
      <c r="V5801" s="2"/>
      <c r="W5801" s="2"/>
    </row>
    <row r="5802" spans="1:23" x14ac:dyDescent="0.25">
      <c r="A5802" s="2"/>
      <c r="B5802" s="2"/>
      <c r="C5802" s="1"/>
      <c r="D5802" s="2"/>
      <c r="E5802" s="2"/>
      <c r="F5802" s="2"/>
      <c r="G5802" s="2"/>
      <c r="H5802" s="2"/>
      <c r="I5802" s="2"/>
      <c r="J5802" s="2"/>
      <c r="K5802" s="2"/>
      <c r="L5802" s="2"/>
      <c r="M5802" s="2"/>
      <c r="N5802" s="2"/>
      <c r="O5802" s="2"/>
      <c r="P5802" s="2"/>
      <c r="Q5802" s="2"/>
      <c r="R5802" s="2"/>
      <c r="S5802" s="2"/>
      <c r="T5802" s="2"/>
      <c r="U5802" s="2"/>
      <c r="V5802" s="2"/>
      <c r="W5802" s="2"/>
    </row>
    <row r="5803" spans="1:23" x14ac:dyDescent="0.25">
      <c r="A5803" s="2"/>
      <c r="B5803" s="2"/>
      <c r="C5803" s="1"/>
      <c r="D5803" s="2"/>
      <c r="E5803" s="2"/>
      <c r="F5803" s="2"/>
      <c r="G5803" s="2"/>
      <c r="H5803" s="2"/>
      <c r="I5803" s="2"/>
      <c r="J5803" s="2"/>
      <c r="K5803" s="2"/>
      <c r="L5803" s="2"/>
      <c r="M5803" s="2"/>
      <c r="N5803" s="2"/>
      <c r="O5803" s="2"/>
      <c r="P5803" s="2"/>
      <c r="Q5803" s="2"/>
      <c r="R5803" s="2"/>
      <c r="S5803" s="2"/>
      <c r="T5803" s="2"/>
      <c r="U5803" s="2"/>
      <c r="V5803" s="2"/>
      <c r="W5803" s="2"/>
    </row>
    <row r="5804" spans="1:23" x14ac:dyDescent="0.25">
      <c r="A5804" s="2"/>
      <c r="B5804" s="2"/>
      <c r="C5804" s="1"/>
      <c r="D5804" s="2"/>
      <c r="E5804" s="2"/>
      <c r="F5804" s="2"/>
      <c r="G5804" s="2"/>
      <c r="H5804" s="2"/>
      <c r="I5804" s="2"/>
      <c r="J5804" s="2"/>
      <c r="K5804" s="2"/>
      <c r="L5804" s="2"/>
      <c r="M5804" s="2"/>
      <c r="N5804" s="2"/>
      <c r="O5804" s="2"/>
      <c r="P5804" s="2"/>
      <c r="Q5804" s="2"/>
      <c r="R5804" s="2"/>
      <c r="S5804" s="2"/>
      <c r="T5804" s="2"/>
      <c r="U5804" s="2"/>
      <c r="V5804" s="2"/>
      <c r="W5804" s="2"/>
    </row>
    <row r="5805" spans="1:23" x14ac:dyDescent="0.25">
      <c r="A5805" s="2"/>
      <c r="B5805" s="2"/>
      <c r="C5805" s="1"/>
      <c r="D5805" s="2"/>
      <c r="E5805" s="2"/>
      <c r="F5805" s="2"/>
      <c r="G5805" s="2"/>
      <c r="H5805" s="2"/>
      <c r="I5805" s="2"/>
      <c r="J5805" s="2"/>
      <c r="K5805" s="2"/>
      <c r="L5805" s="2"/>
      <c r="M5805" s="2"/>
      <c r="N5805" s="2"/>
      <c r="O5805" s="2"/>
      <c r="P5805" s="2"/>
      <c r="Q5805" s="2"/>
      <c r="R5805" s="2"/>
      <c r="S5805" s="2"/>
      <c r="T5805" s="2"/>
      <c r="U5805" s="2"/>
      <c r="V5805" s="2"/>
      <c r="W5805" s="2"/>
    </row>
    <row r="5806" spans="1:23" x14ac:dyDescent="0.25">
      <c r="A5806" s="2"/>
      <c r="B5806" s="2"/>
      <c r="C5806" s="1"/>
      <c r="D5806" s="2"/>
      <c r="E5806" s="2"/>
      <c r="F5806" s="2"/>
      <c r="G5806" s="2"/>
      <c r="H5806" s="2"/>
      <c r="I5806" s="2"/>
      <c r="J5806" s="2"/>
      <c r="K5806" s="2"/>
      <c r="L5806" s="2"/>
      <c r="M5806" s="2"/>
      <c r="N5806" s="2"/>
      <c r="O5806" s="2"/>
      <c r="P5806" s="2"/>
      <c r="Q5806" s="2"/>
      <c r="R5806" s="2"/>
      <c r="S5806" s="2"/>
      <c r="T5806" s="2"/>
      <c r="U5806" s="2"/>
      <c r="V5806" s="2"/>
      <c r="W5806" s="2"/>
    </row>
    <row r="5807" spans="1:23" x14ac:dyDescent="0.25">
      <c r="A5807" s="2"/>
      <c r="B5807" s="2"/>
      <c r="C5807" s="1"/>
      <c r="D5807" s="2"/>
      <c r="E5807" s="2"/>
      <c r="F5807" s="2"/>
      <c r="G5807" s="2"/>
      <c r="H5807" s="2"/>
      <c r="I5807" s="2"/>
      <c r="J5807" s="2"/>
      <c r="K5807" s="2"/>
      <c r="L5807" s="2"/>
      <c r="M5807" s="2"/>
      <c r="N5807" s="2"/>
      <c r="O5807" s="2"/>
      <c r="P5807" s="2"/>
      <c r="Q5807" s="2"/>
      <c r="R5807" s="2"/>
      <c r="S5807" s="2"/>
      <c r="T5807" s="2"/>
      <c r="U5807" s="2"/>
      <c r="V5807" s="2"/>
      <c r="W5807" s="2"/>
    </row>
    <row r="5808" spans="1:23" x14ac:dyDescent="0.25">
      <c r="A5808" s="2"/>
      <c r="B5808" s="2"/>
      <c r="C5808" s="1"/>
      <c r="D5808" s="2"/>
      <c r="E5808" s="2"/>
      <c r="F5808" s="2"/>
      <c r="G5808" s="2"/>
      <c r="H5808" s="2"/>
      <c r="I5808" s="2"/>
      <c r="J5808" s="2"/>
      <c r="K5808" s="2"/>
      <c r="L5808" s="2"/>
      <c r="M5808" s="2"/>
      <c r="N5808" s="2"/>
      <c r="O5808" s="2"/>
      <c r="P5808" s="2"/>
      <c r="Q5808" s="2"/>
      <c r="R5808" s="2"/>
      <c r="S5808" s="2"/>
      <c r="T5808" s="2"/>
      <c r="U5808" s="2"/>
      <c r="V5808" s="2"/>
      <c r="W5808" s="2"/>
    </row>
    <row r="5809" spans="1:23" x14ac:dyDescent="0.25">
      <c r="A5809" s="2"/>
      <c r="B5809" s="2"/>
      <c r="C5809" s="1"/>
      <c r="D5809" s="2"/>
      <c r="E5809" s="2"/>
      <c r="F5809" s="2"/>
      <c r="G5809" s="2"/>
      <c r="H5809" s="2"/>
      <c r="I5809" s="2"/>
      <c r="J5809" s="2"/>
      <c r="K5809" s="2"/>
      <c r="L5809" s="2"/>
      <c r="M5809" s="2"/>
      <c r="N5809" s="2"/>
      <c r="O5809" s="2"/>
      <c r="P5809" s="2"/>
      <c r="Q5809" s="2"/>
      <c r="R5809" s="2"/>
      <c r="S5809" s="2"/>
      <c r="T5809" s="2"/>
      <c r="U5809" s="2"/>
      <c r="V5809" s="2"/>
      <c r="W5809" s="2"/>
    </row>
    <row r="5810" spans="1:23" x14ac:dyDescent="0.25">
      <c r="A5810" s="2"/>
      <c r="B5810" s="2"/>
      <c r="C5810" s="1"/>
      <c r="D5810" s="2"/>
      <c r="E5810" s="2"/>
      <c r="F5810" s="2"/>
      <c r="G5810" s="2"/>
      <c r="H5810" s="2"/>
      <c r="I5810" s="2"/>
      <c r="J5810" s="2"/>
      <c r="K5810" s="2"/>
      <c r="L5810" s="2"/>
      <c r="M5810" s="2"/>
      <c r="N5810" s="2"/>
      <c r="O5810" s="2"/>
      <c r="P5810" s="2"/>
      <c r="Q5810" s="2"/>
      <c r="R5810" s="2"/>
      <c r="S5810" s="2"/>
      <c r="T5810" s="2"/>
      <c r="U5810" s="2"/>
      <c r="V5810" s="2"/>
      <c r="W5810" s="2"/>
    </row>
    <row r="5811" spans="1:23" x14ac:dyDescent="0.25">
      <c r="A5811" s="2"/>
      <c r="B5811" s="2"/>
      <c r="C5811" s="1"/>
      <c r="D5811" s="2"/>
      <c r="E5811" s="2"/>
      <c r="F5811" s="2"/>
      <c r="G5811" s="2"/>
      <c r="H5811" s="2"/>
      <c r="I5811" s="2"/>
      <c r="J5811" s="2"/>
      <c r="K5811" s="2"/>
      <c r="L5811" s="2"/>
      <c r="M5811" s="2"/>
      <c r="N5811" s="2"/>
      <c r="O5811" s="2"/>
      <c r="P5811" s="2"/>
      <c r="Q5811" s="2"/>
      <c r="R5811" s="2"/>
      <c r="S5811" s="2"/>
      <c r="T5811" s="2"/>
      <c r="U5811" s="2"/>
      <c r="V5811" s="2"/>
      <c r="W5811" s="2"/>
    </row>
    <row r="5812" spans="1:23" x14ac:dyDescent="0.25">
      <c r="A5812" s="2"/>
      <c r="B5812" s="2"/>
      <c r="C5812" s="1"/>
      <c r="D5812" s="2"/>
      <c r="E5812" s="2"/>
      <c r="F5812" s="2"/>
      <c r="G5812" s="2"/>
      <c r="H5812" s="2"/>
      <c r="I5812" s="2"/>
      <c r="J5812" s="2"/>
      <c r="K5812" s="2"/>
      <c r="L5812" s="2"/>
      <c r="M5812" s="2"/>
      <c r="N5812" s="2"/>
      <c r="O5812" s="2"/>
      <c r="P5812" s="2"/>
      <c r="Q5812" s="2"/>
      <c r="R5812" s="2"/>
      <c r="S5812" s="2"/>
      <c r="T5812" s="2"/>
      <c r="U5812" s="2"/>
      <c r="V5812" s="2"/>
      <c r="W5812" s="2"/>
    </row>
    <row r="5813" spans="1:23" x14ac:dyDescent="0.25">
      <c r="A5813" s="2"/>
      <c r="B5813" s="2"/>
      <c r="C5813" s="1"/>
      <c r="D5813" s="2"/>
      <c r="E5813" s="2"/>
      <c r="F5813" s="2"/>
      <c r="G5813" s="2"/>
      <c r="H5813" s="2"/>
      <c r="I5813" s="2"/>
      <c r="J5813" s="2"/>
      <c r="K5813" s="2"/>
      <c r="L5813" s="2"/>
      <c r="M5813" s="2"/>
      <c r="N5813" s="2"/>
      <c r="O5813" s="2"/>
      <c r="P5813" s="2"/>
      <c r="Q5813" s="2"/>
      <c r="R5813" s="2"/>
      <c r="S5813" s="2"/>
      <c r="T5813" s="2"/>
      <c r="U5813" s="2"/>
      <c r="V5813" s="2"/>
      <c r="W5813" s="2"/>
    </row>
    <row r="5814" spans="1:23" x14ac:dyDescent="0.25">
      <c r="A5814" s="2"/>
      <c r="B5814" s="2"/>
      <c r="C5814" s="1"/>
      <c r="D5814" s="2"/>
      <c r="E5814" s="2"/>
      <c r="F5814" s="2"/>
      <c r="G5814" s="2"/>
      <c r="H5814" s="2"/>
      <c r="I5814" s="2"/>
      <c r="J5814" s="2"/>
      <c r="K5814" s="2"/>
      <c r="L5814" s="2"/>
      <c r="M5814" s="2"/>
      <c r="N5814" s="2"/>
      <c r="O5814" s="2"/>
      <c r="P5814" s="2"/>
      <c r="Q5814" s="2"/>
      <c r="R5814" s="2"/>
      <c r="S5814" s="2"/>
      <c r="T5814" s="2"/>
      <c r="U5814" s="2"/>
      <c r="V5814" s="2"/>
      <c r="W5814" s="2"/>
    </row>
    <row r="5815" spans="1:23" x14ac:dyDescent="0.25">
      <c r="A5815" s="2"/>
      <c r="B5815" s="2"/>
      <c r="C5815" s="1"/>
      <c r="D5815" s="2"/>
      <c r="E5815" s="2"/>
      <c r="F5815" s="2"/>
      <c r="G5815" s="2"/>
      <c r="H5815" s="2"/>
      <c r="I5815" s="2"/>
      <c r="J5815" s="2"/>
      <c r="K5815" s="2"/>
      <c r="L5815" s="2"/>
      <c r="M5815" s="2"/>
      <c r="N5815" s="2"/>
      <c r="O5815" s="2"/>
      <c r="P5815" s="2"/>
      <c r="Q5815" s="2"/>
      <c r="R5815" s="2"/>
      <c r="S5815" s="2"/>
      <c r="T5815" s="2"/>
      <c r="U5815" s="2"/>
      <c r="V5815" s="2"/>
      <c r="W5815" s="2"/>
    </row>
    <row r="5816" spans="1:23" x14ac:dyDescent="0.25">
      <c r="A5816" s="2"/>
      <c r="B5816" s="2"/>
      <c r="C5816" s="1"/>
      <c r="D5816" s="2"/>
      <c r="E5816" s="2"/>
      <c r="F5816" s="2"/>
      <c r="G5816" s="2"/>
      <c r="H5816" s="2"/>
      <c r="I5816" s="2"/>
      <c r="J5816" s="2"/>
      <c r="K5816" s="2"/>
      <c r="L5816" s="2"/>
      <c r="M5816" s="2"/>
      <c r="N5816" s="2"/>
      <c r="O5816" s="2"/>
      <c r="P5816" s="2"/>
      <c r="Q5816" s="2"/>
      <c r="R5816" s="2"/>
      <c r="S5816" s="2"/>
      <c r="T5816" s="2"/>
      <c r="U5816" s="2"/>
      <c r="V5816" s="2"/>
      <c r="W5816" s="2"/>
    </row>
    <row r="5817" spans="1:23" x14ac:dyDescent="0.25">
      <c r="A5817" s="2"/>
      <c r="B5817" s="2"/>
      <c r="C5817" s="1"/>
      <c r="D5817" s="2"/>
      <c r="E5817" s="2"/>
      <c r="F5817" s="2"/>
      <c r="G5817" s="2"/>
      <c r="H5817" s="2"/>
      <c r="I5817" s="2"/>
      <c r="J5817" s="2"/>
      <c r="K5817" s="2"/>
      <c r="L5817" s="2"/>
      <c r="M5817" s="2"/>
      <c r="N5817" s="2"/>
      <c r="O5817" s="2"/>
      <c r="P5817" s="2"/>
      <c r="Q5817" s="2"/>
      <c r="R5817" s="2"/>
      <c r="S5817" s="2"/>
      <c r="T5817" s="2"/>
      <c r="U5817" s="2"/>
      <c r="V5817" s="2"/>
      <c r="W5817" s="2"/>
    </row>
    <row r="5818" spans="1:23" x14ac:dyDescent="0.25">
      <c r="A5818" s="2"/>
      <c r="B5818" s="2"/>
      <c r="C5818" s="1"/>
      <c r="D5818" s="2"/>
      <c r="E5818" s="2"/>
      <c r="F5818" s="2"/>
      <c r="G5818" s="2"/>
      <c r="H5818" s="2"/>
      <c r="I5818" s="2"/>
      <c r="J5818" s="2"/>
      <c r="K5818" s="2"/>
      <c r="L5818" s="2"/>
      <c r="M5818" s="2"/>
      <c r="N5818" s="2"/>
      <c r="O5818" s="2"/>
      <c r="P5818" s="2"/>
      <c r="Q5818" s="2"/>
      <c r="R5818" s="2"/>
      <c r="S5818" s="2"/>
      <c r="T5818" s="2"/>
      <c r="U5818" s="2"/>
      <c r="V5818" s="2"/>
      <c r="W5818" s="2"/>
    </row>
    <row r="5819" spans="1:23" x14ac:dyDescent="0.25">
      <c r="A5819" s="2"/>
      <c r="B5819" s="2"/>
      <c r="C5819" s="1"/>
      <c r="D5819" s="2"/>
      <c r="E5819" s="2"/>
      <c r="F5819" s="2"/>
      <c r="G5819" s="2"/>
      <c r="H5819" s="2"/>
      <c r="I5819" s="2"/>
      <c r="J5819" s="2"/>
      <c r="K5819" s="2"/>
      <c r="L5819" s="2"/>
      <c r="M5819" s="2"/>
      <c r="N5819" s="2"/>
      <c r="O5819" s="2"/>
      <c r="P5819" s="2"/>
      <c r="Q5819" s="2"/>
      <c r="R5819" s="2"/>
      <c r="S5819" s="2"/>
      <c r="T5819" s="2"/>
      <c r="U5819" s="2"/>
      <c r="V5819" s="2"/>
      <c r="W5819" s="2"/>
    </row>
    <row r="5820" spans="1:23" x14ac:dyDescent="0.25">
      <c r="A5820" s="2"/>
      <c r="B5820" s="2"/>
      <c r="C5820" s="1"/>
      <c r="D5820" s="2"/>
      <c r="E5820" s="2"/>
      <c r="F5820" s="2"/>
      <c r="G5820" s="2"/>
      <c r="H5820" s="2"/>
      <c r="I5820" s="2"/>
      <c r="J5820" s="2"/>
      <c r="K5820" s="2"/>
      <c r="L5820" s="2"/>
      <c r="M5820" s="2"/>
      <c r="N5820" s="2"/>
      <c r="O5820" s="2"/>
      <c r="P5820" s="2"/>
      <c r="Q5820" s="2"/>
      <c r="R5820" s="2"/>
      <c r="S5820" s="2"/>
      <c r="T5820" s="2"/>
      <c r="U5820" s="2"/>
      <c r="V5820" s="2"/>
      <c r="W5820" s="2"/>
    </row>
    <row r="5821" spans="1:23" x14ac:dyDescent="0.25">
      <c r="A5821" s="2"/>
      <c r="B5821" s="2"/>
      <c r="C5821" s="1"/>
      <c r="D5821" s="2"/>
      <c r="E5821" s="2"/>
      <c r="F5821" s="2"/>
      <c r="G5821" s="2"/>
      <c r="H5821" s="2"/>
      <c r="I5821" s="2"/>
      <c r="J5821" s="2"/>
      <c r="K5821" s="2"/>
      <c r="L5821" s="2"/>
      <c r="M5821" s="2"/>
      <c r="N5821" s="2"/>
      <c r="O5821" s="2"/>
      <c r="P5821" s="2"/>
      <c r="Q5821" s="2"/>
      <c r="R5821" s="2"/>
      <c r="S5821" s="2"/>
      <c r="T5821" s="2"/>
      <c r="U5821" s="2"/>
      <c r="V5821" s="2"/>
      <c r="W5821" s="2"/>
    </row>
    <row r="5822" spans="1:23" x14ac:dyDescent="0.25">
      <c r="A5822" s="2"/>
      <c r="B5822" s="2"/>
      <c r="C5822" s="1"/>
      <c r="D5822" s="2"/>
      <c r="E5822" s="2"/>
      <c r="F5822" s="2"/>
      <c r="G5822" s="2"/>
      <c r="H5822" s="2"/>
      <c r="I5822" s="2"/>
      <c r="J5822" s="2"/>
      <c r="K5822" s="2"/>
      <c r="L5822" s="2"/>
      <c r="M5822" s="2"/>
      <c r="N5822" s="2"/>
      <c r="O5822" s="2"/>
      <c r="P5822" s="2"/>
      <c r="Q5822" s="2"/>
      <c r="R5822" s="2"/>
      <c r="S5822" s="2"/>
      <c r="T5822" s="2"/>
      <c r="U5822" s="2"/>
      <c r="V5822" s="2"/>
      <c r="W5822" s="2"/>
    </row>
    <row r="5823" spans="1:23" x14ac:dyDescent="0.25">
      <c r="A5823" s="2"/>
      <c r="B5823" s="2"/>
      <c r="C5823" s="1"/>
      <c r="D5823" s="2"/>
      <c r="E5823" s="2"/>
      <c r="F5823" s="2"/>
      <c r="G5823" s="2"/>
      <c r="H5823" s="2"/>
      <c r="I5823" s="2"/>
      <c r="J5823" s="2"/>
      <c r="K5823" s="2"/>
      <c r="L5823" s="2"/>
      <c r="M5823" s="2"/>
      <c r="N5823" s="2"/>
      <c r="O5823" s="2"/>
      <c r="P5823" s="2"/>
      <c r="Q5823" s="2"/>
      <c r="R5823" s="2"/>
      <c r="S5823" s="2"/>
      <c r="T5823" s="2"/>
      <c r="U5823" s="2"/>
      <c r="V5823" s="2"/>
      <c r="W5823" s="2"/>
    </row>
    <row r="5824" spans="1:23" x14ac:dyDescent="0.25">
      <c r="A5824" s="2"/>
      <c r="B5824" s="2"/>
      <c r="C5824" s="1"/>
      <c r="D5824" s="2"/>
      <c r="E5824" s="2"/>
      <c r="F5824" s="2"/>
      <c r="G5824" s="2"/>
      <c r="H5824" s="2"/>
      <c r="I5824" s="2"/>
      <c r="J5824" s="2"/>
      <c r="K5824" s="2"/>
      <c r="L5824" s="2"/>
      <c r="M5824" s="2"/>
      <c r="N5824" s="2"/>
      <c r="O5824" s="2"/>
      <c r="P5824" s="2"/>
      <c r="Q5824" s="2"/>
      <c r="R5824" s="2"/>
      <c r="S5824" s="2"/>
      <c r="T5824" s="2"/>
      <c r="U5824" s="2"/>
      <c r="V5824" s="2"/>
      <c r="W5824" s="2"/>
    </row>
    <row r="5825" spans="1:23" x14ac:dyDescent="0.25">
      <c r="A5825" s="2"/>
      <c r="B5825" s="2"/>
      <c r="C5825" s="1"/>
      <c r="D5825" s="2"/>
      <c r="E5825" s="2"/>
      <c r="F5825" s="2"/>
      <c r="G5825" s="2"/>
      <c r="H5825" s="2"/>
      <c r="I5825" s="2"/>
      <c r="J5825" s="2"/>
      <c r="K5825" s="2"/>
      <c r="L5825" s="2"/>
      <c r="M5825" s="2"/>
      <c r="N5825" s="2"/>
      <c r="O5825" s="2"/>
      <c r="P5825" s="2"/>
      <c r="Q5825" s="2"/>
      <c r="R5825" s="2"/>
      <c r="S5825" s="2"/>
      <c r="T5825" s="2"/>
      <c r="U5825" s="2"/>
      <c r="V5825" s="2"/>
      <c r="W5825" s="2"/>
    </row>
    <row r="5826" spans="1:23" x14ac:dyDescent="0.25">
      <c r="A5826" s="2"/>
      <c r="B5826" s="2"/>
      <c r="C5826" s="1"/>
      <c r="D5826" s="2"/>
      <c r="E5826" s="2"/>
      <c r="F5826" s="2"/>
      <c r="G5826" s="2"/>
      <c r="H5826" s="2"/>
      <c r="I5826" s="2"/>
      <c r="J5826" s="2"/>
      <c r="K5826" s="2"/>
      <c r="L5826" s="2"/>
      <c r="M5826" s="2"/>
      <c r="N5826" s="2"/>
      <c r="O5826" s="2"/>
      <c r="P5826" s="2"/>
      <c r="Q5826" s="2"/>
      <c r="R5826" s="2"/>
      <c r="S5826" s="2"/>
      <c r="T5826" s="2"/>
      <c r="U5826" s="2"/>
      <c r="V5826" s="2"/>
      <c r="W5826" s="2"/>
    </row>
    <row r="5827" spans="1:23" x14ac:dyDescent="0.25">
      <c r="A5827" s="2"/>
      <c r="B5827" s="2"/>
      <c r="C5827" s="1"/>
      <c r="D5827" s="2"/>
      <c r="E5827" s="2"/>
      <c r="F5827" s="2"/>
      <c r="G5827" s="2"/>
      <c r="H5827" s="2"/>
      <c r="I5827" s="2"/>
      <c r="J5827" s="2"/>
      <c r="K5827" s="2"/>
      <c r="L5827" s="2"/>
      <c r="M5827" s="2"/>
      <c r="N5827" s="2"/>
      <c r="O5827" s="2"/>
      <c r="P5827" s="2"/>
      <c r="Q5827" s="2"/>
      <c r="R5827" s="2"/>
      <c r="S5827" s="2"/>
      <c r="T5827" s="2"/>
      <c r="U5827" s="2"/>
      <c r="V5827" s="2"/>
      <c r="W5827" s="2"/>
    </row>
    <row r="5828" spans="1:23" x14ac:dyDescent="0.25">
      <c r="A5828" s="2"/>
      <c r="B5828" s="2"/>
      <c r="C5828" s="1"/>
      <c r="D5828" s="2"/>
      <c r="E5828" s="2"/>
      <c r="F5828" s="2"/>
      <c r="G5828" s="2"/>
      <c r="H5828" s="2"/>
      <c r="I5828" s="2"/>
      <c r="J5828" s="2"/>
      <c r="K5828" s="2"/>
      <c r="L5828" s="2"/>
      <c r="M5828" s="2"/>
      <c r="N5828" s="2"/>
      <c r="O5828" s="2"/>
      <c r="P5828" s="2"/>
      <c r="Q5828" s="2"/>
      <c r="R5828" s="2"/>
      <c r="S5828" s="2"/>
      <c r="T5828" s="2"/>
      <c r="U5828" s="2"/>
      <c r="V5828" s="2"/>
      <c r="W5828" s="2"/>
    </row>
    <row r="5829" spans="1:23" x14ac:dyDescent="0.25">
      <c r="A5829" s="2"/>
      <c r="B5829" s="2"/>
      <c r="C5829" s="1"/>
      <c r="D5829" s="2"/>
      <c r="E5829" s="2"/>
      <c r="F5829" s="2"/>
      <c r="G5829" s="2"/>
      <c r="H5829" s="2"/>
      <c r="I5829" s="2"/>
      <c r="J5829" s="2"/>
      <c r="K5829" s="2"/>
      <c r="L5829" s="2"/>
      <c r="M5829" s="2"/>
      <c r="N5829" s="2"/>
      <c r="O5829" s="2"/>
      <c r="P5829" s="2"/>
      <c r="Q5829" s="2"/>
      <c r="R5829" s="2"/>
      <c r="S5829" s="2"/>
      <c r="T5829" s="2"/>
      <c r="U5829" s="2"/>
      <c r="V5829" s="2"/>
      <c r="W5829" s="2"/>
    </row>
    <row r="5830" spans="1:23" x14ac:dyDescent="0.25">
      <c r="A5830" s="2"/>
      <c r="B5830" s="2"/>
      <c r="C5830" s="1"/>
      <c r="D5830" s="2"/>
      <c r="E5830" s="2"/>
      <c r="F5830" s="2"/>
      <c r="G5830" s="2"/>
      <c r="H5830" s="2"/>
      <c r="I5830" s="2"/>
      <c r="J5830" s="2"/>
      <c r="K5830" s="2"/>
      <c r="L5830" s="2"/>
      <c r="M5830" s="2"/>
      <c r="N5830" s="2"/>
      <c r="O5830" s="2"/>
      <c r="P5830" s="2"/>
      <c r="Q5830" s="2"/>
      <c r="R5830" s="2"/>
      <c r="S5830" s="2"/>
      <c r="T5830" s="2"/>
      <c r="U5830" s="2"/>
      <c r="V5830" s="2"/>
      <c r="W5830" s="2"/>
    </row>
    <row r="5831" spans="1:23" x14ac:dyDescent="0.25">
      <c r="A5831" s="2"/>
      <c r="B5831" s="2"/>
      <c r="C5831" s="1"/>
      <c r="D5831" s="2"/>
      <c r="E5831" s="2"/>
      <c r="F5831" s="2"/>
      <c r="G5831" s="2"/>
      <c r="H5831" s="2"/>
      <c r="I5831" s="2"/>
      <c r="J5831" s="2"/>
      <c r="K5831" s="2"/>
      <c r="L5831" s="2"/>
      <c r="M5831" s="2"/>
      <c r="N5831" s="2"/>
      <c r="O5831" s="2"/>
      <c r="P5831" s="2"/>
      <c r="Q5831" s="2"/>
      <c r="R5831" s="2"/>
      <c r="S5831" s="2"/>
      <c r="T5831" s="2"/>
      <c r="U5831" s="2"/>
      <c r="V5831" s="2"/>
      <c r="W5831" s="2"/>
    </row>
    <row r="5832" spans="1:23" x14ac:dyDescent="0.25">
      <c r="A5832" s="2"/>
      <c r="B5832" s="2"/>
      <c r="C5832" s="1"/>
      <c r="D5832" s="2"/>
      <c r="E5832" s="2"/>
      <c r="F5832" s="2"/>
      <c r="G5832" s="2"/>
      <c r="H5832" s="2"/>
      <c r="I5832" s="2"/>
      <c r="J5832" s="2"/>
      <c r="K5832" s="2"/>
      <c r="L5832" s="2"/>
      <c r="M5832" s="2"/>
      <c r="N5832" s="2"/>
      <c r="O5832" s="2"/>
      <c r="P5832" s="2"/>
      <c r="Q5832" s="2"/>
      <c r="R5832" s="2"/>
      <c r="S5832" s="2"/>
      <c r="T5832" s="2"/>
      <c r="U5832" s="2"/>
      <c r="V5832" s="2"/>
      <c r="W5832" s="2"/>
    </row>
    <row r="5833" spans="1:23" x14ac:dyDescent="0.25">
      <c r="A5833" s="2"/>
      <c r="B5833" s="2"/>
      <c r="C5833" s="1"/>
      <c r="D5833" s="2"/>
      <c r="E5833" s="2"/>
      <c r="F5833" s="2"/>
      <c r="G5833" s="2"/>
      <c r="H5833" s="2"/>
      <c r="I5833" s="2"/>
      <c r="J5833" s="2"/>
      <c r="K5833" s="2"/>
      <c r="L5833" s="2"/>
      <c r="M5833" s="2"/>
      <c r="N5833" s="2"/>
      <c r="O5833" s="2"/>
      <c r="P5833" s="2"/>
      <c r="Q5833" s="2"/>
      <c r="R5833" s="2"/>
      <c r="S5833" s="2"/>
      <c r="T5833" s="2"/>
      <c r="U5833" s="2"/>
      <c r="V5833" s="2"/>
      <c r="W5833" s="2"/>
    </row>
    <row r="5834" spans="1:23" x14ac:dyDescent="0.25">
      <c r="A5834" s="2"/>
      <c r="B5834" s="2"/>
      <c r="C5834" s="1"/>
      <c r="D5834" s="2"/>
      <c r="E5834" s="2"/>
      <c r="F5834" s="2"/>
      <c r="G5834" s="2"/>
      <c r="H5834" s="2"/>
      <c r="I5834" s="2"/>
      <c r="J5834" s="2"/>
      <c r="K5834" s="2"/>
      <c r="L5834" s="2"/>
      <c r="M5834" s="2"/>
      <c r="N5834" s="2"/>
      <c r="O5834" s="2"/>
      <c r="P5834" s="2"/>
      <c r="Q5834" s="2"/>
      <c r="R5834" s="2"/>
      <c r="S5834" s="2"/>
      <c r="T5834" s="2"/>
      <c r="U5834" s="2"/>
      <c r="V5834" s="2"/>
      <c r="W5834" s="2"/>
    </row>
    <row r="5835" spans="1:23" x14ac:dyDescent="0.25">
      <c r="A5835" s="2"/>
      <c r="B5835" s="2"/>
      <c r="C5835" s="1"/>
      <c r="D5835" s="2"/>
      <c r="E5835" s="2"/>
      <c r="F5835" s="2"/>
      <c r="G5835" s="2"/>
      <c r="H5835" s="2"/>
      <c r="I5835" s="2"/>
      <c r="J5835" s="2"/>
      <c r="K5835" s="2"/>
      <c r="L5835" s="2"/>
      <c r="M5835" s="2"/>
      <c r="N5835" s="2"/>
      <c r="O5835" s="2"/>
      <c r="P5835" s="2"/>
      <c r="Q5835" s="2"/>
      <c r="R5835" s="2"/>
      <c r="S5835" s="2"/>
      <c r="T5835" s="2"/>
      <c r="U5835" s="2"/>
      <c r="V5835" s="2"/>
      <c r="W5835" s="2"/>
    </row>
    <row r="5836" spans="1:23" x14ac:dyDescent="0.25">
      <c r="A5836" s="2"/>
      <c r="B5836" s="2"/>
      <c r="C5836" s="1"/>
      <c r="D5836" s="2"/>
      <c r="E5836" s="2"/>
      <c r="F5836" s="2"/>
      <c r="G5836" s="2"/>
      <c r="H5836" s="2"/>
      <c r="I5836" s="2"/>
      <c r="J5836" s="2"/>
      <c r="K5836" s="2"/>
      <c r="L5836" s="2"/>
      <c r="M5836" s="2"/>
      <c r="N5836" s="2"/>
      <c r="O5836" s="2"/>
      <c r="P5836" s="2"/>
      <c r="Q5836" s="2"/>
      <c r="R5836" s="2"/>
      <c r="S5836" s="2"/>
      <c r="T5836" s="2"/>
      <c r="U5836" s="2"/>
      <c r="V5836" s="2"/>
      <c r="W5836" s="2"/>
    </row>
    <row r="5837" spans="1:23" x14ac:dyDescent="0.25">
      <c r="A5837" s="2"/>
      <c r="B5837" s="2"/>
      <c r="C5837" s="1"/>
      <c r="D5837" s="2"/>
      <c r="E5837" s="2"/>
      <c r="F5837" s="2"/>
      <c r="G5837" s="2"/>
      <c r="H5837" s="2"/>
      <c r="I5837" s="2"/>
      <c r="J5837" s="2"/>
      <c r="K5837" s="2"/>
      <c r="L5837" s="2"/>
      <c r="M5837" s="2"/>
      <c r="N5837" s="2"/>
      <c r="O5837" s="2"/>
      <c r="P5837" s="2"/>
      <c r="Q5837" s="2"/>
      <c r="R5837" s="2"/>
      <c r="S5837" s="2"/>
      <c r="T5837" s="2"/>
      <c r="U5837" s="2"/>
      <c r="V5837" s="2"/>
      <c r="W5837" s="2"/>
    </row>
    <row r="5838" spans="1:23" x14ac:dyDescent="0.25">
      <c r="A5838" s="2"/>
      <c r="B5838" s="2"/>
      <c r="C5838" s="1"/>
      <c r="D5838" s="2"/>
      <c r="E5838" s="2"/>
      <c r="F5838" s="2"/>
      <c r="G5838" s="2"/>
      <c r="H5838" s="2"/>
      <c r="I5838" s="2"/>
      <c r="J5838" s="2"/>
      <c r="K5838" s="2"/>
      <c r="L5838" s="2"/>
      <c r="M5838" s="2"/>
      <c r="N5838" s="2"/>
      <c r="O5838" s="2"/>
      <c r="P5838" s="2"/>
      <c r="Q5838" s="2"/>
      <c r="R5838" s="2"/>
      <c r="S5838" s="2"/>
      <c r="T5838" s="2"/>
      <c r="U5838" s="2"/>
      <c r="V5838" s="2"/>
      <c r="W5838" s="2"/>
    </row>
    <row r="5839" spans="1:23" x14ac:dyDescent="0.25">
      <c r="A5839" s="2"/>
      <c r="B5839" s="2"/>
      <c r="C5839" s="1"/>
      <c r="D5839" s="2"/>
      <c r="E5839" s="2"/>
      <c r="F5839" s="2"/>
      <c r="G5839" s="2"/>
      <c r="H5839" s="2"/>
      <c r="I5839" s="2"/>
      <c r="J5839" s="2"/>
      <c r="K5839" s="2"/>
      <c r="L5839" s="2"/>
      <c r="M5839" s="2"/>
      <c r="N5839" s="2"/>
      <c r="O5839" s="2"/>
      <c r="P5839" s="2"/>
      <c r="Q5839" s="2"/>
      <c r="R5839" s="2"/>
      <c r="S5839" s="2"/>
      <c r="T5839" s="2"/>
      <c r="U5839" s="2"/>
      <c r="V5839" s="2"/>
      <c r="W5839" s="2"/>
    </row>
    <row r="5840" spans="1:23" x14ac:dyDescent="0.25">
      <c r="A5840" s="2"/>
      <c r="B5840" s="2"/>
      <c r="C5840" s="1"/>
      <c r="D5840" s="2"/>
      <c r="E5840" s="2"/>
      <c r="F5840" s="2"/>
      <c r="G5840" s="2"/>
      <c r="H5840" s="2"/>
      <c r="I5840" s="2"/>
      <c r="J5840" s="2"/>
      <c r="K5840" s="2"/>
      <c r="L5840" s="2"/>
      <c r="M5840" s="2"/>
      <c r="N5840" s="2"/>
      <c r="O5840" s="2"/>
      <c r="P5840" s="2"/>
      <c r="Q5840" s="2"/>
      <c r="R5840" s="2"/>
      <c r="S5840" s="2"/>
      <c r="T5840" s="2"/>
      <c r="U5840" s="2"/>
      <c r="V5840" s="2"/>
      <c r="W5840" s="2"/>
    </row>
    <row r="5841" spans="1:23" x14ac:dyDescent="0.25">
      <c r="A5841" s="2"/>
      <c r="B5841" s="2"/>
      <c r="C5841" s="1"/>
      <c r="D5841" s="2"/>
      <c r="E5841" s="2"/>
      <c r="F5841" s="2"/>
      <c r="G5841" s="2"/>
      <c r="H5841" s="2"/>
      <c r="I5841" s="2"/>
      <c r="J5841" s="2"/>
      <c r="K5841" s="2"/>
      <c r="L5841" s="2"/>
      <c r="M5841" s="2"/>
      <c r="N5841" s="2"/>
      <c r="O5841" s="2"/>
      <c r="P5841" s="2"/>
      <c r="Q5841" s="2"/>
      <c r="R5841" s="2"/>
      <c r="S5841" s="2"/>
      <c r="T5841" s="2"/>
      <c r="U5841" s="2"/>
      <c r="V5841" s="2"/>
      <c r="W5841" s="2"/>
    </row>
    <row r="5842" spans="1:23" x14ac:dyDescent="0.25">
      <c r="A5842" s="2"/>
      <c r="B5842" s="2"/>
      <c r="C5842" s="1"/>
      <c r="D5842" s="2"/>
      <c r="E5842" s="2"/>
      <c r="F5842" s="2"/>
      <c r="G5842" s="2"/>
      <c r="H5842" s="2"/>
      <c r="I5842" s="2"/>
      <c r="J5842" s="2"/>
      <c r="K5842" s="2"/>
      <c r="L5842" s="2"/>
      <c r="M5842" s="2"/>
      <c r="N5842" s="2"/>
      <c r="O5842" s="2"/>
      <c r="P5842" s="2"/>
      <c r="Q5842" s="2"/>
      <c r="R5842" s="2"/>
      <c r="S5842" s="2"/>
      <c r="T5842" s="2"/>
      <c r="U5842" s="2"/>
      <c r="V5842" s="2"/>
      <c r="W5842" s="2"/>
    </row>
    <row r="5843" spans="1:23" x14ac:dyDescent="0.25">
      <c r="A5843" s="2"/>
      <c r="B5843" s="2"/>
      <c r="C5843" s="1"/>
      <c r="D5843" s="2"/>
      <c r="E5843" s="2"/>
      <c r="F5843" s="2"/>
      <c r="G5843" s="2"/>
      <c r="H5843" s="2"/>
      <c r="I5843" s="2"/>
      <c r="J5843" s="2"/>
      <c r="K5843" s="2"/>
      <c r="L5843" s="2"/>
      <c r="M5843" s="2"/>
      <c r="N5843" s="2"/>
      <c r="O5843" s="2"/>
      <c r="P5843" s="2"/>
      <c r="Q5843" s="2"/>
      <c r="R5843" s="2"/>
      <c r="S5843" s="2"/>
      <c r="T5843" s="2"/>
      <c r="U5843" s="2"/>
      <c r="V5843" s="2"/>
      <c r="W5843" s="2"/>
    </row>
    <row r="5844" spans="1:23" x14ac:dyDescent="0.25">
      <c r="A5844" s="2"/>
      <c r="B5844" s="2"/>
      <c r="C5844" s="1"/>
      <c r="D5844" s="2"/>
      <c r="E5844" s="2"/>
      <c r="F5844" s="2"/>
      <c r="G5844" s="2"/>
      <c r="H5844" s="2"/>
      <c r="I5844" s="2"/>
      <c r="J5844" s="2"/>
      <c r="K5844" s="2"/>
      <c r="L5844" s="2"/>
      <c r="M5844" s="2"/>
      <c r="N5844" s="2"/>
      <c r="O5844" s="2"/>
      <c r="P5844" s="2"/>
      <c r="Q5844" s="2"/>
      <c r="R5844" s="2"/>
      <c r="S5844" s="2"/>
      <c r="T5844" s="2"/>
      <c r="U5844" s="2"/>
      <c r="V5844" s="2"/>
      <c r="W5844" s="2"/>
    </row>
    <row r="5845" spans="1:23" x14ac:dyDescent="0.25">
      <c r="A5845" s="2"/>
      <c r="B5845" s="2"/>
      <c r="C5845" s="1"/>
      <c r="D5845" s="2"/>
      <c r="E5845" s="2"/>
      <c r="F5845" s="2"/>
      <c r="G5845" s="2"/>
      <c r="H5845" s="2"/>
      <c r="I5845" s="2"/>
      <c r="J5845" s="2"/>
      <c r="K5845" s="2"/>
      <c r="L5845" s="2"/>
      <c r="M5845" s="2"/>
      <c r="N5845" s="2"/>
      <c r="O5845" s="2"/>
      <c r="P5845" s="2"/>
      <c r="Q5845" s="2"/>
      <c r="R5845" s="2"/>
      <c r="S5845" s="2"/>
      <c r="T5845" s="2"/>
      <c r="U5845" s="2"/>
      <c r="V5845" s="2"/>
      <c r="W5845" s="2"/>
    </row>
    <row r="5846" spans="1:23" x14ac:dyDescent="0.25">
      <c r="A5846" s="2"/>
      <c r="B5846" s="2"/>
      <c r="C5846" s="1"/>
      <c r="D5846" s="2"/>
      <c r="E5846" s="2"/>
      <c r="F5846" s="2"/>
      <c r="G5846" s="2"/>
      <c r="H5846" s="2"/>
      <c r="I5846" s="2"/>
      <c r="J5846" s="2"/>
      <c r="K5846" s="2"/>
      <c r="L5846" s="2"/>
      <c r="M5846" s="2"/>
      <c r="N5846" s="2"/>
      <c r="O5846" s="2"/>
      <c r="P5846" s="2"/>
      <c r="Q5846" s="2"/>
      <c r="R5846" s="2"/>
      <c r="S5846" s="2"/>
      <c r="T5846" s="2"/>
      <c r="U5846" s="2"/>
      <c r="V5846" s="2"/>
      <c r="W5846" s="2"/>
    </row>
    <row r="5847" spans="1:23" x14ac:dyDescent="0.25">
      <c r="A5847" s="2"/>
      <c r="B5847" s="2"/>
      <c r="C5847" s="1"/>
      <c r="D5847" s="2"/>
      <c r="E5847" s="2"/>
      <c r="F5847" s="2"/>
      <c r="G5847" s="2"/>
      <c r="H5847" s="2"/>
      <c r="I5847" s="2"/>
      <c r="J5847" s="2"/>
      <c r="K5847" s="2"/>
      <c r="L5847" s="2"/>
      <c r="M5847" s="2"/>
      <c r="N5847" s="2"/>
      <c r="O5847" s="2"/>
      <c r="P5847" s="2"/>
      <c r="Q5847" s="2"/>
      <c r="R5847" s="2"/>
      <c r="S5847" s="2"/>
      <c r="T5847" s="2"/>
      <c r="U5847" s="2"/>
      <c r="V5847" s="2"/>
      <c r="W5847" s="2"/>
    </row>
    <row r="5848" spans="1:23" x14ac:dyDescent="0.25">
      <c r="A5848" s="2"/>
      <c r="B5848" s="2"/>
      <c r="C5848" s="1"/>
      <c r="D5848" s="2"/>
      <c r="E5848" s="2"/>
      <c r="F5848" s="2"/>
      <c r="G5848" s="2"/>
      <c r="H5848" s="2"/>
      <c r="I5848" s="2"/>
      <c r="J5848" s="2"/>
      <c r="K5848" s="2"/>
      <c r="L5848" s="2"/>
      <c r="M5848" s="2"/>
      <c r="N5848" s="2"/>
      <c r="O5848" s="2"/>
      <c r="P5848" s="2"/>
      <c r="Q5848" s="2"/>
      <c r="R5848" s="2"/>
      <c r="S5848" s="2"/>
      <c r="T5848" s="2"/>
      <c r="U5848" s="2"/>
      <c r="V5848" s="2"/>
      <c r="W5848" s="2"/>
    </row>
    <row r="5849" spans="1:23" x14ac:dyDescent="0.25">
      <c r="A5849" s="2"/>
      <c r="B5849" s="2"/>
      <c r="C5849" s="1"/>
      <c r="D5849" s="2"/>
      <c r="E5849" s="2"/>
      <c r="F5849" s="2"/>
      <c r="G5849" s="2"/>
      <c r="H5849" s="2"/>
      <c r="I5849" s="2"/>
      <c r="J5849" s="2"/>
      <c r="K5849" s="2"/>
      <c r="L5849" s="2"/>
      <c r="M5849" s="2"/>
      <c r="N5849" s="2"/>
      <c r="O5849" s="2"/>
      <c r="P5849" s="2"/>
      <c r="Q5849" s="2"/>
      <c r="R5849" s="2"/>
      <c r="S5849" s="2"/>
      <c r="T5849" s="2"/>
      <c r="U5849" s="2"/>
      <c r="V5849" s="2"/>
      <c r="W5849" s="2"/>
    </row>
    <row r="5850" spans="1:23" x14ac:dyDescent="0.25">
      <c r="A5850" s="2"/>
      <c r="B5850" s="2"/>
      <c r="C5850" s="1"/>
      <c r="D5850" s="2"/>
      <c r="E5850" s="2"/>
      <c r="F5850" s="2"/>
      <c r="G5850" s="2"/>
      <c r="H5850" s="2"/>
      <c r="I5850" s="2"/>
      <c r="J5850" s="2"/>
      <c r="K5850" s="2"/>
      <c r="L5850" s="2"/>
      <c r="M5850" s="2"/>
      <c r="N5850" s="2"/>
      <c r="O5850" s="2"/>
      <c r="P5850" s="2"/>
      <c r="Q5850" s="2"/>
      <c r="R5850" s="2"/>
      <c r="S5850" s="2"/>
      <c r="T5850" s="2"/>
      <c r="U5850" s="2"/>
      <c r="V5850" s="2"/>
      <c r="W5850" s="2"/>
    </row>
    <row r="5851" spans="1:23" x14ac:dyDescent="0.25">
      <c r="A5851" s="2"/>
      <c r="B5851" s="2"/>
      <c r="C5851" s="1"/>
      <c r="D5851" s="2"/>
      <c r="E5851" s="2"/>
      <c r="F5851" s="2"/>
      <c r="G5851" s="2"/>
      <c r="H5851" s="2"/>
      <c r="I5851" s="2"/>
      <c r="J5851" s="2"/>
      <c r="K5851" s="2"/>
      <c r="L5851" s="2"/>
      <c r="M5851" s="2"/>
      <c r="N5851" s="2"/>
      <c r="O5851" s="2"/>
      <c r="P5851" s="2"/>
      <c r="Q5851" s="2"/>
      <c r="R5851" s="2"/>
      <c r="S5851" s="2"/>
      <c r="T5851" s="2"/>
      <c r="U5851" s="2"/>
      <c r="V5851" s="2"/>
      <c r="W5851" s="2"/>
    </row>
    <row r="5852" spans="1:23" x14ac:dyDescent="0.25">
      <c r="A5852" s="2"/>
      <c r="B5852" s="2"/>
      <c r="C5852" s="1"/>
      <c r="D5852" s="2"/>
      <c r="E5852" s="2"/>
      <c r="F5852" s="2"/>
      <c r="G5852" s="2"/>
      <c r="H5852" s="2"/>
      <c r="I5852" s="2"/>
      <c r="J5852" s="2"/>
      <c r="K5852" s="2"/>
      <c r="L5852" s="2"/>
      <c r="M5852" s="2"/>
      <c r="N5852" s="2"/>
      <c r="O5852" s="2"/>
      <c r="P5852" s="2"/>
      <c r="Q5852" s="2"/>
      <c r="R5852" s="2"/>
      <c r="S5852" s="2"/>
      <c r="T5852" s="2"/>
      <c r="U5852" s="2"/>
      <c r="V5852" s="2"/>
      <c r="W5852" s="2"/>
    </row>
    <row r="5853" spans="1:23" x14ac:dyDescent="0.25">
      <c r="A5853" s="2"/>
      <c r="B5853" s="2"/>
      <c r="C5853" s="1"/>
      <c r="D5853" s="2"/>
      <c r="E5853" s="2"/>
      <c r="F5853" s="2"/>
      <c r="G5853" s="2"/>
      <c r="H5853" s="2"/>
      <c r="I5853" s="2"/>
      <c r="J5853" s="2"/>
      <c r="K5853" s="2"/>
      <c r="L5853" s="2"/>
      <c r="M5853" s="2"/>
      <c r="N5853" s="2"/>
      <c r="O5853" s="2"/>
      <c r="P5853" s="2"/>
      <c r="Q5853" s="2"/>
      <c r="R5853" s="2"/>
      <c r="S5853" s="2"/>
      <c r="T5853" s="2"/>
      <c r="U5853" s="2"/>
      <c r="V5853" s="2"/>
      <c r="W5853" s="2"/>
    </row>
    <row r="5854" spans="1:23" x14ac:dyDescent="0.25">
      <c r="A5854" s="2"/>
      <c r="B5854" s="2"/>
      <c r="C5854" s="1"/>
      <c r="D5854" s="2"/>
      <c r="E5854" s="2"/>
      <c r="F5854" s="2"/>
      <c r="G5854" s="2"/>
      <c r="H5854" s="2"/>
      <c r="I5854" s="2"/>
      <c r="J5854" s="2"/>
      <c r="K5854" s="2"/>
      <c r="L5854" s="2"/>
      <c r="M5854" s="2"/>
      <c r="N5854" s="2"/>
      <c r="O5854" s="2"/>
      <c r="P5854" s="2"/>
      <c r="Q5854" s="2"/>
      <c r="R5854" s="2"/>
      <c r="S5854" s="2"/>
      <c r="T5854" s="2"/>
      <c r="U5854" s="2"/>
      <c r="V5854" s="2"/>
      <c r="W5854" s="2"/>
    </row>
    <row r="5855" spans="1:23" x14ac:dyDescent="0.25">
      <c r="A5855" s="2"/>
      <c r="B5855" s="2"/>
      <c r="C5855" s="1"/>
      <c r="D5855" s="2"/>
      <c r="E5855" s="2"/>
      <c r="F5855" s="2"/>
      <c r="G5855" s="2"/>
      <c r="H5855" s="2"/>
      <c r="I5855" s="2"/>
      <c r="J5855" s="2"/>
      <c r="K5855" s="2"/>
      <c r="L5855" s="2"/>
      <c r="M5855" s="2"/>
      <c r="N5855" s="2"/>
      <c r="O5855" s="2"/>
      <c r="P5855" s="2"/>
      <c r="Q5855" s="2"/>
      <c r="R5855" s="2"/>
      <c r="S5855" s="2"/>
      <c r="T5855" s="2"/>
      <c r="U5855" s="2"/>
      <c r="V5855" s="2"/>
      <c r="W5855" s="2"/>
    </row>
    <row r="5856" spans="1:23" x14ac:dyDescent="0.25">
      <c r="A5856" s="2"/>
      <c r="B5856" s="2"/>
      <c r="C5856" s="1"/>
      <c r="D5856" s="2"/>
      <c r="E5856" s="2"/>
      <c r="F5856" s="2"/>
      <c r="G5856" s="2"/>
      <c r="H5856" s="2"/>
      <c r="I5856" s="2"/>
      <c r="J5856" s="2"/>
      <c r="K5856" s="2"/>
      <c r="L5856" s="2"/>
      <c r="M5856" s="2"/>
      <c r="N5856" s="2"/>
      <c r="O5856" s="2"/>
      <c r="P5856" s="2"/>
      <c r="Q5856" s="2"/>
      <c r="R5856" s="2"/>
      <c r="S5856" s="2"/>
      <c r="T5856" s="2"/>
      <c r="U5856" s="2"/>
      <c r="V5856" s="2"/>
      <c r="W5856" s="2"/>
    </row>
    <row r="5857" spans="1:23" x14ac:dyDescent="0.25">
      <c r="A5857" s="2"/>
      <c r="B5857" s="2"/>
      <c r="C5857" s="1"/>
      <c r="D5857" s="2"/>
      <c r="E5857" s="2"/>
      <c r="F5857" s="2"/>
      <c r="G5857" s="2"/>
      <c r="H5857" s="2"/>
      <c r="I5857" s="2"/>
      <c r="J5857" s="2"/>
      <c r="K5857" s="2"/>
      <c r="L5857" s="2"/>
      <c r="M5857" s="2"/>
      <c r="N5857" s="2"/>
      <c r="O5857" s="2"/>
      <c r="P5857" s="2"/>
      <c r="Q5857" s="2"/>
      <c r="R5857" s="2"/>
      <c r="S5857" s="2"/>
      <c r="T5857" s="2"/>
      <c r="U5857" s="2"/>
      <c r="V5857" s="2"/>
      <c r="W5857" s="2"/>
    </row>
    <row r="5858" spans="1:23" x14ac:dyDescent="0.25">
      <c r="A5858" s="2"/>
      <c r="B5858" s="2"/>
      <c r="C5858" s="1"/>
      <c r="D5858" s="2"/>
      <c r="E5858" s="2"/>
      <c r="F5858" s="2"/>
      <c r="G5858" s="2"/>
      <c r="H5858" s="2"/>
      <c r="I5858" s="2"/>
      <c r="J5858" s="2"/>
      <c r="K5858" s="2"/>
      <c r="L5858" s="2"/>
      <c r="M5858" s="2"/>
      <c r="N5858" s="2"/>
      <c r="O5858" s="2"/>
      <c r="P5858" s="2"/>
      <c r="Q5858" s="2"/>
      <c r="R5858" s="2"/>
      <c r="S5858" s="2"/>
      <c r="T5858" s="2"/>
      <c r="U5858" s="2"/>
      <c r="V5858" s="2"/>
      <c r="W5858" s="2"/>
    </row>
    <row r="5859" spans="1:23" x14ac:dyDescent="0.25">
      <c r="A5859" s="2"/>
      <c r="B5859" s="2"/>
      <c r="C5859" s="1"/>
      <c r="D5859" s="2"/>
      <c r="E5859" s="2"/>
      <c r="F5859" s="2"/>
      <c r="G5859" s="2"/>
      <c r="H5859" s="2"/>
      <c r="I5859" s="2"/>
      <c r="J5859" s="2"/>
      <c r="K5859" s="2"/>
      <c r="L5859" s="2"/>
      <c r="M5859" s="2"/>
      <c r="N5859" s="2"/>
      <c r="O5859" s="2"/>
      <c r="P5859" s="2"/>
      <c r="Q5859" s="2"/>
      <c r="R5859" s="2"/>
      <c r="S5859" s="2"/>
      <c r="T5859" s="2"/>
      <c r="U5859" s="2"/>
      <c r="V5859" s="2"/>
      <c r="W5859" s="2"/>
    </row>
    <row r="5860" spans="1:23" x14ac:dyDescent="0.25">
      <c r="A5860" s="2"/>
      <c r="B5860" s="2"/>
      <c r="C5860" s="1"/>
      <c r="D5860" s="2"/>
      <c r="E5860" s="2"/>
      <c r="F5860" s="2"/>
      <c r="G5860" s="2"/>
      <c r="H5860" s="2"/>
      <c r="I5860" s="2"/>
      <c r="J5860" s="2"/>
      <c r="K5860" s="2"/>
      <c r="L5860" s="2"/>
      <c r="M5860" s="2"/>
      <c r="N5860" s="2"/>
      <c r="O5860" s="2"/>
      <c r="P5860" s="2"/>
      <c r="Q5860" s="2"/>
      <c r="R5860" s="2"/>
      <c r="S5860" s="2"/>
      <c r="T5860" s="2"/>
      <c r="U5860" s="2"/>
      <c r="V5860" s="2"/>
      <c r="W5860" s="2"/>
    </row>
    <row r="5861" spans="1:23" x14ac:dyDescent="0.25">
      <c r="A5861" s="2"/>
      <c r="B5861" s="2"/>
      <c r="C5861" s="1"/>
      <c r="D5861" s="2"/>
      <c r="E5861" s="2"/>
      <c r="F5861" s="2"/>
      <c r="G5861" s="2"/>
      <c r="H5861" s="2"/>
      <c r="I5861" s="2"/>
      <c r="J5861" s="2"/>
      <c r="K5861" s="2"/>
      <c r="L5861" s="2"/>
      <c r="M5861" s="2"/>
      <c r="N5861" s="2"/>
      <c r="O5861" s="2"/>
      <c r="P5861" s="2"/>
      <c r="Q5861" s="2"/>
      <c r="R5861" s="2"/>
      <c r="S5861" s="2"/>
      <c r="T5861" s="2"/>
      <c r="U5861" s="2"/>
      <c r="V5861" s="2"/>
      <c r="W5861" s="2"/>
    </row>
    <row r="5862" spans="1:23" x14ac:dyDescent="0.25">
      <c r="A5862" s="2"/>
      <c r="B5862" s="2"/>
      <c r="C5862" s="1"/>
      <c r="D5862" s="2"/>
      <c r="E5862" s="2"/>
      <c r="F5862" s="2"/>
      <c r="G5862" s="2"/>
      <c r="H5862" s="2"/>
      <c r="I5862" s="2"/>
      <c r="J5862" s="2"/>
      <c r="K5862" s="2"/>
      <c r="L5862" s="2"/>
      <c r="M5862" s="2"/>
      <c r="N5862" s="2"/>
      <c r="O5862" s="2"/>
      <c r="P5862" s="2"/>
      <c r="Q5862" s="2"/>
      <c r="R5862" s="2"/>
      <c r="S5862" s="2"/>
      <c r="T5862" s="2"/>
      <c r="U5862" s="2"/>
      <c r="V5862" s="2"/>
      <c r="W5862" s="2"/>
    </row>
    <row r="5863" spans="1:23" x14ac:dyDescent="0.25">
      <c r="A5863" s="2"/>
      <c r="B5863" s="2"/>
      <c r="C5863" s="1"/>
      <c r="D5863" s="2"/>
      <c r="E5863" s="2"/>
      <c r="F5863" s="2"/>
      <c r="G5863" s="2"/>
      <c r="H5863" s="2"/>
      <c r="I5863" s="2"/>
      <c r="J5863" s="2"/>
      <c r="K5863" s="2"/>
      <c r="L5863" s="2"/>
      <c r="M5863" s="2"/>
      <c r="N5863" s="2"/>
      <c r="O5863" s="2"/>
      <c r="P5863" s="2"/>
      <c r="Q5863" s="2"/>
      <c r="R5863" s="2"/>
      <c r="S5863" s="2"/>
      <c r="T5863" s="2"/>
      <c r="U5863" s="2"/>
      <c r="V5863" s="2"/>
      <c r="W5863" s="2"/>
    </row>
    <row r="5864" spans="1:23" x14ac:dyDescent="0.25">
      <c r="A5864" s="2"/>
      <c r="B5864" s="2"/>
      <c r="C5864" s="1"/>
      <c r="D5864" s="2"/>
      <c r="E5864" s="2"/>
      <c r="F5864" s="2"/>
      <c r="G5864" s="2"/>
      <c r="H5864" s="2"/>
      <c r="I5864" s="2"/>
      <c r="J5864" s="2"/>
      <c r="K5864" s="2"/>
      <c r="L5864" s="2"/>
      <c r="M5864" s="2"/>
      <c r="N5864" s="2"/>
      <c r="O5864" s="2"/>
      <c r="P5864" s="2"/>
      <c r="Q5864" s="2"/>
      <c r="R5864" s="2"/>
      <c r="S5864" s="2"/>
      <c r="T5864" s="2"/>
      <c r="U5864" s="2"/>
      <c r="V5864" s="2"/>
      <c r="W5864" s="2"/>
    </row>
    <row r="5865" spans="1:23" x14ac:dyDescent="0.25">
      <c r="A5865" s="2"/>
      <c r="B5865" s="2"/>
      <c r="C5865" s="1"/>
      <c r="D5865" s="2"/>
      <c r="E5865" s="2"/>
      <c r="F5865" s="2"/>
      <c r="G5865" s="2"/>
      <c r="H5865" s="2"/>
      <c r="I5865" s="2"/>
      <c r="J5865" s="2"/>
      <c r="K5865" s="2"/>
      <c r="L5865" s="2"/>
      <c r="M5865" s="2"/>
      <c r="N5865" s="2"/>
      <c r="O5865" s="2"/>
      <c r="P5865" s="2"/>
      <c r="Q5865" s="2"/>
      <c r="R5865" s="2"/>
      <c r="S5865" s="2"/>
      <c r="T5865" s="2"/>
      <c r="U5865" s="2"/>
      <c r="V5865" s="2"/>
      <c r="W5865" s="2"/>
    </row>
    <row r="5866" spans="1:23" x14ac:dyDescent="0.25">
      <c r="A5866" s="2"/>
      <c r="B5866" s="2"/>
      <c r="C5866" s="1"/>
      <c r="D5866" s="2"/>
      <c r="E5866" s="2"/>
      <c r="F5866" s="2"/>
      <c r="G5866" s="2"/>
      <c r="H5866" s="2"/>
      <c r="I5866" s="2"/>
      <c r="J5866" s="2"/>
      <c r="K5866" s="2"/>
      <c r="L5866" s="2"/>
      <c r="M5866" s="2"/>
      <c r="N5866" s="2"/>
      <c r="O5866" s="2"/>
      <c r="P5866" s="2"/>
      <c r="Q5866" s="2"/>
      <c r="R5866" s="2"/>
      <c r="S5866" s="2"/>
      <c r="T5866" s="2"/>
      <c r="U5866" s="2"/>
      <c r="V5866" s="2"/>
      <c r="W5866" s="2"/>
    </row>
    <row r="5867" spans="1:23" x14ac:dyDescent="0.25">
      <c r="A5867" s="2"/>
      <c r="B5867" s="2"/>
      <c r="C5867" s="1"/>
      <c r="D5867" s="2"/>
      <c r="E5867" s="2"/>
      <c r="F5867" s="2"/>
      <c r="G5867" s="2"/>
      <c r="H5867" s="2"/>
      <c r="I5867" s="2"/>
      <c r="J5867" s="2"/>
      <c r="K5867" s="2"/>
      <c r="L5867" s="2"/>
      <c r="M5867" s="2"/>
      <c r="N5867" s="2"/>
      <c r="O5867" s="2"/>
      <c r="P5867" s="2"/>
      <c r="Q5867" s="2"/>
      <c r="R5867" s="2"/>
      <c r="S5867" s="2"/>
      <c r="T5867" s="2"/>
      <c r="U5867" s="2"/>
      <c r="V5867" s="2"/>
      <c r="W5867" s="2"/>
    </row>
    <row r="5868" spans="1:23" x14ac:dyDescent="0.25">
      <c r="A5868" s="2"/>
      <c r="B5868" s="2"/>
      <c r="C5868" s="1"/>
      <c r="D5868" s="2"/>
      <c r="E5868" s="2"/>
      <c r="F5868" s="2"/>
      <c r="G5868" s="2"/>
      <c r="H5868" s="2"/>
      <c r="I5868" s="2"/>
      <c r="J5868" s="2"/>
      <c r="K5868" s="2"/>
      <c r="L5868" s="2"/>
      <c r="M5868" s="2"/>
      <c r="N5868" s="2"/>
      <c r="O5868" s="2"/>
      <c r="P5868" s="2"/>
      <c r="Q5868" s="2"/>
      <c r="R5868" s="2"/>
      <c r="S5868" s="2"/>
      <c r="T5868" s="2"/>
      <c r="U5868" s="2"/>
      <c r="V5868" s="2"/>
      <c r="W5868" s="2"/>
    </row>
    <row r="5869" spans="1:23" x14ac:dyDescent="0.25">
      <c r="A5869" s="2"/>
      <c r="B5869" s="2"/>
      <c r="C5869" s="1"/>
      <c r="D5869" s="2"/>
      <c r="E5869" s="2"/>
      <c r="F5869" s="2"/>
      <c r="G5869" s="2"/>
      <c r="H5869" s="2"/>
      <c r="I5869" s="2"/>
      <c r="J5869" s="2"/>
      <c r="K5869" s="2"/>
      <c r="L5869" s="2"/>
      <c r="M5869" s="2"/>
      <c r="N5869" s="2"/>
      <c r="O5869" s="2"/>
      <c r="P5869" s="2"/>
      <c r="Q5869" s="2"/>
      <c r="R5869" s="2"/>
      <c r="S5869" s="2"/>
      <c r="T5869" s="2"/>
      <c r="U5869" s="2"/>
      <c r="V5869" s="2"/>
      <c r="W5869" s="2"/>
    </row>
    <row r="5870" spans="1:23" x14ac:dyDescent="0.25">
      <c r="A5870" s="2"/>
      <c r="B5870" s="2"/>
      <c r="C5870" s="1"/>
      <c r="D5870" s="2"/>
      <c r="E5870" s="2"/>
      <c r="F5870" s="2"/>
      <c r="G5870" s="2"/>
      <c r="H5870" s="2"/>
      <c r="I5870" s="2"/>
      <c r="J5870" s="2"/>
      <c r="K5870" s="2"/>
      <c r="L5870" s="2"/>
      <c r="M5870" s="2"/>
      <c r="N5870" s="2"/>
      <c r="O5870" s="2"/>
      <c r="P5870" s="2"/>
      <c r="Q5870" s="2"/>
      <c r="R5870" s="2"/>
      <c r="S5870" s="2"/>
      <c r="T5870" s="2"/>
      <c r="U5870" s="2"/>
      <c r="V5870" s="2"/>
      <c r="W5870" s="2"/>
    </row>
    <row r="5871" spans="1:23" x14ac:dyDescent="0.25">
      <c r="A5871" s="2"/>
      <c r="B5871" s="2"/>
      <c r="C5871" s="1"/>
      <c r="D5871" s="2"/>
      <c r="E5871" s="2"/>
      <c r="F5871" s="2"/>
      <c r="G5871" s="2"/>
      <c r="H5871" s="2"/>
      <c r="I5871" s="2"/>
      <c r="J5871" s="2"/>
      <c r="K5871" s="2"/>
      <c r="L5871" s="2"/>
      <c r="M5871" s="2"/>
      <c r="N5871" s="2"/>
      <c r="O5871" s="2"/>
      <c r="P5871" s="2"/>
      <c r="Q5871" s="2"/>
      <c r="R5871" s="2"/>
      <c r="S5871" s="2"/>
      <c r="T5871" s="2"/>
      <c r="U5871" s="2"/>
      <c r="V5871" s="2"/>
      <c r="W5871" s="2"/>
    </row>
    <row r="5872" spans="1:23" x14ac:dyDescent="0.25">
      <c r="A5872" s="2"/>
      <c r="B5872" s="2"/>
      <c r="C5872" s="1"/>
      <c r="D5872" s="2"/>
      <c r="E5872" s="2"/>
      <c r="F5872" s="2"/>
      <c r="G5872" s="2"/>
      <c r="H5872" s="2"/>
      <c r="I5872" s="2"/>
      <c r="J5872" s="2"/>
      <c r="K5872" s="2"/>
      <c r="L5872" s="2"/>
      <c r="M5872" s="2"/>
      <c r="N5872" s="2"/>
      <c r="O5872" s="2"/>
      <c r="P5872" s="2"/>
      <c r="Q5872" s="2"/>
      <c r="R5872" s="2"/>
      <c r="S5872" s="2"/>
      <c r="T5872" s="2"/>
      <c r="U5872" s="2"/>
      <c r="V5872" s="2"/>
      <c r="W5872" s="2"/>
    </row>
    <row r="5873" spans="1:23" x14ac:dyDescent="0.25">
      <c r="A5873" s="2"/>
      <c r="B5873" s="2"/>
      <c r="C5873" s="1"/>
      <c r="D5873" s="2"/>
      <c r="E5873" s="2"/>
      <c r="F5873" s="2"/>
      <c r="G5873" s="2"/>
      <c r="H5873" s="2"/>
      <c r="I5873" s="2"/>
      <c r="J5873" s="2"/>
      <c r="K5873" s="2"/>
      <c r="L5873" s="2"/>
      <c r="M5873" s="2"/>
      <c r="N5873" s="2"/>
      <c r="O5873" s="2"/>
      <c r="P5873" s="2"/>
      <c r="Q5873" s="2"/>
      <c r="R5873" s="2"/>
      <c r="S5873" s="2"/>
      <c r="T5873" s="2"/>
      <c r="U5873" s="2"/>
      <c r="V5873" s="2"/>
      <c r="W5873" s="2"/>
    </row>
    <row r="5874" spans="1:23" x14ac:dyDescent="0.25">
      <c r="A5874" s="2"/>
      <c r="B5874" s="2"/>
      <c r="C5874" s="1"/>
      <c r="D5874" s="2"/>
      <c r="E5874" s="2"/>
      <c r="F5874" s="2"/>
      <c r="G5874" s="2"/>
      <c r="H5874" s="2"/>
      <c r="I5874" s="2"/>
      <c r="J5874" s="2"/>
      <c r="K5874" s="2"/>
      <c r="L5874" s="2"/>
      <c r="M5874" s="2"/>
      <c r="N5874" s="2"/>
      <c r="O5874" s="2"/>
      <c r="P5874" s="2"/>
      <c r="Q5874" s="2"/>
      <c r="R5874" s="2"/>
      <c r="S5874" s="2"/>
      <c r="T5874" s="2"/>
      <c r="U5874" s="2"/>
      <c r="V5874" s="2"/>
      <c r="W5874" s="2"/>
    </row>
    <row r="5875" spans="1:23" x14ac:dyDescent="0.25">
      <c r="A5875" s="2"/>
      <c r="B5875" s="2"/>
      <c r="C5875" s="1"/>
      <c r="D5875" s="2"/>
      <c r="E5875" s="2"/>
      <c r="F5875" s="2"/>
      <c r="G5875" s="2"/>
      <c r="H5875" s="2"/>
      <c r="I5875" s="2"/>
      <c r="J5875" s="2"/>
      <c r="K5875" s="2"/>
      <c r="L5875" s="2"/>
      <c r="M5875" s="2"/>
      <c r="N5875" s="2"/>
      <c r="O5875" s="2"/>
      <c r="P5875" s="2"/>
      <c r="Q5875" s="2"/>
      <c r="R5875" s="2"/>
      <c r="S5875" s="2"/>
      <c r="T5875" s="2"/>
      <c r="U5875" s="2"/>
      <c r="V5875" s="2"/>
      <c r="W5875" s="2"/>
    </row>
    <row r="5876" spans="1:23" x14ac:dyDescent="0.25">
      <c r="A5876" s="2"/>
      <c r="B5876" s="2"/>
      <c r="C5876" s="1"/>
      <c r="D5876" s="2"/>
      <c r="E5876" s="2"/>
      <c r="F5876" s="2"/>
      <c r="G5876" s="2"/>
      <c r="H5876" s="2"/>
      <c r="I5876" s="2"/>
      <c r="J5876" s="2"/>
      <c r="K5876" s="2"/>
      <c r="L5876" s="2"/>
      <c r="M5876" s="2"/>
      <c r="N5876" s="2"/>
      <c r="O5876" s="2"/>
      <c r="P5876" s="2"/>
      <c r="Q5876" s="2"/>
      <c r="R5876" s="2"/>
      <c r="S5876" s="2"/>
      <c r="T5876" s="2"/>
      <c r="U5876" s="2"/>
      <c r="V5876" s="2"/>
      <c r="W5876" s="2"/>
    </row>
    <row r="5877" spans="1:23" x14ac:dyDescent="0.25">
      <c r="A5877" s="2"/>
      <c r="B5877" s="2"/>
      <c r="C5877" s="1"/>
      <c r="D5877" s="2"/>
      <c r="E5877" s="2"/>
      <c r="F5877" s="2"/>
      <c r="G5877" s="2"/>
      <c r="H5877" s="2"/>
      <c r="I5877" s="2"/>
      <c r="J5877" s="2"/>
      <c r="K5877" s="2"/>
      <c r="L5877" s="2"/>
      <c r="M5877" s="2"/>
      <c r="N5877" s="2"/>
      <c r="O5877" s="2"/>
      <c r="P5877" s="2"/>
      <c r="Q5877" s="2"/>
      <c r="R5877" s="2"/>
      <c r="S5877" s="2"/>
      <c r="T5877" s="2"/>
      <c r="U5877" s="2"/>
      <c r="V5877" s="2"/>
      <c r="W5877" s="2"/>
    </row>
    <row r="5878" spans="1:23" x14ac:dyDescent="0.25">
      <c r="A5878" s="2"/>
      <c r="B5878" s="2"/>
      <c r="C5878" s="1"/>
      <c r="D5878" s="2"/>
      <c r="E5878" s="2"/>
      <c r="F5878" s="2"/>
      <c r="G5878" s="2"/>
      <c r="H5878" s="2"/>
      <c r="I5878" s="2"/>
      <c r="J5878" s="2"/>
      <c r="K5878" s="2"/>
      <c r="L5878" s="2"/>
      <c r="M5878" s="2"/>
      <c r="N5878" s="2"/>
      <c r="O5878" s="2"/>
      <c r="P5878" s="2"/>
      <c r="Q5878" s="2"/>
      <c r="R5878" s="2"/>
      <c r="S5878" s="2"/>
      <c r="T5878" s="2"/>
      <c r="U5878" s="2"/>
      <c r="V5878" s="2"/>
      <c r="W5878" s="2"/>
    </row>
    <row r="5879" spans="1:23" x14ac:dyDescent="0.25">
      <c r="A5879" s="2"/>
      <c r="B5879" s="2"/>
      <c r="C5879" s="1"/>
      <c r="D5879" s="2"/>
      <c r="E5879" s="2"/>
      <c r="F5879" s="2"/>
      <c r="G5879" s="2"/>
      <c r="H5879" s="2"/>
      <c r="I5879" s="2"/>
      <c r="J5879" s="2"/>
      <c r="K5879" s="2"/>
      <c r="L5879" s="2"/>
      <c r="M5879" s="2"/>
      <c r="N5879" s="2"/>
      <c r="O5879" s="2"/>
      <c r="P5879" s="2"/>
      <c r="Q5879" s="2"/>
      <c r="R5879" s="2"/>
      <c r="S5879" s="2"/>
      <c r="T5879" s="2"/>
      <c r="U5879" s="2"/>
      <c r="V5879" s="2"/>
      <c r="W5879" s="2"/>
    </row>
    <row r="5880" spans="1:23" x14ac:dyDescent="0.25">
      <c r="A5880" s="2"/>
      <c r="B5880" s="2"/>
      <c r="C5880" s="1"/>
      <c r="D5880" s="2"/>
      <c r="E5880" s="2"/>
      <c r="F5880" s="2"/>
      <c r="G5880" s="2"/>
      <c r="H5880" s="2"/>
      <c r="I5880" s="2"/>
      <c r="J5880" s="2"/>
      <c r="K5880" s="2"/>
      <c r="L5880" s="2"/>
      <c r="M5880" s="2"/>
      <c r="N5880" s="2"/>
      <c r="O5880" s="2"/>
      <c r="P5880" s="2"/>
      <c r="Q5880" s="2"/>
      <c r="R5880" s="2"/>
      <c r="S5880" s="2"/>
      <c r="T5880" s="2"/>
      <c r="U5880" s="2"/>
      <c r="V5880" s="2"/>
      <c r="W5880" s="2"/>
    </row>
    <row r="5881" spans="1:23" x14ac:dyDescent="0.25">
      <c r="A5881" s="2"/>
      <c r="B5881" s="2"/>
      <c r="C5881" s="1"/>
      <c r="D5881" s="2"/>
      <c r="E5881" s="2"/>
      <c r="F5881" s="2"/>
      <c r="G5881" s="2"/>
      <c r="H5881" s="2"/>
      <c r="I5881" s="2"/>
      <c r="J5881" s="2"/>
      <c r="K5881" s="2"/>
      <c r="L5881" s="2"/>
      <c r="M5881" s="2"/>
      <c r="N5881" s="2"/>
      <c r="O5881" s="2"/>
      <c r="P5881" s="2"/>
      <c r="Q5881" s="2"/>
      <c r="R5881" s="2"/>
      <c r="S5881" s="2"/>
      <c r="T5881" s="2"/>
      <c r="U5881" s="2"/>
      <c r="V5881" s="2"/>
      <c r="W5881" s="2"/>
    </row>
    <row r="5882" spans="1:23" x14ac:dyDescent="0.25">
      <c r="A5882" s="2"/>
      <c r="B5882" s="2"/>
      <c r="C5882" s="1"/>
      <c r="D5882" s="2"/>
      <c r="E5882" s="2"/>
      <c r="F5882" s="2"/>
      <c r="G5882" s="2"/>
      <c r="H5882" s="2"/>
      <c r="I5882" s="2"/>
      <c r="J5882" s="2"/>
      <c r="K5882" s="2"/>
      <c r="L5882" s="2"/>
      <c r="M5882" s="2"/>
      <c r="N5882" s="2"/>
      <c r="O5882" s="2"/>
      <c r="P5882" s="2"/>
      <c r="Q5882" s="2"/>
      <c r="R5882" s="2"/>
      <c r="S5882" s="2"/>
      <c r="T5882" s="2"/>
      <c r="U5882" s="2"/>
      <c r="V5882" s="2"/>
      <c r="W5882" s="2"/>
    </row>
    <row r="5883" spans="1:23" x14ac:dyDescent="0.25">
      <c r="A5883" s="2"/>
      <c r="B5883" s="2"/>
      <c r="C5883" s="1"/>
      <c r="D5883" s="2"/>
      <c r="E5883" s="2"/>
      <c r="F5883" s="2"/>
      <c r="G5883" s="2"/>
      <c r="H5883" s="2"/>
      <c r="I5883" s="2"/>
      <c r="J5883" s="2"/>
      <c r="K5883" s="2"/>
      <c r="L5883" s="2"/>
      <c r="M5883" s="2"/>
      <c r="N5883" s="2"/>
      <c r="O5883" s="2"/>
      <c r="P5883" s="2"/>
      <c r="Q5883" s="2"/>
      <c r="R5883" s="2"/>
      <c r="S5883" s="2"/>
      <c r="T5883" s="2"/>
      <c r="U5883" s="2"/>
      <c r="V5883" s="2"/>
      <c r="W5883" s="2"/>
    </row>
    <row r="5884" spans="1:23" x14ac:dyDescent="0.25">
      <c r="A5884" s="2"/>
      <c r="B5884" s="2"/>
      <c r="C5884" s="1"/>
      <c r="D5884" s="2"/>
      <c r="E5884" s="2"/>
      <c r="F5884" s="2"/>
      <c r="G5884" s="2"/>
      <c r="H5884" s="2"/>
      <c r="I5884" s="2"/>
      <c r="J5884" s="2"/>
      <c r="K5884" s="2"/>
      <c r="L5884" s="2"/>
      <c r="M5884" s="2"/>
      <c r="N5884" s="2"/>
      <c r="O5884" s="2"/>
      <c r="P5884" s="2"/>
      <c r="Q5884" s="2"/>
      <c r="R5884" s="2"/>
      <c r="S5884" s="2"/>
      <c r="T5884" s="2"/>
      <c r="U5884" s="2"/>
      <c r="V5884" s="2"/>
      <c r="W5884" s="2"/>
    </row>
    <row r="5885" spans="1:23" x14ac:dyDescent="0.25">
      <c r="A5885" s="2"/>
      <c r="B5885" s="2"/>
      <c r="C5885" s="1"/>
      <c r="D5885" s="2"/>
      <c r="E5885" s="2"/>
      <c r="F5885" s="2"/>
      <c r="G5885" s="2"/>
      <c r="H5885" s="2"/>
      <c r="I5885" s="2"/>
      <c r="J5885" s="2"/>
      <c r="K5885" s="2"/>
      <c r="L5885" s="2"/>
      <c r="M5885" s="2"/>
      <c r="N5885" s="2"/>
      <c r="O5885" s="2"/>
      <c r="P5885" s="2"/>
      <c r="Q5885" s="2"/>
      <c r="R5885" s="2"/>
      <c r="S5885" s="2"/>
      <c r="T5885" s="2"/>
      <c r="U5885" s="2"/>
      <c r="V5885" s="2"/>
      <c r="W5885" s="2"/>
    </row>
    <row r="5886" spans="1:23" x14ac:dyDescent="0.25">
      <c r="A5886" s="2"/>
      <c r="B5886" s="2"/>
      <c r="C5886" s="1"/>
      <c r="D5886" s="2"/>
      <c r="E5886" s="2"/>
      <c r="F5886" s="2"/>
      <c r="G5886" s="2"/>
      <c r="H5886" s="2"/>
      <c r="I5886" s="2"/>
      <c r="J5886" s="2"/>
      <c r="K5886" s="2"/>
      <c r="L5886" s="2"/>
      <c r="M5886" s="2"/>
      <c r="N5886" s="2"/>
      <c r="O5886" s="2"/>
      <c r="P5886" s="2"/>
      <c r="Q5886" s="2"/>
      <c r="R5886" s="2"/>
      <c r="S5886" s="2"/>
      <c r="T5886" s="2"/>
      <c r="U5886" s="2"/>
      <c r="V5886" s="2"/>
      <c r="W5886" s="2"/>
    </row>
    <row r="5887" spans="1:23" x14ac:dyDescent="0.25">
      <c r="A5887" s="2"/>
      <c r="B5887" s="2"/>
      <c r="C5887" s="1"/>
      <c r="D5887" s="2"/>
      <c r="E5887" s="2"/>
      <c r="F5887" s="2"/>
      <c r="G5887" s="2"/>
      <c r="H5887" s="2"/>
      <c r="I5887" s="2"/>
      <c r="J5887" s="2"/>
      <c r="K5887" s="2"/>
      <c r="L5887" s="2"/>
      <c r="M5887" s="2"/>
      <c r="N5887" s="2"/>
      <c r="O5887" s="2"/>
      <c r="P5887" s="2"/>
      <c r="Q5887" s="2"/>
      <c r="R5887" s="2"/>
      <c r="S5887" s="2"/>
      <c r="T5887" s="2"/>
      <c r="U5887" s="2"/>
      <c r="V5887" s="2"/>
      <c r="W5887" s="2"/>
    </row>
    <row r="5888" spans="1:23" x14ac:dyDescent="0.25">
      <c r="A5888" s="2"/>
      <c r="B5888" s="2"/>
      <c r="C5888" s="1"/>
      <c r="D5888" s="2"/>
      <c r="E5888" s="2"/>
      <c r="F5888" s="2"/>
      <c r="G5888" s="2"/>
      <c r="H5888" s="2"/>
      <c r="I5888" s="2"/>
      <c r="J5888" s="2"/>
      <c r="K5888" s="2"/>
      <c r="L5888" s="2"/>
      <c r="M5888" s="2"/>
      <c r="N5888" s="2"/>
      <c r="O5888" s="2"/>
      <c r="P5888" s="2"/>
      <c r="Q5888" s="2"/>
      <c r="R5888" s="2"/>
      <c r="S5888" s="2"/>
      <c r="T5888" s="2"/>
      <c r="U5888" s="2"/>
      <c r="V5888" s="2"/>
      <c r="W5888" s="2"/>
    </row>
    <row r="5889" spans="1:23" x14ac:dyDescent="0.25">
      <c r="A5889" s="2"/>
      <c r="B5889" s="2"/>
      <c r="C5889" s="1"/>
      <c r="D5889" s="2"/>
      <c r="E5889" s="2"/>
      <c r="F5889" s="2"/>
      <c r="G5889" s="2"/>
      <c r="H5889" s="2"/>
      <c r="I5889" s="2"/>
      <c r="J5889" s="2"/>
      <c r="K5889" s="2"/>
      <c r="L5889" s="2"/>
      <c r="M5889" s="2"/>
      <c r="N5889" s="2"/>
      <c r="O5889" s="2"/>
      <c r="P5889" s="2"/>
      <c r="Q5889" s="2"/>
      <c r="R5889" s="2"/>
      <c r="S5889" s="2"/>
      <c r="T5889" s="2"/>
      <c r="U5889" s="2"/>
      <c r="V5889" s="2"/>
      <c r="W5889" s="2"/>
    </row>
    <row r="5890" spans="1:23" x14ac:dyDescent="0.25">
      <c r="A5890" s="2"/>
      <c r="B5890" s="2"/>
      <c r="C5890" s="1"/>
      <c r="D5890" s="2"/>
      <c r="E5890" s="2"/>
      <c r="F5890" s="2"/>
      <c r="G5890" s="2"/>
      <c r="H5890" s="2"/>
      <c r="I5890" s="2"/>
      <c r="J5890" s="2"/>
      <c r="K5890" s="2"/>
      <c r="L5890" s="2"/>
      <c r="M5890" s="2"/>
      <c r="N5890" s="2"/>
      <c r="O5890" s="2"/>
      <c r="P5890" s="2"/>
      <c r="Q5890" s="2"/>
      <c r="R5890" s="2"/>
      <c r="S5890" s="2"/>
      <c r="T5890" s="2"/>
      <c r="U5890" s="2"/>
      <c r="V5890" s="2"/>
      <c r="W5890" s="2"/>
    </row>
    <row r="5891" spans="1:23" x14ac:dyDescent="0.25">
      <c r="A5891" s="2"/>
      <c r="B5891" s="2"/>
      <c r="C5891" s="1"/>
      <c r="D5891" s="2"/>
      <c r="E5891" s="2"/>
      <c r="F5891" s="2"/>
      <c r="G5891" s="2"/>
      <c r="H5891" s="2"/>
      <c r="I5891" s="2"/>
      <c r="J5891" s="2"/>
      <c r="K5891" s="2"/>
      <c r="L5891" s="2"/>
      <c r="M5891" s="2"/>
      <c r="N5891" s="2"/>
      <c r="O5891" s="2"/>
      <c r="P5891" s="2"/>
      <c r="Q5891" s="2"/>
      <c r="R5891" s="2"/>
      <c r="S5891" s="2"/>
      <c r="T5891" s="2"/>
      <c r="U5891" s="2"/>
      <c r="V5891" s="2"/>
      <c r="W5891" s="2"/>
    </row>
    <row r="5892" spans="1:23" x14ac:dyDescent="0.25">
      <c r="A5892" s="2"/>
      <c r="B5892" s="2"/>
      <c r="C5892" s="1"/>
      <c r="D5892" s="2"/>
      <c r="E5892" s="2"/>
      <c r="F5892" s="2"/>
      <c r="G5892" s="2"/>
      <c r="H5892" s="2"/>
      <c r="I5892" s="2"/>
      <c r="J5892" s="2"/>
      <c r="K5892" s="2"/>
      <c r="L5892" s="2"/>
      <c r="M5892" s="2"/>
      <c r="N5892" s="2"/>
      <c r="O5892" s="2"/>
      <c r="P5892" s="2"/>
      <c r="Q5892" s="2"/>
      <c r="R5892" s="2"/>
      <c r="S5892" s="2"/>
      <c r="T5892" s="2"/>
      <c r="U5892" s="2"/>
      <c r="V5892" s="2"/>
      <c r="W5892" s="2"/>
    </row>
    <row r="5893" spans="1:23" x14ac:dyDescent="0.25">
      <c r="A5893" s="2"/>
      <c r="B5893" s="2"/>
      <c r="C5893" s="1"/>
      <c r="D5893" s="2"/>
      <c r="E5893" s="2"/>
      <c r="F5893" s="2"/>
      <c r="G5893" s="2"/>
      <c r="H5893" s="2"/>
      <c r="I5893" s="2"/>
      <c r="J5893" s="2"/>
      <c r="K5893" s="2"/>
      <c r="L5893" s="2"/>
      <c r="M5893" s="2"/>
      <c r="N5893" s="2"/>
      <c r="O5893" s="2"/>
      <c r="P5893" s="2"/>
      <c r="Q5893" s="2"/>
      <c r="R5893" s="2"/>
      <c r="S5893" s="2"/>
      <c r="T5893" s="2"/>
      <c r="U5893" s="2"/>
      <c r="V5893" s="2"/>
      <c r="W5893" s="2"/>
    </row>
    <row r="5894" spans="1:23" x14ac:dyDescent="0.25">
      <c r="A5894" s="2"/>
      <c r="B5894" s="2"/>
      <c r="C5894" s="1"/>
      <c r="D5894" s="2"/>
      <c r="E5894" s="2"/>
      <c r="F5894" s="2"/>
      <c r="G5894" s="2"/>
      <c r="H5894" s="2"/>
      <c r="I5894" s="2"/>
      <c r="J5894" s="2"/>
      <c r="K5894" s="2"/>
      <c r="L5894" s="2"/>
      <c r="M5894" s="2"/>
      <c r="N5894" s="2"/>
      <c r="O5894" s="2"/>
      <c r="P5894" s="2"/>
      <c r="Q5894" s="2"/>
      <c r="R5894" s="2"/>
      <c r="S5894" s="2"/>
      <c r="T5894" s="2"/>
      <c r="U5894" s="2"/>
      <c r="V5894" s="2"/>
      <c r="W5894" s="2"/>
    </row>
    <row r="5895" spans="1:23" x14ac:dyDescent="0.25">
      <c r="A5895" s="2"/>
      <c r="B5895" s="2"/>
      <c r="C5895" s="1"/>
      <c r="D5895" s="2"/>
      <c r="E5895" s="2"/>
      <c r="F5895" s="2"/>
      <c r="G5895" s="2"/>
      <c r="H5895" s="2"/>
      <c r="I5895" s="2"/>
      <c r="J5895" s="2"/>
      <c r="K5895" s="2"/>
      <c r="L5895" s="2"/>
      <c r="M5895" s="2"/>
      <c r="N5895" s="2"/>
      <c r="O5895" s="2"/>
      <c r="P5895" s="2"/>
      <c r="Q5895" s="2"/>
      <c r="R5895" s="2"/>
      <c r="S5895" s="2"/>
      <c r="T5895" s="2"/>
      <c r="U5895" s="2"/>
      <c r="V5895" s="2"/>
      <c r="W5895" s="2"/>
    </row>
    <row r="5896" spans="1:23" x14ac:dyDescent="0.25">
      <c r="A5896" s="2"/>
      <c r="B5896" s="2"/>
      <c r="C5896" s="1"/>
      <c r="D5896" s="2"/>
      <c r="E5896" s="2"/>
      <c r="F5896" s="2"/>
      <c r="G5896" s="2"/>
      <c r="H5896" s="2"/>
      <c r="I5896" s="2"/>
      <c r="J5896" s="2"/>
      <c r="K5896" s="2"/>
      <c r="L5896" s="2"/>
      <c r="M5896" s="2"/>
      <c r="N5896" s="2"/>
      <c r="O5896" s="2"/>
      <c r="P5896" s="2"/>
      <c r="Q5896" s="2"/>
      <c r="R5896" s="2"/>
      <c r="S5896" s="2"/>
      <c r="T5896" s="2"/>
      <c r="U5896" s="2"/>
      <c r="V5896" s="2"/>
      <c r="W5896" s="2"/>
    </row>
    <row r="5897" spans="1:23" x14ac:dyDescent="0.25">
      <c r="A5897" s="2"/>
      <c r="B5897" s="2"/>
      <c r="C5897" s="1"/>
      <c r="D5897" s="2"/>
      <c r="E5897" s="2"/>
      <c r="F5897" s="2"/>
      <c r="G5897" s="2"/>
      <c r="H5897" s="2"/>
      <c r="I5897" s="2"/>
      <c r="J5897" s="2"/>
      <c r="K5897" s="2"/>
      <c r="L5897" s="2"/>
      <c r="M5897" s="2"/>
      <c r="N5897" s="2"/>
      <c r="O5897" s="2"/>
      <c r="P5897" s="2"/>
      <c r="Q5897" s="2"/>
      <c r="R5897" s="2"/>
      <c r="S5897" s="2"/>
      <c r="T5897" s="2"/>
      <c r="U5897" s="2"/>
      <c r="V5897" s="2"/>
      <c r="W5897" s="2"/>
    </row>
    <row r="5898" spans="1:23" x14ac:dyDescent="0.25">
      <c r="A5898" s="2"/>
      <c r="B5898" s="2"/>
      <c r="C5898" s="1"/>
      <c r="D5898" s="2"/>
      <c r="E5898" s="2"/>
      <c r="F5898" s="2"/>
      <c r="G5898" s="2"/>
      <c r="H5898" s="2"/>
      <c r="I5898" s="2"/>
      <c r="J5898" s="2"/>
      <c r="K5898" s="2"/>
      <c r="L5898" s="2"/>
      <c r="M5898" s="2"/>
      <c r="N5898" s="2"/>
      <c r="O5898" s="2"/>
      <c r="P5898" s="2"/>
      <c r="Q5898" s="2"/>
      <c r="R5898" s="2"/>
      <c r="S5898" s="2"/>
      <c r="T5898" s="2"/>
      <c r="U5898" s="2"/>
      <c r="V5898" s="2"/>
      <c r="W5898" s="2"/>
    </row>
    <row r="5899" spans="1:23" x14ac:dyDescent="0.25">
      <c r="A5899" s="2"/>
      <c r="B5899" s="2"/>
      <c r="C5899" s="1"/>
      <c r="D5899" s="2"/>
      <c r="E5899" s="2"/>
      <c r="F5899" s="2"/>
      <c r="G5899" s="2"/>
      <c r="H5899" s="2"/>
      <c r="I5899" s="2"/>
      <c r="J5899" s="2"/>
      <c r="K5899" s="2"/>
      <c r="L5899" s="2"/>
      <c r="M5899" s="2"/>
      <c r="N5899" s="2"/>
      <c r="O5899" s="2"/>
      <c r="P5899" s="2"/>
      <c r="Q5899" s="2"/>
      <c r="R5899" s="2"/>
      <c r="S5899" s="2"/>
      <c r="T5899" s="2"/>
      <c r="U5899" s="2"/>
      <c r="V5899" s="2"/>
      <c r="W5899" s="2"/>
    </row>
    <row r="5900" spans="1:23" x14ac:dyDescent="0.25">
      <c r="A5900" s="2"/>
      <c r="B5900" s="2"/>
      <c r="C5900" s="1"/>
      <c r="D5900" s="2"/>
      <c r="E5900" s="2"/>
      <c r="F5900" s="2"/>
      <c r="G5900" s="2"/>
      <c r="H5900" s="2"/>
      <c r="I5900" s="2"/>
      <c r="J5900" s="2"/>
      <c r="K5900" s="2"/>
      <c r="L5900" s="2"/>
      <c r="M5900" s="2"/>
      <c r="N5900" s="2"/>
      <c r="O5900" s="2"/>
      <c r="P5900" s="2"/>
      <c r="Q5900" s="2"/>
      <c r="R5900" s="2"/>
      <c r="S5900" s="2"/>
      <c r="T5900" s="2"/>
      <c r="U5900" s="2"/>
      <c r="V5900" s="2"/>
      <c r="W5900" s="2"/>
    </row>
    <row r="5901" spans="1:23" x14ac:dyDescent="0.25">
      <c r="A5901" s="2"/>
      <c r="B5901" s="2"/>
      <c r="C5901" s="1"/>
      <c r="D5901" s="2"/>
      <c r="E5901" s="2"/>
      <c r="F5901" s="2"/>
      <c r="G5901" s="2"/>
      <c r="H5901" s="2"/>
      <c r="I5901" s="2"/>
      <c r="J5901" s="2"/>
      <c r="K5901" s="2"/>
      <c r="L5901" s="2"/>
      <c r="M5901" s="2"/>
      <c r="N5901" s="2"/>
      <c r="O5901" s="2"/>
      <c r="P5901" s="2"/>
      <c r="Q5901" s="2"/>
      <c r="R5901" s="2"/>
      <c r="S5901" s="2"/>
      <c r="T5901" s="2"/>
      <c r="U5901" s="2"/>
      <c r="V5901" s="2"/>
      <c r="W5901" s="2"/>
    </row>
    <row r="5902" spans="1:23" x14ac:dyDescent="0.25">
      <c r="A5902" s="2"/>
      <c r="B5902" s="2"/>
      <c r="C5902" s="1"/>
      <c r="D5902" s="2"/>
      <c r="E5902" s="2"/>
      <c r="F5902" s="2"/>
      <c r="G5902" s="2"/>
      <c r="H5902" s="2"/>
      <c r="I5902" s="2"/>
      <c r="J5902" s="2"/>
      <c r="K5902" s="2"/>
      <c r="L5902" s="2"/>
      <c r="M5902" s="2"/>
      <c r="N5902" s="2"/>
      <c r="O5902" s="2"/>
      <c r="P5902" s="2"/>
      <c r="Q5902" s="2"/>
      <c r="R5902" s="2"/>
      <c r="S5902" s="2"/>
      <c r="T5902" s="2"/>
      <c r="U5902" s="2"/>
      <c r="V5902" s="2"/>
      <c r="W5902" s="2"/>
    </row>
    <row r="5903" spans="1:23" x14ac:dyDescent="0.25">
      <c r="A5903" s="2"/>
      <c r="B5903" s="2"/>
      <c r="C5903" s="1"/>
      <c r="D5903" s="2"/>
      <c r="E5903" s="2"/>
      <c r="F5903" s="2"/>
      <c r="G5903" s="2"/>
      <c r="H5903" s="2"/>
      <c r="I5903" s="2"/>
      <c r="J5903" s="2"/>
      <c r="K5903" s="2"/>
      <c r="L5903" s="2"/>
      <c r="M5903" s="2"/>
      <c r="N5903" s="2"/>
      <c r="O5903" s="2"/>
      <c r="P5903" s="2"/>
      <c r="Q5903" s="2"/>
      <c r="R5903" s="2"/>
      <c r="S5903" s="2"/>
      <c r="T5903" s="2"/>
      <c r="U5903" s="2"/>
      <c r="V5903" s="2"/>
      <c r="W5903" s="2"/>
    </row>
    <row r="5904" spans="1:23" x14ac:dyDescent="0.25">
      <c r="A5904" s="2"/>
      <c r="B5904" s="2"/>
      <c r="C5904" s="1"/>
      <c r="D5904" s="2"/>
      <c r="E5904" s="2"/>
      <c r="F5904" s="2"/>
      <c r="G5904" s="2"/>
      <c r="H5904" s="2"/>
      <c r="I5904" s="2"/>
      <c r="J5904" s="2"/>
      <c r="K5904" s="2"/>
      <c r="L5904" s="2"/>
      <c r="M5904" s="2"/>
      <c r="N5904" s="2"/>
      <c r="O5904" s="2"/>
      <c r="P5904" s="2"/>
      <c r="Q5904" s="2"/>
      <c r="R5904" s="2"/>
      <c r="S5904" s="2"/>
      <c r="T5904" s="2"/>
      <c r="U5904" s="2"/>
      <c r="V5904" s="2"/>
      <c r="W5904" s="2"/>
    </row>
    <row r="5905" spans="1:23" x14ac:dyDescent="0.25">
      <c r="A5905" s="2"/>
      <c r="B5905" s="2"/>
      <c r="C5905" s="1"/>
      <c r="D5905" s="2"/>
      <c r="E5905" s="2"/>
      <c r="F5905" s="2"/>
      <c r="G5905" s="2"/>
      <c r="H5905" s="2"/>
      <c r="I5905" s="2"/>
      <c r="J5905" s="2"/>
      <c r="K5905" s="2"/>
      <c r="L5905" s="2"/>
      <c r="M5905" s="2"/>
      <c r="N5905" s="2"/>
      <c r="O5905" s="2"/>
      <c r="P5905" s="2"/>
      <c r="Q5905" s="2"/>
      <c r="R5905" s="2"/>
      <c r="S5905" s="2"/>
      <c r="T5905" s="2"/>
      <c r="U5905" s="2"/>
      <c r="V5905" s="2"/>
      <c r="W5905" s="2"/>
    </row>
    <row r="5906" spans="1:23" x14ac:dyDescent="0.25">
      <c r="A5906" s="2"/>
      <c r="B5906" s="2"/>
      <c r="C5906" s="1"/>
      <c r="D5906" s="2"/>
      <c r="E5906" s="2"/>
      <c r="F5906" s="2"/>
      <c r="G5906" s="2"/>
      <c r="H5906" s="2"/>
      <c r="I5906" s="2"/>
      <c r="J5906" s="2"/>
      <c r="K5906" s="2"/>
      <c r="L5906" s="2"/>
      <c r="M5906" s="2"/>
      <c r="N5906" s="2"/>
      <c r="O5906" s="2"/>
      <c r="P5906" s="2"/>
      <c r="Q5906" s="2"/>
      <c r="R5906" s="2"/>
      <c r="S5906" s="2"/>
      <c r="T5906" s="2"/>
      <c r="U5906" s="2"/>
      <c r="V5906" s="2"/>
      <c r="W5906" s="2"/>
    </row>
    <row r="5907" spans="1:23" x14ac:dyDescent="0.25">
      <c r="A5907" s="2"/>
      <c r="B5907" s="2"/>
      <c r="C5907" s="1"/>
      <c r="D5907" s="2"/>
      <c r="E5907" s="2"/>
      <c r="F5907" s="2"/>
      <c r="G5907" s="2"/>
      <c r="H5907" s="2"/>
      <c r="I5907" s="2"/>
      <c r="J5907" s="2"/>
      <c r="K5907" s="2"/>
      <c r="L5907" s="2"/>
      <c r="M5907" s="2"/>
      <c r="N5907" s="2"/>
      <c r="O5907" s="2"/>
      <c r="P5907" s="2"/>
      <c r="Q5907" s="2"/>
      <c r="R5907" s="2"/>
      <c r="S5907" s="2"/>
      <c r="T5907" s="2"/>
      <c r="U5907" s="2"/>
      <c r="V5907" s="2"/>
      <c r="W5907" s="2"/>
    </row>
    <row r="5908" spans="1:23" x14ac:dyDescent="0.25">
      <c r="A5908" s="2"/>
      <c r="B5908" s="2"/>
      <c r="C5908" s="1"/>
      <c r="D5908" s="2"/>
      <c r="E5908" s="2"/>
      <c r="F5908" s="2"/>
      <c r="G5908" s="2"/>
      <c r="H5908" s="2"/>
      <c r="I5908" s="2"/>
      <c r="J5908" s="2"/>
      <c r="K5908" s="2"/>
      <c r="L5908" s="2"/>
      <c r="M5908" s="2"/>
      <c r="N5908" s="2"/>
      <c r="O5908" s="2"/>
      <c r="P5908" s="2"/>
      <c r="Q5908" s="2"/>
      <c r="R5908" s="2"/>
      <c r="S5908" s="2"/>
      <c r="T5908" s="2"/>
      <c r="U5908" s="2"/>
      <c r="V5908" s="2"/>
      <c r="W5908" s="2"/>
    </row>
    <row r="5909" spans="1:23" x14ac:dyDescent="0.25">
      <c r="A5909" s="2"/>
      <c r="B5909" s="2"/>
      <c r="C5909" s="1"/>
      <c r="D5909" s="2"/>
      <c r="E5909" s="2"/>
      <c r="F5909" s="2"/>
      <c r="G5909" s="2"/>
      <c r="H5909" s="2"/>
      <c r="I5909" s="2"/>
      <c r="J5909" s="2"/>
      <c r="K5909" s="2"/>
      <c r="L5909" s="2"/>
      <c r="M5909" s="2"/>
      <c r="N5909" s="2"/>
      <c r="O5909" s="2"/>
      <c r="P5909" s="2"/>
      <c r="Q5909" s="2"/>
      <c r="R5909" s="2"/>
      <c r="S5909" s="2"/>
      <c r="T5909" s="2"/>
      <c r="U5909" s="2"/>
      <c r="V5909" s="2"/>
      <c r="W5909" s="2"/>
    </row>
    <row r="5910" spans="1:23" x14ac:dyDescent="0.25">
      <c r="A5910" s="2"/>
      <c r="B5910" s="2"/>
      <c r="C5910" s="1"/>
      <c r="D5910" s="2"/>
      <c r="E5910" s="2"/>
      <c r="F5910" s="2"/>
      <c r="G5910" s="2"/>
      <c r="H5910" s="2"/>
      <c r="I5910" s="2"/>
      <c r="J5910" s="2"/>
      <c r="K5910" s="2"/>
      <c r="L5910" s="2"/>
      <c r="M5910" s="2"/>
      <c r="N5910" s="2"/>
      <c r="O5910" s="2"/>
      <c r="P5910" s="2"/>
      <c r="Q5910" s="2"/>
      <c r="R5910" s="2"/>
      <c r="S5910" s="2"/>
      <c r="T5910" s="2"/>
      <c r="U5910" s="2"/>
      <c r="V5910" s="2"/>
      <c r="W5910" s="2"/>
    </row>
    <row r="5911" spans="1:23" x14ac:dyDescent="0.25">
      <c r="A5911" s="2"/>
      <c r="B5911" s="2"/>
      <c r="C5911" s="1"/>
      <c r="D5911" s="2"/>
      <c r="E5911" s="2"/>
      <c r="F5911" s="2"/>
      <c r="G5911" s="2"/>
      <c r="H5911" s="2"/>
      <c r="I5911" s="2"/>
      <c r="J5911" s="2"/>
      <c r="K5911" s="2"/>
      <c r="L5911" s="2"/>
      <c r="M5911" s="2"/>
      <c r="N5911" s="2"/>
      <c r="O5911" s="2"/>
      <c r="P5911" s="2"/>
      <c r="Q5911" s="2"/>
      <c r="R5911" s="2"/>
      <c r="S5911" s="2"/>
      <c r="T5911" s="2"/>
      <c r="U5911" s="2"/>
      <c r="V5911" s="2"/>
      <c r="W5911" s="2"/>
    </row>
    <row r="5912" spans="1:23" x14ac:dyDescent="0.25">
      <c r="A5912" s="2"/>
      <c r="B5912" s="2"/>
      <c r="C5912" s="1"/>
      <c r="D5912" s="2"/>
      <c r="E5912" s="2"/>
      <c r="F5912" s="2"/>
      <c r="G5912" s="2"/>
      <c r="H5912" s="2"/>
      <c r="I5912" s="2"/>
      <c r="J5912" s="2"/>
      <c r="K5912" s="2"/>
      <c r="L5912" s="2"/>
      <c r="M5912" s="2"/>
      <c r="N5912" s="2"/>
      <c r="O5912" s="2"/>
      <c r="P5912" s="2"/>
      <c r="Q5912" s="2"/>
      <c r="R5912" s="2"/>
      <c r="S5912" s="2"/>
      <c r="T5912" s="2"/>
      <c r="U5912" s="2"/>
      <c r="V5912" s="2"/>
      <c r="W5912" s="2"/>
    </row>
    <row r="5913" spans="1:23" x14ac:dyDescent="0.25">
      <c r="A5913" s="2"/>
      <c r="B5913" s="2"/>
      <c r="C5913" s="1"/>
      <c r="D5913" s="2"/>
      <c r="E5913" s="2"/>
      <c r="F5913" s="2"/>
      <c r="G5913" s="2"/>
      <c r="H5913" s="2"/>
      <c r="I5913" s="2"/>
      <c r="J5913" s="2"/>
      <c r="K5913" s="2"/>
      <c r="L5913" s="2"/>
      <c r="M5913" s="2"/>
      <c r="N5913" s="2"/>
      <c r="O5913" s="2"/>
      <c r="P5913" s="2"/>
      <c r="Q5913" s="2"/>
      <c r="R5913" s="2"/>
      <c r="S5913" s="2"/>
      <c r="T5913" s="2"/>
      <c r="U5913" s="2"/>
      <c r="V5913" s="2"/>
      <c r="W5913" s="2"/>
    </row>
    <row r="5914" spans="1:23" x14ac:dyDescent="0.25">
      <c r="A5914" s="2"/>
      <c r="B5914" s="2"/>
      <c r="C5914" s="1"/>
      <c r="D5914" s="2"/>
      <c r="E5914" s="2"/>
      <c r="F5914" s="2"/>
      <c r="G5914" s="2"/>
      <c r="H5914" s="2"/>
      <c r="I5914" s="2"/>
      <c r="J5914" s="2"/>
      <c r="K5914" s="2"/>
      <c r="L5914" s="2"/>
      <c r="M5914" s="2"/>
      <c r="N5914" s="2"/>
      <c r="O5914" s="2"/>
      <c r="P5914" s="2"/>
      <c r="Q5914" s="2"/>
      <c r="R5914" s="2"/>
      <c r="S5914" s="2"/>
      <c r="T5914" s="2"/>
      <c r="U5914" s="2"/>
      <c r="V5914" s="2"/>
      <c r="W5914" s="2"/>
    </row>
    <row r="5915" spans="1:23" x14ac:dyDescent="0.25">
      <c r="A5915" s="2"/>
      <c r="B5915" s="2"/>
      <c r="C5915" s="1"/>
      <c r="D5915" s="2"/>
      <c r="E5915" s="2"/>
      <c r="F5915" s="2"/>
      <c r="G5915" s="2"/>
      <c r="H5915" s="2"/>
      <c r="I5915" s="2"/>
      <c r="J5915" s="2"/>
      <c r="K5915" s="2"/>
      <c r="L5915" s="2"/>
      <c r="M5915" s="2"/>
      <c r="N5915" s="2"/>
      <c r="O5915" s="2"/>
      <c r="P5915" s="2"/>
      <c r="Q5915" s="2"/>
      <c r="R5915" s="2"/>
      <c r="S5915" s="2"/>
      <c r="T5915" s="2"/>
      <c r="U5915" s="2"/>
      <c r="V5915" s="2"/>
      <c r="W5915" s="2"/>
    </row>
    <row r="5916" spans="1:23" x14ac:dyDescent="0.25">
      <c r="A5916" s="2"/>
      <c r="B5916" s="2"/>
      <c r="C5916" s="1"/>
      <c r="D5916" s="2"/>
      <c r="E5916" s="2"/>
      <c r="F5916" s="2"/>
      <c r="G5916" s="2"/>
      <c r="H5916" s="2"/>
      <c r="I5916" s="2"/>
      <c r="J5916" s="2"/>
      <c r="K5916" s="2"/>
      <c r="L5916" s="2"/>
      <c r="M5916" s="2"/>
      <c r="N5916" s="2"/>
      <c r="O5916" s="2"/>
      <c r="P5916" s="2"/>
      <c r="Q5916" s="2"/>
      <c r="R5916" s="2"/>
      <c r="S5916" s="2"/>
      <c r="T5916" s="2"/>
      <c r="U5916" s="2"/>
      <c r="V5916" s="2"/>
      <c r="W5916" s="2"/>
    </row>
    <row r="5917" spans="1:23" x14ac:dyDescent="0.25">
      <c r="A5917" s="2"/>
      <c r="B5917" s="2"/>
      <c r="C5917" s="1"/>
      <c r="D5917" s="2"/>
      <c r="E5917" s="2"/>
      <c r="F5917" s="2"/>
      <c r="G5917" s="2"/>
      <c r="H5917" s="2"/>
      <c r="I5917" s="2"/>
      <c r="J5917" s="2"/>
      <c r="K5917" s="2"/>
      <c r="L5917" s="2"/>
      <c r="M5917" s="2"/>
      <c r="N5917" s="2"/>
      <c r="O5917" s="2"/>
      <c r="P5917" s="2"/>
      <c r="Q5917" s="2"/>
      <c r="R5917" s="2"/>
      <c r="S5917" s="2"/>
      <c r="T5917" s="2"/>
      <c r="U5917" s="2"/>
      <c r="V5917" s="2"/>
      <c r="W5917" s="2"/>
    </row>
    <row r="5918" spans="1:23" x14ac:dyDescent="0.25">
      <c r="A5918" s="2"/>
      <c r="B5918" s="2"/>
      <c r="C5918" s="1"/>
      <c r="D5918" s="2"/>
      <c r="E5918" s="2"/>
      <c r="F5918" s="2"/>
      <c r="G5918" s="2"/>
      <c r="H5918" s="2"/>
      <c r="I5918" s="2"/>
      <c r="J5918" s="2"/>
      <c r="K5918" s="2"/>
      <c r="L5918" s="2"/>
      <c r="M5918" s="2"/>
      <c r="N5918" s="2"/>
      <c r="O5918" s="2"/>
      <c r="P5918" s="2"/>
      <c r="Q5918" s="2"/>
      <c r="R5918" s="2"/>
      <c r="S5918" s="2"/>
      <c r="T5918" s="2"/>
      <c r="U5918" s="2"/>
      <c r="V5918" s="2"/>
      <c r="W5918" s="2"/>
    </row>
    <row r="5919" spans="1:23" x14ac:dyDescent="0.25">
      <c r="A5919" s="2"/>
      <c r="B5919" s="2"/>
      <c r="C5919" s="1"/>
      <c r="D5919" s="2"/>
      <c r="E5919" s="2"/>
      <c r="F5919" s="2"/>
      <c r="G5919" s="2"/>
      <c r="H5919" s="2"/>
      <c r="I5919" s="2"/>
      <c r="J5919" s="2"/>
      <c r="K5919" s="2"/>
      <c r="L5919" s="2"/>
      <c r="M5919" s="2"/>
      <c r="N5919" s="2"/>
      <c r="O5919" s="2"/>
      <c r="P5919" s="2"/>
      <c r="Q5919" s="2"/>
      <c r="R5919" s="2"/>
      <c r="S5919" s="2"/>
      <c r="T5919" s="2"/>
      <c r="U5919" s="2"/>
      <c r="V5919" s="2"/>
      <c r="W5919" s="2"/>
    </row>
    <row r="5920" spans="1:23" x14ac:dyDescent="0.25">
      <c r="A5920" s="2"/>
      <c r="B5920" s="2"/>
      <c r="C5920" s="1"/>
      <c r="D5920" s="2"/>
      <c r="E5920" s="2"/>
      <c r="F5920" s="2"/>
      <c r="G5920" s="2"/>
      <c r="H5920" s="2"/>
      <c r="I5920" s="2"/>
      <c r="J5920" s="2"/>
      <c r="K5920" s="2"/>
      <c r="L5920" s="2"/>
      <c r="M5920" s="2"/>
      <c r="N5920" s="2"/>
      <c r="O5920" s="2"/>
      <c r="P5920" s="2"/>
      <c r="Q5920" s="2"/>
      <c r="R5920" s="2"/>
      <c r="S5920" s="2"/>
      <c r="T5920" s="2"/>
      <c r="U5920" s="2"/>
      <c r="V5920" s="2"/>
      <c r="W5920" s="2"/>
    </row>
    <row r="5921" spans="1:23" x14ac:dyDescent="0.25">
      <c r="A5921" s="2"/>
      <c r="B5921" s="2"/>
      <c r="C5921" s="1"/>
      <c r="D5921" s="2"/>
      <c r="E5921" s="2"/>
      <c r="F5921" s="2"/>
      <c r="G5921" s="2"/>
      <c r="H5921" s="2"/>
      <c r="I5921" s="2"/>
      <c r="J5921" s="2"/>
      <c r="K5921" s="2"/>
      <c r="L5921" s="2"/>
      <c r="M5921" s="2"/>
      <c r="N5921" s="2"/>
      <c r="O5921" s="2"/>
      <c r="P5921" s="2"/>
      <c r="Q5921" s="2"/>
      <c r="R5921" s="2"/>
      <c r="S5921" s="2"/>
      <c r="T5921" s="2"/>
      <c r="U5921" s="2"/>
      <c r="V5921" s="2"/>
      <c r="W5921" s="2"/>
    </row>
    <row r="5922" spans="1:23" x14ac:dyDescent="0.25">
      <c r="A5922" s="2"/>
      <c r="B5922" s="2"/>
      <c r="C5922" s="1"/>
      <c r="D5922" s="2"/>
      <c r="E5922" s="2"/>
      <c r="F5922" s="2"/>
      <c r="G5922" s="2"/>
      <c r="H5922" s="2"/>
      <c r="I5922" s="2"/>
      <c r="J5922" s="2"/>
      <c r="K5922" s="2"/>
      <c r="L5922" s="2"/>
      <c r="M5922" s="2"/>
      <c r="N5922" s="2"/>
      <c r="O5922" s="2"/>
      <c r="P5922" s="2"/>
      <c r="Q5922" s="2"/>
      <c r="R5922" s="2"/>
      <c r="S5922" s="2"/>
      <c r="T5922" s="2"/>
      <c r="U5922" s="2"/>
      <c r="V5922" s="2"/>
      <c r="W5922" s="2"/>
    </row>
    <row r="5923" spans="1:23" x14ac:dyDescent="0.25">
      <c r="A5923" s="2"/>
      <c r="B5923" s="2"/>
      <c r="C5923" s="1"/>
      <c r="D5923" s="2"/>
      <c r="E5923" s="2"/>
      <c r="F5923" s="2"/>
      <c r="G5923" s="2"/>
      <c r="H5923" s="2"/>
      <c r="I5923" s="2"/>
      <c r="J5923" s="2"/>
      <c r="K5923" s="2"/>
      <c r="L5923" s="2"/>
      <c r="M5923" s="2"/>
      <c r="N5923" s="2"/>
      <c r="O5923" s="2"/>
      <c r="P5923" s="2"/>
      <c r="Q5923" s="2"/>
      <c r="R5923" s="2"/>
      <c r="S5923" s="2"/>
      <c r="T5923" s="2"/>
      <c r="U5923" s="2"/>
      <c r="V5923" s="2"/>
      <c r="W5923" s="2"/>
    </row>
    <row r="5924" spans="1:23" x14ac:dyDescent="0.25">
      <c r="A5924" s="2"/>
      <c r="B5924" s="2"/>
      <c r="C5924" s="1"/>
      <c r="D5924" s="2"/>
      <c r="E5924" s="2"/>
      <c r="F5924" s="2"/>
      <c r="G5924" s="2"/>
      <c r="H5924" s="2"/>
      <c r="I5924" s="2"/>
      <c r="J5924" s="2"/>
      <c r="K5924" s="2"/>
      <c r="L5924" s="2"/>
      <c r="M5924" s="2"/>
      <c r="N5924" s="2"/>
      <c r="O5924" s="2"/>
      <c r="P5924" s="2"/>
      <c r="Q5924" s="2"/>
      <c r="R5924" s="2"/>
      <c r="S5924" s="2"/>
      <c r="T5924" s="2"/>
      <c r="U5924" s="2"/>
      <c r="V5924" s="2"/>
      <c r="W5924" s="2"/>
    </row>
    <row r="5925" spans="1:23" x14ac:dyDescent="0.25">
      <c r="A5925" s="2"/>
      <c r="B5925" s="2"/>
      <c r="C5925" s="1"/>
      <c r="D5925" s="2"/>
      <c r="E5925" s="2"/>
      <c r="F5925" s="2"/>
      <c r="G5925" s="2"/>
      <c r="H5925" s="2"/>
      <c r="I5925" s="2"/>
      <c r="J5925" s="2"/>
      <c r="K5925" s="2"/>
      <c r="L5925" s="2"/>
      <c r="M5925" s="2"/>
      <c r="N5925" s="2"/>
      <c r="O5925" s="2"/>
      <c r="P5925" s="2"/>
      <c r="Q5925" s="2"/>
      <c r="R5925" s="2"/>
      <c r="S5925" s="2"/>
      <c r="T5925" s="2"/>
      <c r="U5925" s="2"/>
      <c r="V5925" s="2"/>
      <c r="W5925" s="2"/>
    </row>
    <row r="5926" spans="1:23" x14ac:dyDescent="0.25">
      <c r="A5926" s="2"/>
      <c r="B5926" s="2"/>
      <c r="C5926" s="1"/>
      <c r="D5926" s="2"/>
      <c r="E5926" s="2"/>
      <c r="F5926" s="2"/>
      <c r="G5926" s="2"/>
      <c r="H5926" s="2"/>
      <c r="I5926" s="2"/>
      <c r="J5926" s="2"/>
      <c r="K5926" s="2"/>
      <c r="L5926" s="2"/>
      <c r="M5926" s="2"/>
      <c r="N5926" s="2"/>
      <c r="O5926" s="2"/>
      <c r="P5926" s="2"/>
      <c r="Q5926" s="2"/>
      <c r="R5926" s="2"/>
      <c r="S5926" s="2"/>
      <c r="T5926" s="2"/>
      <c r="U5926" s="2"/>
      <c r="V5926" s="2"/>
      <c r="W5926" s="2"/>
    </row>
    <row r="5927" spans="1:23" x14ac:dyDescent="0.25">
      <c r="A5927" s="2"/>
      <c r="B5927" s="2"/>
      <c r="C5927" s="1"/>
      <c r="D5927" s="2"/>
      <c r="E5927" s="2"/>
      <c r="F5927" s="2"/>
      <c r="G5927" s="2"/>
      <c r="H5927" s="2"/>
      <c r="I5927" s="2"/>
      <c r="J5927" s="2"/>
      <c r="K5927" s="2"/>
      <c r="L5927" s="2"/>
      <c r="M5927" s="2"/>
      <c r="N5927" s="2"/>
      <c r="O5927" s="2"/>
      <c r="P5927" s="2"/>
      <c r="Q5927" s="2"/>
      <c r="R5927" s="2"/>
      <c r="S5927" s="2"/>
      <c r="T5927" s="2"/>
      <c r="U5927" s="2"/>
      <c r="V5927" s="2"/>
      <c r="W5927" s="2"/>
    </row>
    <row r="5928" spans="1:23" x14ac:dyDescent="0.25">
      <c r="A5928" s="2"/>
      <c r="B5928" s="2"/>
      <c r="C5928" s="1"/>
      <c r="D5928" s="2"/>
      <c r="E5928" s="2"/>
      <c r="F5928" s="2"/>
      <c r="G5928" s="2"/>
      <c r="H5928" s="2"/>
      <c r="I5928" s="2"/>
      <c r="J5928" s="2"/>
      <c r="K5928" s="2"/>
      <c r="L5928" s="2"/>
      <c r="M5928" s="2"/>
      <c r="N5928" s="2"/>
      <c r="O5928" s="2"/>
      <c r="P5928" s="2"/>
      <c r="Q5928" s="2"/>
      <c r="R5928" s="2"/>
      <c r="S5928" s="2"/>
      <c r="T5928" s="2"/>
      <c r="U5928" s="2"/>
      <c r="V5928" s="2"/>
      <c r="W5928" s="2"/>
    </row>
    <row r="5929" spans="1:23" x14ac:dyDescent="0.25">
      <c r="A5929" s="2"/>
      <c r="B5929" s="2"/>
      <c r="C5929" s="1"/>
      <c r="D5929" s="2"/>
      <c r="E5929" s="2"/>
      <c r="F5929" s="2"/>
      <c r="G5929" s="2"/>
      <c r="H5929" s="2"/>
      <c r="I5929" s="2"/>
      <c r="J5929" s="2"/>
      <c r="K5929" s="2"/>
      <c r="L5929" s="2"/>
      <c r="M5929" s="2"/>
      <c r="N5929" s="2"/>
      <c r="O5929" s="2"/>
      <c r="P5929" s="2"/>
      <c r="Q5929" s="2"/>
      <c r="R5929" s="2"/>
      <c r="S5929" s="2"/>
      <c r="T5929" s="2"/>
      <c r="U5929" s="2"/>
      <c r="V5929" s="2"/>
      <c r="W5929" s="2"/>
    </row>
    <row r="5930" spans="1:23" x14ac:dyDescent="0.25">
      <c r="A5930" s="2"/>
      <c r="B5930" s="2"/>
      <c r="C5930" s="1"/>
      <c r="D5930" s="2"/>
      <c r="E5930" s="2"/>
      <c r="F5930" s="2"/>
      <c r="G5930" s="2"/>
      <c r="H5930" s="2"/>
      <c r="I5930" s="2"/>
      <c r="J5930" s="2"/>
      <c r="K5930" s="2"/>
      <c r="L5930" s="2"/>
      <c r="M5930" s="2"/>
      <c r="N5930" s="2"/>
      <c r="O5930" s="2"/>
      <c r="P5930" s="2"/>
      <c r="Q5930" s="2"/>
      <c r="R5930" s="2"/>
      <c r="S5930" s="2"/>
      <c r="T5930" s="2"/>
      <c r="U5930" s="2"/>
      <c r="V5930" s="2"/>
      <c r="W5930" s="2"/>
    </row>
    <row r="5931" spans="1:23" x14ac:dyDescent="0.25">
      <c r="A5931" s="2"/>
      <c r="B5931" s="2"/>
      <c r="C5931" s="1"/>
      <c r="D5931" s="2"/>
      <c r="E5931" s="2"/>
      <c r="F5931" s="2"/>
      <c r="G5931" s="2"/>
      <c r="H5931" s="2"/>
      <c r="I5931" s="2"/>
      <c r="J5931" s="2"/>
      <c r="K5931" s="2"/>
      <c r="L5931" s="2"/>
      <c r="M5931" s="2"/>
      <c r="N5931" s="2"/>
      <c r="O5931" s="2"/>
      <c r="P5931" s="2"/>
      <c r="Q5931" s="2"/>
      <c r="R5931" s="2"/>
      <c r="S5931" s="2"/>
      <c r="T5931" s="2"/>
      <c r="U5931" s="2"/>
      <c r="V5931" s="2"/>
      <c r="W5931" s="2"/>
    </row>
    <row r="5932" spans="1:23" x14ac:dyDescent="0.25">
      <c r="A5932" s="2"/>
      <c r="B5932" s="2"/>
      <c r="C5932" s="1"/>
      <c r="D5932" s="2"/>
      <c r="E5932" s="2"/>
      <c r="F5932" s="2"/>
      <c r="G5932" s="2"/>
      <c r="H5932" s="2"/>
      <c r="I5932" s="2"/>
      <c r="J5932" s="2"/>
      <c r="K5932" s="2"/>
      <c r="L5932" s="2"/>
      <c r="M5932" s="2"/>
      <c r="N5932" s="2"/>
      <c r="O5932" s="2"/>
      <c r="P5932" s="2"/>
      <c r="Q5932" s="2"/>
      <c r="R5932" s="2"/>
      <c r="S5932" s="2"/>
      <c r="T5932" s="2"/>
      <c r="U5932" s="2"/>
      <c r="V5932" s="2"/>
      <c r="W5932" s="2"/>
    </row>
    <row r="5933" spans="1:23" x14ac:dyDescent="0.25">
      <c r="A5933" s="2"/>
      <c r="B5933" s="2"/>
      <c r="C5933" s="1"/>
      <c r="D5933" s="2"/>
      <c r="E5933" s="2"/>
      <c r="F5933" s="2"/>
      <c r="G5933" s="2"/>
      <c r="H5933" s="2"/>
      <c r="I5933" s="2"/>
      <c r="J5933" s="2"/>
      <c r="K5933" s="2"/>
      <c r="L5933" s="2"/>
      <c r="M5933" s="2"/>
      <c r="N5933" s="2"/>
      <c r="O5933" s="2"/>
      <c r="P5933" s="2"/>
      <c r="Q5933" s="2"/>
      <c r="R5933" s="2"/>
      <c r="S5933" s="2"/>
      <c r="T5933" s="2"/>
      <c r="U5933" s="2"/>
      <c r="V5933" s="2"/>
      <c r="W5933" s="2"/>
    </row>
    <row r="5934" spans="1:23" x14ac:dyDescent="0.25">
      <c r="A5934" s="2"/>
      <c r="B5934" s="2"/>
      <c r="C5934" s="1"/>
      <c r="D5934" s="2"/>
      <c r="E5934" s="2"/>
      <c r="F5934" s="2"/>
      <c r="G5934" s="2"/>
      <c r="H5934" s="2"/>
      <c r="I5934" s="2"/>
      <c r="J5934" s="2"/>
      <c r="K5934" s="2"/>
      <c r="L5934" s="2"/>
      <c r="M5934" s="2"/>
      <c r="N5934" s="2"/>
      <c r="O5934" s="2"/>
      <c r="P5934" s="2"/>
      <c r="Q5934" s="2"/>
      <c r="R5934" s="2"/>
      <c r="S5934" s="2"/>
      <c r="T5934" s="2"/>
      <c r="U5934" s="2"/>
      <c r="V5934" s="2"/>
      <c r="W5934" s="2"/>
    </row>
    <row r="5935" spans="1:23" x14ac:dyDescent="0.25">
      <c r="A5935" s="2"/>
      <c r="B5935" s="2"/>
      <c r="C5935" s="1"/>
      <c r="D5935" s="2"/>
      <c r="E5935" s="2"/>
      <c r="F5935" s="2"/>
      <c r="G5935" s="2"/>
      <c r="H5935" s="2"/>
      <c r="I5935" s="2"/>
      <c r="J5935" s="2"/>
      <c r="K5935" s="2"/>
      <c r="L5935" s="2"/>
      <c r="M5935" s="2"/>
      <c r="N5935" s="2"/>
      <c r="O5935" s="2"/>
      <c r="P5935" s="2"/>
      <c r="Q5935" s="2"/>
      <c r="R5935" s="2"/>
      <c r="S5935" s="2"/>
      <c r="T5935" s="2"/>
      <c r="U5935" s="2"/>
      <c r="V5935" s="2"/>
      <c r="W5935" s="2"/>
    </row>
    <row r="5936" spans="1:23" x14ac:dyDescent="0.25">
      <c r="A5936" s="2"/>
      <c r="B5936" s="2"/>
      <c r="C5936" s="1"/>
      <c r="D5936" s="2"/>
      <c r="E5936" s="2"/>
      <c r="F5936" s="2"/>
      <c r="G5936" s="2"/>
      <c r="H5936" s="2"/>
      <c r="I5936" s="2"/>
      <c r="J5936" s="2"/>
      <c r="K5936" s="2"/>
      <c r="L5936" s="2"/>
      <c r="M5936" s="2"/>
      <c r="N5936" s="2"/>
      <c r="O5936" s="2"/>
      <c r="P5936" s="2"/>
      <c r="Q5936" s="2"/>
      <c r="R5936" s="2"/>
      <c r="S5936" s="2"/>
      <c r="T5936" s="2"/>
      <c r="U5936" s="2"/>
      <c r="V5936" s="2"/>
      <c r="W5936" s="2"/>
    </row>
    <row r="5937" spans="1:23" x14ac:dyDescent="0.25">
      <c r="A5937" s="2"/>
      <c r="B5937" s="2"/>
      <c r="C5937" s="1"/>
      <c r="D5937" s="2"/>
      <c r="E5937" s="2"/>
      <c r="F5937" s="2"/>
      <c r="G5937" s="2"/>
      <c r="H5937" s="2"/>
      <c r="I5937" s="2"/>
      <c r="J5937" s="2"/>
      <c r="K5937" s="2"/>
      <c r="L5937" s="2"/>
      <c r="M5937" s="2"/>
      <c r="N5937" s="2"/>
      <c r="O5937" s="2"/>
      <c r="P5937" s="2"/>
      <c r="Q5937" s="2"/>
      <c r="R5937" s="2"/>
      <c r="S5937" s="2"/>
      <c r="T5937" s="2"/>
      <c r="U5937" s="2"/>
      <c r="V5937" s="2"/>
      <c r="W5937" s="2"/>
    </row>
    <row r="5938" spans="1:23" x14ac:dyDescent="0.25">
      <c r="A5938" s="2"/>
      <c r="B5938" s="2"/>
      <c r="C5938" s="1"/>
      <c r="D5938" s="2"/>
      <c r="E5938" s="2"/>
      <c r="F5938" s="2"/>
      <c r="G5938" s="2"/>
      <c r="H5938" s="2"/>
      <c r="I5938" s="2"/>
      <c r="J5938" s="2"/>
      <c r="K5938" s="2"/>
      <c r="L5938" s="2"/>
      <c r="M5938" s="2"/>
      <c r="N5938" s="2"/>
      <c r="O5938" s="2"/>
      <c r="P5938" s="2"/>
      <c r="Q5938" s="2"/>
      <c r="R5938" s="2"/>
      <c r="S5938" s="2"/>
      <c r="T5938" s="2"/>
      <c r="U5938" s="2"/>
      <c r="V5938" s="2"/>
      <c r="W5938" s="2"/>
    </row>
    <row r="5939" spans="1:23" x14ac:dyDescent="0.25">
      <c r="A5939" s="2"/>
      <c r="B5939" s="2"/>
      <c r="C5939" s="1"/>
      <c r="D5939" s="2"/>
      <c r="E5939" s="2"/>
      <c r="F5939" s="2"/>
      <c r="G5939" s="2"/>
      <c r="H5939" s="2"/>
      <c r="I5939" s="2"/>
      <c r="J5939" s="2"/>
      <c r="K5939" s="2"/>
      <c r="L5939" s="2"/>
      <c r="M5939" s="2"/>
      <c r="N5939" s="2"/>
      <c r="O5939" s="2"/>
      <c r="P5939" s="2"/>
      <c r="Q5939" s="2"/>
      <c r="R5939" s="2"/>
      <c r="S5939" s="2"/>
      <c r="T5939" s="2"/>
      <c r="U5939" s="2"/>
      <c r="V5939" s="2"/>
      <c r="W5939" s="2"/>
    </row>
    <row r="5940" spans="1:23" x14ac:dyDescent="0.25">
      <c r="A5940" s="2"/>
      <c r="B5940" s="2"/>
      <c r="C5940" s="1"/>
      <c r="D5940" s="2"/>
      <c r="E5940" s="2"/>
      <c r="F5940" s="2"/>
      <c r="G5940" s="2"/>
      <c r="H5940" s="2"/>
      <c r="I5940" s="2"/>
      <c r="J5940" s="2"/>
      <c r="K5940" s="2"/>
      <c r="L5940" s="2"/>
      <c r="M5940" s="2"/>
      <c r="N5940" s="2"/>
      <c r="O5940" s="2"/>
      <c r="P5940" s="2"/>
      <c r="Q5940" s="2"/>
      <c r="R5940" s="2"/>
      <c r="S5940" s="2"/>
      <c r="T5940" s="2"/>
      <c r="U5940" s="2"/>
      <c r="V5940" s="2"/>
      <c r="W5940" s="2"/>
    </row>
    <row r="5941" spans="1:23" x14ac:dyDescent="0.25">
      <c r="A5941" s="2"/>
      <c r="B5941" s="2"/>
      <c r="C5941" s="1"/>
      <c r="D5941" s="2"/>
      <c r="E5941" s="2"/>
      <c r="F5941" s="2"/>
      <c r="G5941" s="2"/>
      <c r="H5941" s="2"/>
      <c r="I5941" s="2"/>
      <c r="J5941" s="2"/>
      <c r="K5941" s="2"/>
      <c r="L5941" s="2"/>
      <c r="M5941" s="2"/>
      <c r="N5941" s="2"/>
      <c r="O5941" s="2"/>
      <c r="P5941" s="2"/>
      <c r="Q5941" s="2"/>
      <c r="R5941" s="2"/>
      <c r="S5941" s="2"/>
      <c r="T5941" s="2"/>
      <c r="U5941" s="2"/>
      <c r="V5941" s="2"/>
      <c r="W5941" s="2"/>
    </row>
    <row r="5942" spans="1:23" x14ac:dyDescent="0.25">
      <c r="A5942" s="2"/>
      <c r="B5942" s="2"/>
      <c r="C5942" s="1"/>
      <c r="D5942" s="2"/>
      <c r="E5942" s="2"/>
      <c r="F5942" s="2"/>
      <c r="G5942" s="2"/>
      <c r="H5942" s="2"/>
      <c r="I5942" s="2"/>
      <c r="J5942" s="2"/>
      <c r="K5942" s="2"/>
      <c r="L5942" s="2"/>
      <c r="M5942" s="2"/>
      <c r="N5942" s="2"/>
      <c r="O5942" s="2"/>
      <c r="P5942" s="2"/>
      <c r="Q5942" s="2"/>
      <c r="R5942" s="2"/>
      <c r="S5942" s="2"/>
      <c r="T5942" s="2"/>
      <c r="U5942" s="2"/>
      <c r="V5942" s="2"/>
      <c r="W5942" s="2"/>
    </row>
    <row r="5943" spans="1:23" x14ac:dyDescent="0.25">
      <c r="A5943" s="2"/>
      <c r="B5943" s="2"/>
      <c r="C5943" s="1"/>
      <c r="D5943" s="2"/>
      <c r="E5943" s="2"/>
      <c r="F5943" s="2"/>
      <c r="G5943" s="2"/>
      <c r="H5943" s="2"/>
      <c r="I5943" s="2"/>
      <c r="J5943" s="2"/>
      <c r="K5943" s="2"/>
      <c r="L5943" s="2"/>
      <c r="M5943" s="2"/>
      <c r="N5943" s="2"/>
      <c r="O5943" s="2"/>
      <c r="P5943" s="2"/>
      <c r="Q5943" s="2"/>
      <c r="R5943" s="2"/>
      <c r="S5943" s="2"/>
      <c r="T5943" s="2"/>
      <c r="U5943" s="2"/>
      <c r="V5943" s="2"/>
      <c r="W5943" s="2"/>
    </row>
    <row r="5944" spans="1:23" x14ac:dyDescent="0.25">
      <c r="A5944" s="2"/>
      <c r="B5944" s="2"/>
      <c r="C5944" s="1"/>
      <c r="D5944" s="2"/>
      <c r="E5944" s="2"/>
      <c r="F5944" s="2"/>
      <c r="G5944" s="2"/>
      <c r="H5944" s="2"/>
      <c r="I5944" s="2"/>
      <c r="J5944" s="2"/>
      <c r="K5944" s="2"/>
      <c r="L5944" s="2"/>
      <c r="M5944" s="2"/>
      <c r="N5944" s="2"/>
      <c r="O5944" s="2"/>
      <c r="P5944" s="2"/>
      <c r="Q5944" s="2"/>
      <c r="R5944" s="2"/>
      <c r="S5944" s="2"/>
      <c r="T5944" s="2"/>
      <c r="U5944" s="2"/>
      <c r="V5944" s="2"/>
      <c r="W5944" s="2"/>
    </row>
    <row r="5945" spans="1:23" x14ac:dyDescent="0.25">
      <c r="A5945" s="2"/>
      <c r="B5945" s="2"/>
      <c r="C5945" s="1"/>
      <c r="D5945" s="2"/>
      <c r="E5945" s="2"/>
      <c r="F5945" s="2"/>
      <c r="G5945" s="2"/>
      <c r="H5945" s="2"/>
      <c r="I5945" s="2"/>
      <c r="J5945" s="2"/>
      <c r="K5945" s="2"/>
      <c r="L5945" s="2"/>
      <c r="M5945" s="2"/>
      <c r="N5945" s="2"/>
      <c r="O5945" s="2"/>
      <c r="P5945" s="2"/>
      <c r="Q5945" s="2"/>
      <c r="R5945" s="2"/>
      <c r="S5945" s="2"/>
      <c r="T5945" s="2"/>
      <c r="U5945" s="2"/>
      <c r="V5945" s="2"/>
      <c r="W5945" s="2"/>
    </row>
    <row r="5946" spans="1:23" x14ac:dyDescent="0.25">
      <c r="A5946" s="2"/>
      <c r="B5946" s="2"/>
      <c r="C5946" s="1"/>
      <c r="D5946" s="2"/>
      <c r="E5946" s="2"/>
      <c r="F5946" s="2"/>
      <c r="G5946" s="2"/>
      <c r="H5946" s="2"/>
      <c r="I5946" s="2"/>
      <c r="J5946" s="2"/>
      <c r="K5946" s="2"/>
      <c r="L5946" s="2"/>
      <c r="M5946" s="2"/>
      <c r="N5946" s="2"/>
      <c r="O5946" s="2"/>
      <c r="P5946" s="2"/>
      <c r="Q5946" s="2"/>
      <c r="R5946" s="2"/>
      <c r="S5946" s="2"/>
      <c r="T5946" s="2"/>
      <c r="U5946" s="2"/>
      <c r="V5946" s="2"/>
      <c r="W5946" s="2"/>
    </row>
    <row r="5947" spans="1:23" x14ac:dyDescent="0.25">
      <c r="A5947" s="2"/>
      <c r="B5947" s="2"/>
      <c r="C5947" s="1"/>
      <c r="D5947" s="2"/>
      <c r="E5947" s="2"/>
      <c r="F5947" s="2"/>
      <c r="G5947" s="2"/>
      <c r="H5947" s="2"/>
      <c r="I5947" s="2"/>
      <c r="J5947" s="2"/>
      <c r="K5947" s="2"/>
      <c r="L5947" s="2"/>
      <c r="M5947" s="2"/>
      <c r="N5947" s="2"/>
      <c r="O5947" s="2"/>
      <c r="P5947" s="2"/>
      <c r="Q5947" s="2"/>
      <c r="R5947" s="2"/>
      <c r="S5947" s="2"/>
      <c r="T5947" s="2"/>
      <c r="U5947" s="2"/>
      <c r="V5947" s="2"/>
      <c r="W5947" s="2"/>
    </row>
    <row r="5948" spans="1:23" x14ac:dyDescent="0.25">
      <c r="A5948" s="2"/>
      <c r="B5948" s="2"/>
      <c r="C5948" s="1"/>
      <c r="D5948" s="2"/>
      <c r="E5948" s="2"/>
      <c r="F5948" s="2"/>
      <c r="G5948" s="2"/>
      <c r="H5948" s="2"/>
      <c r="I5948" s="2"/>
      <c r="J5948" s="2"/>
      <c r="K5948" s="2"/>
      <c r="L5948" s="2"/>
      <c r="M5948" s="2"/>
      <c r="N5948" s="2"/>
      <c r="O5948" s="2"/>
      <c r="P5948" s="2"/>
      <c r="Q5948" s="2"/>
      <c r="R5948" s="2"/>
      <c r="S5948" s="2"/>
      <c r="T5948" s="2"/>
      <c r="U5948" s="2"/>
      <c r="V5948" s="2"/>
      <c r="W5948" s="2"/>
    </row>
    <row r="5949" spans="1:23" x14ac:dyDescent="0.25">
      <c r="A5949" s="2"/>
      <c r="B5949" s="2"/>
      <c r="C5949" s="1"/>
      <c r="D5949" s="2"/>
      <c r="E5949" s="2"/>
      <c r="F5949" s="2"/>
      <c r="G5949" s="2"/>
      <c r="H5949" s="2"/>
      <c r="I5949" s="2"/>
      <c r="J5949" s="2"/>
      <c r="K5949" s="2"/>
      <c r="L5949" s="2"/>
      <c r="M5949" s="2"/>
      <c r="N5949" s="2"/>
      <c r="O5949" s="2"/>
      <c r="P5949" s="2"/>
      <c r="Q5949" s="2"/>
      <c r="R5949" s="2"/>
      <c r="S5949" s="2"/>
      <c r="T5949" s="2"/>
      <c r="U5949" s="2"/>
      <c r="V5949" s="2"/>
      <c r="W5949" s="2"/>
    </row>
    <row r="5950" spans="1:23" x14ac:dyDescent="0.25">
      <c r="A5950" s="2"/>
      <c r="B5950" s="2"/>
      <c r="C5950" s="1"/>
      <c r="D5950" s="2"/>
      <c r="E5950" s="2"/>
      <c r="F5950" s="2"/>
      <c r="G5950" s="2"/>
      <c r="H5950" s="2"/>
      <c r="I5950" s="2"/>
      <c r="J5950" s="2"/>
      <c r="K5950" s="2"/>
      <c r="L5950" s="2"/>
      <c r="M5950" s="2"/>
      <c r="N5950" s="2"/>
      <c r="O5950" s="2"/>
      <c r="P5950" s="2"/>
      <c r="Q5950" s="2"/>
      <c r="R5950" s="2"/>
      <c r="S5950" s="2"/>
      <c r="T5950" s="2"/>
      <c r="U5950" s="2"/>
      <c r="V5950" s="2"/>
      <c r="W5950" s="2"/>
    </row>
    <row r="5951" spans="1:23" x14ac:dyDescent="0.25">
      <c r="A5951" s="2"/>
      <c r="B5951" s="2"/>
      <c r="C5951" s="1"/>
      <c r="D5951" s="2"/>
      <c r="E5951" s="2"/>
      <c r="F5951" s="2"/>
      <c r="G5951" s="2"/>
      <c r="H5951" s="2"/>
      <c r="I5951" s="2"/>
      <c r="J5951" s="2"/>
      <c r="K5951" s="2"/>
      <c r="L5951" s="2"/>
      <c r="M5951" s="2"/>
      <c r="N5951" s="2"/>
      <c r="O5951" s="2"/>
      <c r="P5951" s="2"/>
      <c r="Q5951" s="2"/>
      <c r="R5951" s="2"/>
      <c r="S5951" s="2"/>
      <c r="T5951" s="2"/>
      <c r="U5951" s="2"/>
      <c r="V5951" s="2"/>
      <c r="W5951" s="2"/>
    </row>
    <row r="5952" spans="1:23" x14ac:dyDescent="0.25">
      <c r="A5952" s="2"/>
      <c r="B5952" s="2"/>
      <c r="C5952" s="1"/>
      <c r="D5952" s="2"/>
      <c r="E5952" s="2"/>
      <c r="F5952" s="2"/>
      <c r="G5952" s="2"/>
      <c r="H5952" s="2"/>
      <c r="I5952" s="2"/>
      <c r="J5952" s="2"/>
      <c r="K5952" s="2"/>
      <c r="L5952" s="2"/>
      <c r="M5952" s="2"/>
      <c r="N5952" s="2"/>
      <c r="O5952" s="2"/>
      <c r="P5952" s="2"/>
      <c r="Q5952" s="2"/>
      <c r="R5952" s="2"/>
      <c r="S5952" s="2"/>
      <c r="T5952" s="2"/>
      <c r="U5952" s="2"/>
      <c r="V5952" s="2"/>
      <c r="W5952" s="2"/>
    </row>
    <row r="5953" spans="1:23" x14ac:dyDescent="0.25">
      <c r="A5953" s="2"/>
      <c r="B5953" s="2"/>
      <c r="C5953" s="1"/>
      <c r="D5953" s="2"/>
      <c r="E5953" s="2"/>
      <c r="F5953" s="2"/>
      <c r="G5953" s="2"/>
      <c r="H5953" s="2"/>
      <c r="I5953" s="2"/>
      <c r="J5953" s="2"/>
      <c r="K5953" s="2"/>
      <c r="L5953" s="2"/>
      <c r="M5953" s="2"/>
      <c r="N5953" s="2"/>
      <c r="O5953" s="2"/>
      <c r="P5953" s="2"/>
      <c r="Q5953" s="2"/>
      <c r="R5953" s="2"/>
      <c r="S5953" s="2"/>
      <c r="T5953" s="2"/>
      <c r="U5953" s="2"/>
      <c r="V5953" s="2"/>
      <c r="W5953" s="2"/>
    </row>
    <row r="5954" spans="1:23" x14ac:dyDescent="0.25">
      <c r="A5954" s="2"/>
      <c r="B5954" s="2"/>
      <c r="C5954" s="1"/>
      <c r="D5954" s="2"/>
      <c r="E5954" s="2"/>
      <c r="F5954" s="2"/>
      <c r="G5954" s="2"/>
      <c r="H5954" s="2"/>
      <c r="I5954" s="2"/>
      <c r="J5954" s="2"/>
      <c r="K5954" s="2"/>
      <c r="L5954" s="2"/>
      <c r="M5954" s="2"/>
      <c r="N5954" s="2"/>
      <c r="O5954" s="2"/>
      <c r="P5954" s="2"/>
      <c r="Q5954" s="2"/>
      <c r="R5954" s="2"/>
      <c r="S5954" s="2"/>
      <c r="T5954" s="2"/>
      <c r="U5954" s="2"/>
      <c r="V5954" s="2"/>
      <c r="W5954" s="2"/>
    </row>
    <row r="5955" spans="1:23" x14ac:dyDescent="0.25">
      <c r="A5955" s="2"/>
      <c r="B5955" s="2"/>
      <c r="C5955" s="1"/>
      <c r="D5955" s="2"/>
      <c r="E5955" s="2"/>
      <c r="F5955" s="2"/>
      <c r="G5955" s="2"/>
      <c r="H5955" s="2"/>
      <c r="I5955" s="2"/>
      <c r="J5955" s="2"/>
      <c r="K5955" s="2"/>
      <c r="L5955" s="2"/>
      <c r="M5955" s="2"/>
      <c r="N5955" s="2"/>
      <c r="O5955" s="2"/>
      <c r="P5955" s="2"/>
      <c r="Q5955" s="2"/>
      <c r="R5955" s="2"/>
      <c r="S5955" s="2"/>
      <c r="T5955" s="2"/>
      <c r="U5955" s="2"/>
      <c r="V5955" s="2"/>
      <c r="W5955" s="2"/>
    </row>
    <row r="5956" spans="1:23" x14ac:dyDescent="0.25">
      <c r="A5956" s="2"/>
      <c r="B5956" s="2"/>
      <c r="C5956" s="1"/>
      <c r="D5956" s="2"/>
      <c r="E5956" s="2"/>
      <c r="F5956" s="2"/>
      <c r="G5956" s="2"/>
      <c r="H5956" s="2"/>
      <c r="I5956" s="2"/>
      <c r="J5956" s="2"/>
      <c r="K5956" s="2"/>
      <c r="L5956" s="2"/>
      <c r="M5956" s="2"/>
      <c r="N5956" s="2"/>
      <c r="O5956" s="2"/>
      <c r="P5956" s="2"/>
      <c r="Q5956" s="2"/>
      <c r="R5956" s="2"/>
      <c r="S5956" s="2"/>
      <c r="T5956" s="2"/>
      <c r="U5956" s="2"/>
      <c r="V5956" s="2"/>
      <c r="W5956" s="2"/>
    </row>
    <row r="5957" spans="1:23" x14ac:dyDescent="0.25">
      <c r="A5957" s="2"/>
      <c r="B5957" s="2"/>
      <c r="C5957" s="1"/>
      <c r="D5957" s="2"/>
      <c r="E5957" s="2"/>
      <c r="F5957" s="2"/>
      <c r="G5957" s="2"/>
      <c r="H5957" s="2"/>
      <c r="I5957" s="2"/>
      <c r="J5957" s="2"/>
      <c r="K5957" s="2"/>
      <c r="L5957" s="2"/>
      <c r="M5957" s="2"/>
      <c r="N5957" s="2"/>
      <c r="O5957" s="2"/>
      <c r="P5957" s="2"/>
      <c r="Q5957" s="2"/>
      <c r="R5957" s="2"/>
      <c r="S5957" s="2"/>
      <c r="T5957" s="2"/>
      <c r="U5957" s="2"/>
      <c r="V5957" s="2"/>
      <c r="W5957" s="2"/>
    </row>
    <row r="5958" spans="1:23" x14ac:dyDescent="0.25">
      <c r="A5958" s="2"/>
      <c r="B5958" s="2"/>
      <c r="C5958" s="1"/>
      <c r="D5958" s="2"/>
      <c r="E5958" s="2"/>
      <c r="F5958" s="2"/>
      <c r="G5958" s="2"/>
      <c r="H5958" s="2"/>
      <c r="I5958" s="2"/>
      <c r="J5958" s="2"/>
      <c r="K5958" s="2"/>
      <c r="L5958" s="2"/>
      <c r="M5958" s="2"/>
      <c r="N5958" s="2"/>
      <c r="O5958" s="2"/>
      <c r="P5958" s="2"/>
      <c r="Q5958" s="2"/>
      <c r="R5958" s="2"/>
      <c r="S5958" s="2"/>
      <c r="T5958" s="2"/>
      <c r="U5958" s="2"/>
      <c r="V5958" s="2"/>
      <c r="W5958" s="2"/>
    </row>
    <row r="5959" spans="1:23" x14ac:dyDescent="0.25">
      <c r="A5959" s="2"/>
      <c r="B5959" s="2"/>
      <c r="C5959" s="1"/>
      <c r="D5959" s="2"/>
      <c r="E5959" s="2"/>
      <c r="F5959" s="2"/>
      <c r="G5959" s="2"/>
      <c r="H5959" s="2"/>
      <c r="I5959" s="2"/>
      <c r="J5959" s="2"/>
      <c r="K5959" s="2"/>
      <c r="L5959" s="2"/>
      <c r="M5959" s="2"/>
      <c r="N5959" s="2"/>
      <c r="O5959" s="2"/>
      <c r="P5959" s="2"/>
      <c r="Q5959" s="2"/>
      <c r="R5959" s="2"/>
      <c r="S5959" s="2"/>
      <c r="T5959" s="2"/>
      <c r="U5959" s="2"/>
      <c r="V5959" s="2"/>
      <c r="W5959" s="2"/>
    </row>
    <row r="5960" spans="1:23" x14ac:dyDescent="0.25">
      <c r="A5960" s="2"/>
      <c r="B5960" s="2"/>
      <c r="C5960" s="1"/>
      <c r="D5960" s="2"/>
      <c r="E5960" s="2"/>
      <c r="F5960" s="2"/>
      <c r="G5960" s="2"/>
      <c r="H5960" s="2"/>
      <c r="I5960" s="2"/>
      <c r="J5960" s="2"/>
      <c r="K5960" s="2"/>
      <c r="L5960" s="2"/>
      <c r="M5960" s="2"/>
      <c r="N5960" s="2"/>
      <c r="O5960" s="2"/>
      <c r="P5960" s="2"/>
      <c r="Q5960" s="2"/>
      <c r="R5960" s="2"/>
      <c r="S5960" s="2"/>
      <c r="T5960" s="2"/>
      <c r="U5960" s="2"/>
      <c r="V5960" s="2"/>
      <c r="W5960" s="2"/>
    </row>
    <row r="5961" spans="1:23" x14ac:dyDescent="0.25">
      <c r="A5961" s="2"/>
      <c r="B5961" s="2"/>
      <c r="C5961" s="1"/>
      <c r="D5961" s="2"/>
      <c r="E5961" s="2"/>
      <c r="F5961" s="2"/>
      <c r="G5961" s="2"/>
      <c r="H5961" s="2"/>
      <c r="I5961" s="2"/>
      <c r="J5961" s="2"/>
      <c r="K5961" s="2"/>
      <c r="L5961" s="2"/>
      <c r="M5961" s="2"/>
      <c r="N5961" s="2"/>
      <c r="O5961" s="2"/>
      <c r="P5961" s="2"/>
      <c r="Q5961" s="2"/>
      <c r="R5961" s="2"/>
      <c r="S5961" s="2"/>
      <c r="T5961" s="2"/>
      <c r="U5961" s="2"/>
      <c r="V5961" s="2"/>
      <c r="W5961" s="2"/>
    </row>
    <row r="5962" spans="1:23" x14ac:dyDescent="0.25">
      <c r="A5962" s="2"/>
      <c r="B5962" s="2"/>
      <c r="C5962" s="1"/>
      <c r="D5962" s="2"/>
      <c r="E5962" s="2"/>
      <c r="F5962" s="2"/>
      <c r="G5962" s="2"/>
      <c r="H5962" s="2"/>
      <c r="I5962" s="2"/>
      <c r="J5962" s="2"/>
      <c r="K5962" s="2"/>
      <c r="L5962" s="2"/>
      <c r="M5962" s="2"/>
      <c r="N5962" s="2"/>
      <c r="O5962" s="2"/>
      <c r="P5962" s="2"/>
      <c r="Q5962" s="2"/>
      <c r="R5962" s="2"/>
      <c r="S5962" s="2"/>
      <c r="T5962" s="2"/>
      <c r="U5962" s="2"/>
      <c r="V5962" s="2"/>
      <c r="W5962" s="2"/>
    </row>
    <row r="5963" spans="1:23" x14ac:dyDescent="0.25">
      <c r="A5963" s="2"/>
      <c r="B5963" s="2"/>
      <c r="C5963" s="1"/>
      <c r="D5963" s="2"/>
      <c r="E5963" s="2"/>
      <c r="F5963" s="2"/>
      <c r="G5963" s="2"/>
      <c r="H5963" s="2"/>
      <c r="I5963" s="2"/>
      <c r="J5963" s="2"/>
      <c r="K5963" s="2"/>
      <c r="L5963" s="2"/>
      <c r="M5963" s="2"/>
      <c r="N5963" s="2"/>
      <c r="O5963" s="2"/>
      <c r="P5963" s="2"/>
      <c r="Q5963" s="2"/>
      <c r="R5963" s="2"/>
      <c r="S5963" s="2"/>
      <c r="T5963" s="2"/>
      <c r="U5963" s="2"/>
      <c r="V5963" s="2"/>
      <c r="W5963" s="2"/>
    </row>
    <row r="5964" spans="1:23" x14ac:dyDescent="0.25">
      <c r="A5964" s="2"/>
      <c r="B5964" s="2"/>
      <c r="C5964" s="1"/>
      <c r="D5964" s="2"/>
      <c r="E5964" s="2"/>
      <c r="F5964" s="2"/>
      <c r="G5964" s="2"/>
      <c r="H5964" s="2"/>
      <c r="I5964" s="2"/>
      <c r="J5964" s="2"/>
      <c r="K5964" s="2"/>
      <c r="L5964" s="2"/>
      <c r="M5964" s="2"/>
      <c r="N5964" s="2"/>
      <c r="O5964" s="2"/>
      <c r="P5964" s="2"/>
      <c r="Q5964" s="2"/>
      <c r="R5964" s="2"/>
      <c r="S5964" s="2"/>
      <c r="T5964" s="2"/>
      <c r="U5964" s="2"/>
      <c r="V5964" s="2"/>
      <c r="W5964" s="2"/>
    </row>
    <row r="5965" spans="1:23" x14ac:dyDescent="0.25">
      <c r="A5965" s="2"/>
      <c r="B5965" s="2"/>
      <c r="C5965" s="1"/>
      <c r="D5965" s="2"/>
      <c r="E5965" s="2"/>
      <c r="F5965" s="2"/>
      <c r="G5965" s="2"/>
      <c r="H5965" s="2"/>
      <c r="I5965" s="2"/>
      <c r="J5965" s="2"/>
      <c r="K5965" s="2"/>
      <c r="L5965" s="2"/>
      <c r="M5965" s="2"/>
      <c r="N5965" s="2"/>
      <c r="O5965" s="2"/>
      <c r="P5965" s="2"/>
      <c r="Q5965" s="2"/>
      <c r="R5965" s="2"/>
      <c r="S5965" s="2"/>
      <c r="T5965" s="2"/>
      <c r="U5965" s="2"/>
      <c r="V5965" s="2"/>
      <c r="W5965" s="2"/>
    </row>
    <row r="5966" spans="1:23" x14ac:dyDescent="0.25">
      <c r="A5966" s="2"/>
      <c r="B5966" s="2"/>
      <c r="C5966" s="1"/>
      <c r="D5966" s="2"/>
      <c r="E5966" s="2"/>
      <c r="F5966" s="2"/>
      <c r="G5966" s="2"/>
      <c r="H5966" s="2"/>
      <c r="I5966" s="2"/>
      <c r="J5966" s="2"/>
      <c r="K5966" s="2"/>
      <c r="L5966" s="2"/>
      <c r="M5966" s="2"/>
      <c r="N5966" s="2"/>
      <c r="O5966" s="2"/>
      <c r="P5966" s="2"/>
      <c r="Q5966" s="2"/>
      <c r="R5966" s="2"/>
      <c r="S5966" s="2"/>
      <c r="T5966" s="2"/>
      <c r="U5966" s="2"/>
      <c r="V5966" s="2"/>
      <c r="W5966" s="2"/>
    </row>
    <row r="5967" spans="1:23" x14ac:dyDescent="0.25">
      <c r="A5967" s="2"/>
      <c r="B5967" s="2"/>
      <c r="C5967" s="1"/>
      <c r="D5967" s="2"/>
      <c r="E5967" s="2"/>
      <c r="F5967" s="2"/>
      <c r="G5967" s="2"/>
      <c r="H5967" s="2"/>
      <c r="I5967" s="2"/>
      <c r="J5967" s="2"/>
      <c r="K5967" s="2"/>
      <c r="L5967" s="2"/>
      <c r="M5967" s="2"/>
      <c r="N5967" s="2"/>
      <c r="O5967" s="2"/>
      <c r="P5967" s="2"/>
      <c r="Q5967" s="2"/>
      <c r="R5967" s="2"/>
      <c r="S5967" s="2"/>
      <c r="T5967" s="2"/>
      <c r="U5967" s="2"/>
      <c r="V5967" s="2"/>
      <c r="W5967" s="2"/>
    </row>
    <row r="5968" spans="1:23" x14ac:dyDescent="0.25">
      <c r="A5968" s="2"/>
      <c r="B5968" s="2"/>
      <c r="C5968" s="1"/>
      <c r="D5968" s="2"/>
      <c r="E5968" s="2"/>
      <c r="F5968" s="2"/>
      <c r="G5968" s="2"/>
      <c r="H5968" s="2"/>
      <c r="I5968" s="2"/>
      <c r="J5968" s="2"/>
      <c r="K5968" s="2"/>
      <c r="L5968" s="2"/>
      <c r="M5968" s="2"/>
      <c r="N5968" s="2"/>
      <c r="O5968" s="2"/>
      <c r="P5968" s="2"/>
      <c r="Q5968" s="2"/>
      <c r="R5968" s="2"/>
      <c r="S5968" s="2"/>
      <c r="T5968" s="2"/>
      <c r="U5968" s="2"/>
      <c r="V5968" s="2"/>
      <c r="W5968" s="2"/>
    </row>
    <row r="5969" spans="1:23" x14ac:dyDescent="0.25">
      <c r="A5969" s="2"/>
      <c r="B5969" s="2"/>
      <c r="C5969" s="1"/>
      <c r="D5969" s="2"/>
      <c r="E5969" s="2"/>
      <c r="F5969" s="2"/>
      <c r="G5969" s="2"/>
      <c r="H5969" s="2"/>
      <c r="I5969" s="2"/>
      <c r="J5969" s="2"/>
      <c r="K5969" s="2"/>
      <c r="L5969" s="2"/>
      <c r="M5969" s="2"/>
      <c r="N5969" s="2"/>
      <c r="O5969" s="2"/>
      <c r="P5969" s="2"/>
      <c r="Q5969" s="2"/>
      <c r="R5969" s="2"/>
      <c r="S5969" s="2"/>
      <c r="T5969" s="2"/>
      <c r="U5969" s="2"/>
      <c r="V5969" s="2"/>
      <c r="W5969" s="2"/>
    </row>
    <row r="5970" spans="1:23" x14ac:dyDescent="0.25">
      <c r="A5970" s="2"/>
      <c r="B5970" s="2"/>
      <c r="C5970" s="1"/>
      <c r="D5970" s="2"/>
      <c r="E5970" s="2"/>
      <c r="F5970" s="2"/>
      <c r="G5970" s="2"/>
      <c r="H5970" s="2"/>
      <c r="I5970" s="2"/>
      <c r="J5970" s="2"/>
      <c r="K5970" s="2"/>
      <c r="L5970" s="2"/>
      <c r="M5970" s="2"/>
      <c r="N5970" s="2"/>
      <c r="O5970" s="2"/>
      <c r="P5970" s="2"/>
      <c r="Q5970" s="2"/>
      <c r="R5970" s="2"/>
      <c r="S5970" s="2"/>
      <c r="T5970" s="2"/>
      <c r="U5970" s="2"/>
      <c r="V5970" s="2"/>
      <c r="W5970" s="2"/>
    </row>
    <row r="5971" spans="1:23" x14ac:dyDescent="0.25">
      <c r="A5971" s="2"/>
      <c r="B5971" s="2"/>
      <c r="C5971" s="1"/>
      <c r="D5971" s="2"/>
      <c r="E5971" s="2"/>
      <c r="F5971" s="2"/>
      <c r="G5971" s="2"/>
      <c r="H5971" s="2"/>
      <c r="I5971" s="2"/>
      <c r="J5971" s="2"/>
      <c r="K5971" s="2"/>
      <c r="L5971" s="2"/>
      <c r="M5971" s="2"/>
      <c r="N5971" s="2"/>
      <c r="O5971" s="2"/>
      <c r="P5971" s="2"/>
      <c r="Q5971" s="2"/>
      <c r="R5971" s="2"/>
      <c r="S5971" s="2"/>
      <c r="T5971" s="2"/>
      <c r="U5971" s="2"/>
      <c r="V5971" s="2"/>
      <c r="W5971" s="2"/>
    </row>
    <row r="5972" spans="1:23" x14ac:dyDescent="0.25">
      <c r="A5972" s="2"/>
      <c r="B5972" s="2"/>
      <c r="C5972" s="1"/>
      <c r="D5972" s="2"/>
      <c r="E5972" s="2"/>
      <c r="F5972" s="2"/>
      <c r="G5972" s="2"/>
      <c r="H5972" s="2"/>
      <c r="I5972" s="2"/>
      <c r="J5972" s="2"/>
      <c r="K5972" s="2"/>
      <c r="L5972" s="2"/>
      <c r="M5972" s="2"/>
      <c r="N5972" s="2"/>
      <c r="O5972" s="2"/>
      <c r="P5972" s="2"/>
      <c r="Q5972" s="2"/>
      <c r="R5972" s="2"/>
      <c r="S5972" s="2"/>
      <c r="T5972" s="2"/>
      <c r="U5972" s="2"/>
      <c r="V5972" s="2"/>
      <c r="W5972" s="2"/>
    </row>
    <row r="5973" spans="1:23" x14ac:dyDescent="0.25">
      <c r="A5973" s="2"/>
      <c r="B5973" s="2"/>
      <c r="C5973" s="1"/>
      <c r="D5973" s="2"/>
      <c r="E5973" s="2"/>
      <c r="F5973" s="2"/>
      <c r="G5973" s="2"/>
      <c r="H5973" s="2"/>
      <c r="I5973" s="2"/>
      <c r="J5973" s="2"/>
      <c r="K5973" s="2"/>
      <c r="L5973" s="2"/>
      <c r="M5973" s="2"/>
      <c r="N5973" s="2"/>
      <c r="O5973" s="2"/>
      <c r="P5973" s="2"/>
      <c r="Q5973" s="2"/>
      <c r="R5973" s="2"/>
      <c r="S5973" s="2"/>
      <c r="T5973" s="2"/>
      <c r="U5973" s="2"/>
      <c r="V5973" s="2"/>
      <c r="W5973" s="2"/>
    </row>
    <row r="5974" spans="1:23" x14ac:dyDescent="0.25">
      <c r="A5974" s="2"/>
      <c r="B5974" s="2"/>
      <c r="C5974" s="1"/>
      <c r="D5974" s="2"/>
      <c r="E5974" s="2"/>
      <c r="F5974" s="2"/>
      <c r="G5974" s="2"/>
      <c r="H5974" s="2"/>
      <c r="I5974" s="2"/>
      <c r="J5974" s="2"/>
      <c r="K5974" s="2"/>
      <c r="L5974" s="2"/>
      <c r="M5974" s="2"/>
      <c r="N5974" s="2"/>
      <c r="O5974" s="2"/>
      <c r="P5974" s="2"/>
      <c r="Q5974" s="2"/>
      <c r="R5974" s="2"/>
      <c r="S5974" s="2"/>
      <c r="T5974" s="2"/>
      <c r="U5974" s="2"/>
      <c r="V5974" s="2"/>
      <c r="W5974" s="2"/>
    </row>
    <row r="5975" spans="1:23" x14ac:dyDescent="0.25">
      <c r="A5975" s="2"/>
      <c r="B5975" s="2"/>
      <c r="C5975" s="1"/>
      <c r="D5975" s="2"/>
      <c r="E5975" s="2"/>
      <c r="F5975" s="2"/>
      <c r="G5975" s="2"/>
      <c r="H5975" s="2"/>
      <c r="I5975" s="2"/>
      <c r="J5975" s="2"/>
      <c r="K5975" s="2"/>
      <c r="L5975" s="2"/>
      <c r="M5975" s="2"/>
      <c r="N5975" s="2"/>
      <c r="O5975" s="2"/>
      <c r="P5975" s="2"/>
      <c r="Q5975" s="2"/>
      <c r="R5975" s="2"/>
      <c r="S5975" s="2"/>
      <c r="T5975" s="2"/>
      <c r="U5975" s="2"/>
      <c r="V5975" s="2"/>
      <c r="W5975" s="2"/>
    </row>
    <row r="5976" spans="1:23" x14ac:dyDescent="0.25">
      <c r="A5976" s="2"/>
      <c r="B5976" s="2"/>
      <c r="C5976" s="1"/>
      <c r="D5976" s="2"/>
      <c r="E5976" s="2"/>
      <c r="F5976" s="2"/>
      <c r="G5976" s="2"/>
      <c r="H5976" s="2"/>
      <c r="I5976" s="2"/>
      <c r="J5976" s="2"/>
      <c r="K5976" s="2"/>
      <c r="L5976" s="2"/>
      <c r="M5976" s="2"/>
      <c r="N5976" s="2"/>
      <c r="O5976" s="2"/>
      <c r="P5976" s="2"/>
      <c r="Q5976" s="2"/>
      <c r="R5976" s="2"/>
      <c r="S5976" s="2"/>
      <c r="T5976" s="2"/>
      <c r="U5976" s="2"/>
      <c r="V5976" s="2"/>
      <c r="W5976" s="2"/>
    </row>
    <row r="5977" spans="1:23" x14ac:dyDescent="0.25">
      <c r="A5977" s="2"/>
      <c r="B5977" s="2"/>
      <c r="C5977" s="1"/>
      <c r="D5977" s="2"/>
      <c r="E5977" s="2"/>
      <c r="F5977" s="2"/>
      <c r="G5977" s="2"/>
      <c r="H5977" s="2"/>
      <c r="I5977" s="2"/>
      <c r="J5977" s="2"/>
      <c r="K5977" s="2"/>
      <c r="L5977" s="2"/>
      <c r="M5977" s="2"/>
      <c r="N5977" s="2"/>
      <c r="O5977" s="2"/>
      <c r="P5977" s="2"/>
      <c r="Q5977" s="2"/>
      <c r="R5977" s="2"/>
      <c r="S5977" s="2"/>
      <c r="T5977" s="2"/>
      <c r="U5977" s="2"/>
      <c r="V5977" s="2"/>
      <c r="W5977" s="2"/>
    </row>
    <row r="5978" spans="1:23" x14ac:dyDescent="0.25">
      <c r="A5978" s="2"/>
      <c r="B5978" s="2"/>
      <c r="C5978" s="1"/>
      <c r="D5978" s="2"/>
      <c r="E5978" s="2"/>
      <c r="F5978" s="2"/>
      <c r="G5978" s="2"/>
      <c r="H5978" s="2"/>
      <c r="I5978" s="2"/>
      <c r="J5978" s="2"/>
      <c r="K5978" s="2"/>
      <c r="L5978" s="2"/>
      <c r="M5978" s="2"/>
      <c r="N5978" s="2"/>
      <c r="O5978" s="2"/>
      <c r="P5978" s="2"/>
      <c r="Q5978" s="2"/>
      <c r="R5978" s="2"/>
      <c r="S5978" s="2"/>
      <c r="T5978" s="2"/>
      <c r="U5978" s="2"/>
      <c r="V5978" s="2"/>
      <c r="W5978" s="2"/>
    </row>
    <row r="5979" spans="1:23" x14ac:dyDescent="0.25">
      <c r="A5979" s="2"/>
      <c r="B5979" s="2"/>
      <c r="C5979" s="1"/>
      <c r="D5979" s="2"/>
      <c r="E5979" s="2"/>
      <c r="F5979" s="2"/>
      <c r="G5979" s="2"/>
      <c r="H5979" s="2"/>
      <c r="I5979" s="2"/>
      <c r="J5979" s="2"/>
      <c r="K5979" s="2"/>
      <c r="L5979" s="2"/>
      <c r="M5979" s="2"/>
      <c r="N5979" s="2"/>
      <c r="O5979" s="2"/>
      <c r="P5979" s="2"/>
      <c r="Q5979" s="2"/>
      <c r="R5979" s="2"/>
      <c r="S5979" s="2"/>
      <c r="T5979" s="2"/>
      <c r="U5979" s="2"/>
      <c r="V5979" s="2"/>
      <c r="W5979" s="2"/>
    </row>
    <row r="5980" spans="1:23" x14ac:dyDescent="0.25">
      <c r="A5980" s="2"/>
      <c r="B5980" s="2"/>
      <c r="C5980" s="1"/>
      <c r="D5980" s="2"/>
      <c r="E5980" s="2"/>
      <c r="F5980" s="2"/>
      <c r="G5980" s="2"/>
      <c r="H5980" s="2"/>
      <c r="I5980" s="2"/>
      <c r="J5980" s="2"/>
      <c r="K5980" s="2"/>
      <c r="L5980" s="2"/>
      <c r="M5980" s="2"/>
      <c r="N5980" s="2"/>
      <c r="O5980" s="2"/>
      <c r="P5980" s="2"/>
      <c r="Q5980" s="2"/>
      <c r="R5980" s="2"/>
      <c r="S5980" s="2"/>
      <c r="T5980" s="2"/>
      <c r="U5980" s="2"/>
      <c r="V5980" s="2"/>
      <c r="W5980" s="2"/>
    </row>
    <row r="5981" spans="1:23" x14ac:dyDescent="0.25">
      <c r="A5981" s="2"/>
      <c r="B5981" s="2"/>
      <c r="C5981" s="1"/>
      <c r="D5981" s="2"/>
      <c r="E5981" s="2"/>
      <c r="F5981" s="2"/>
      <c r="G5981" s="2"/>
      <c r="H5981" s="2"/>
      <c r="I5981" s="2"/>
      <c r="J5981" s="2"/>
      <c r="K5981" s="2"/>
      <c r="L5981" s="2"/>
      <c r="M5981" s="2"/>
      <c r="N5981" s="2"/>
      <c r="O5981" s="2"/>
      <c r="P5981" s="2"/>
      <c r="Q5981" s="2"/>
      <c r="R5981" s="2"/>
      <c r="S5981" s="2"/>
      <c r="T5981" s="2"/>
      <c r="U5981" s="2"/>
      <c r="V5981" s="2"/>
      <c r="W5981" s="2"/>
    </row>
    <row r="5982" spans="1:23" x14ac:dyDescent="0.25">
      <c r="A5982" s="2"/>
      <c r="B5982" s="2"/>
      <c r="C5982" s="1"/>
      <c r="D5982" s="2"/>
      <c r="E5982" s="2"/>
      <c r="F5982" s="2"/>
      <c r="G5982" s="2"/>
      <c r="H5982" s="2"/>
      <c r="I5982" s="2"/>
      <c r="J5982" s="2"/>
      <c r="K5982" s="2"/>
      <c r="L5982" s="2"/>
      <c r="M5982" s="2"/>
      <c r="N5982" s="2"/>
      <c r="O5982" s="2"/>
      <c r="P5982" s="2"/>
      <c r="Q5982" s="2"/>
      <c r="R5982" s="2"/>
      <c r="S5982" s="2"/>
      <c r="T5982" s="2"/>
      <c r="U5982" s="2"/>
      <c r="V5982" s="2"/>
      <c r="W5982" s="2"/>
    </row>
    <row r="5983" spans="1:23" x14ac:dyDescent="0.25">
      <c r="A5983" s="2"/>
      <c r="B5983" s="2"/>
      <c r="C5983" s="1"/>
      <c r="D5983" s="2"/>
      <c r="E5983" s="2"/>
      <c r="F5983" s="2"/>
      <c r="G5983" s="2"/>
      <c r="H5983" s="2"/>
      <c r="I5983" s="2"/>
      <c r="J5983" s="2"/>
      <c r="K5983" s="2"/>
      <c r="L5983" s="2"/>
      <c r="M5983" s="2"/>
      <c r="N5983" s="2"/>
      <c r="O5983" s="2"/>
      <c r="P5983" s="2"/>
      <c r="Q5983" s="2"/>
      <c r="R5983" s="2"/>
      <c r="S5983" s="2"/>
      <c r="T5983" s="2"/>
      <c r="U5983" s="2"/>
      <c r="V5983" s="2"/>
      <c r="W5983" s="2"/>
    </row>
    <row r="5984" spans="1:23" x14ac:dyDescent="0.25">
      <c r="A5984" s="2"/>
      <c r="B5984" s="2"/>
      <c r="C5984" s="1"/>
      <c r="D5984" s="2"/>
      <c r="E5984" s="2"/>
      <c r="F5984" s="2"/>
      <c r="G5984" s="2"/>
      <c r="H5984" s="2"/>
      <c r="I5984" s="2"/>
      <c r="J5984" s="2"/>
      <c r="K5984" s="2"/>
      <c r="L5984" s="2"/>
      <c r="M5984" s="2"/>
      <c r="N5984" s="2"/>
      <c r="O5984" s="2"/>
      <c r="P5984" s="2"/>
      <c r="Q5984" s="2"/>
      <c r="R5984" s="2"/>
      <c r="S5984" s="2"/>
      <c r="T5984" s="2"/>
      <c r="U5984" s="2"/>
      <c r="V5984" s="2"/>
      <c r="W5984" s="2"/>
    </row>
    <row r="5985" spans="1:23" x14ac:dyDescent="0.25">
      <c r="A5985" s="2"/>
      <c r="B5985" s="2"/>
      <c r="C5985" s="1"/>
      <c r="D5985" s="2"/>
      <c r="E5985" s="2"/>
      <c r="F5985" s="2"/>
      <c r="G5985" s="2"/>
      <c r="H5985" s="2"/>
      <c r="I5985" s="2"/>
      <c r="J5985" s="2"/>
      <c r="K5985" s="2"/>
      <c r="L5985" s="2"/>
      <c r="M5985" s="2"/>
      <c r="N5985" s="2"/>
      <c r="O5985" s="2"/>
      <c r="P5985" s="2"/>
      <c r="Q5985" s="2"/>
      <c r="R5985" s="2"/>
      <c r="S5985" s="2"/>
      <c r="T5985" s="2"/>
      <c r="U5985" s="2"/>
      <c r="V5985" s="2"/>
      <c r="W5985" s="2"/>
    </row>
    <row r="5986" spans="1:23" x14ac:dyDescent="0.25">
      <c r="A5986" s="2"/>
      <c r="B5986" s="2"/>
      <c r="C5986" s="1"/>
      <c r="D5986" s="2"/>
      <c r="E5986" s="2"/>
      <c r="F5986" s="2"/>
      <c r="G5986" s="2"/>
      <c r="H5986" s="2"/>
      <c r="I5986" s="2"/>
      <c r="J5986" s="2"/>
      <c r="K5986" s="2"/>
      <c r="L5986" s="2"/>
      <c r="M5986" s="2"/>
      <c r="N5986" s="2"/>
      <c r="O5986" s="2"/>
      <c r="P5986" s="2"/>
      <c r="Q5986" s="2"/>
      <c r="R5986" s="2"/>
      <c r="S5986" s="2"/>
      <c r="T5986" s="2"/>
      <c r="U5986" s="2"/>
      <c r="V5986" s="2"/>
      <c r="W5986" s="2"/>
    </row>
    <row r="5987" spans="1:23" x14ac:dyDescent="0.25">
      <c r="A5987" s="2"/>
      <c r="B5987" s="2"/>
      <c r="C5987" s="1"/>
      <c r="D5987" s="2"/>
      <c r="E5987" s="2"/>
      <c r="F5987" s="2"/>
      <c r="G5987" s="2"/>
      <c r="H5987" s="2"/>
      <c r="I5987" s="2"/>
      <c r="J5987" s="2"/>
      <c r="K5987" s="2"/>
      <c r="L5987" s="2"/>
      <c r="M5987" s="2"/>
      <c r="N5987" s="2"/>
      <c r="O5987" s="2"/>
      <c r="P5987" s="2"/>
      <c r="Q5987" s="2"/>
      <c r="R5987" s="2"/>
      <c r="S5987" s="2"/>
      <c r="T5987" s="2"/>
      <c r="U5987" s="2"/>
      <c r="V5987" s="2"/>
      <c r="W5987" s="2"/>
    </row>
    <row r="5988" spans="1:23" x14ac:dyDescent="0.25">
      <c r="A5988" s="2"/>
      <c r="B5988" s="2"/>
      <c r="C5988" s="1"/>
      <c r="D5988" s="2"/>
      <c r="E5988" s="2"/>
      <c r="F5988" s="2"/>
      <c r="G5988" s="2"/>
      <c r="H5988" s="2"/>
      <c r="I5988" s="2"/>
      <c r="J5988" s="2"/>
      <c r="K5988" s="2"/>
      <c r="L5988" s="2"/>
      <c r="M5988" s="2"/>
      <c r="N5988" s="2"/>
      <c r="O5988" s="2"/>
      <c r="P5988" s="2"/>
      <c r="Q5988" s="2"/>
      <c r="R5988" s="2"/>
      <c r="S5988" s="2"/>
      <c r="T5988" s="2"/>
      <c r="U5988" s="2"/>
      <c r="V5988" s="2"/>
      <c r="W5988" s="2"/>
    </row>
    <row r="5989" spans="1:23" x14ac:dyDescent="0.25">
      <c r="A5989" s="2"/>
      <c r="B5989" s="2"/>
      <c r="C5989" s="1"/>
      <c r="D5989" s="2"/>
      <c r="E5989" s="2"/>
      <c r="F5989" s="2"/>
      <c r="G5989" s="2"/>
      <c r="H5989" s="2"/>
      <c r="I5989" s="2"/>
      <c r="J5989" s="2"/>
      <c r="K5989" s="2"/>
      <c r="L5989" s="2"/>
      <c r="M5989" s="2"/>
      <c r="N5989" s="2"/>
      <c r="O5989" s="2"/>
      <c r="P5989" s="2"/>
      <c r="Q5989" s="2"/>
      <c r="R5989" s="2"/>
      <c r="S5989" s="2"/>
      <c r="T5989" s="2"/>
      <c r="U5989" s="2"/>
      <c r="V5989" s="2"/>
      <c r="W5989" s="2"/>
    </row>
    <row r="5990" spans="1:23" x14ac:dyDescent="0.25">
      <c r="A5990" s="2"/>
      <c r="B5990" s="2"/>
      <c r="C5990" s="1"/>
      <c r="D5990" s="2"/>
      <c r="E5990" s="2"/>
      <c r="F5990" s="2"/>
      <c r="G5990" s="2"/>
      <c r="H5990" s="2"/>
      <c r="I5990" s="2"/>
      <c r="J5990" s="2"/>
      <c r="K5990" s="2"/>
      <c r="L5990" s="2"/>
      <c r="M5990" s="2"/>
      <c r="N5990" s="2"/>
      <c r="O5990" s="2"/>
      <c r="P5990" s="2"/>
      <c r="Q5990" s="2"/>
      <c r="R5990" s="2"/>
      <c r="S5990" s="2"/>
      <c r="T5990" s="2"/>
      <c r="U5990" s="2"/>
      <c r="V5990" s="2"/>
      <c r="W5990" s="2"/>
    </row>
    <row r="5991" spans="1:23" x14ac:dyDescent="0.25">
      <c r="A5991" s="2"/>
      <c r="B5991" s="2"/>
      <c r="C5991" s="1"/>
      <c r="D5991" s="2"/>
      <c r="E5991" s="2"/>
      <c r="F5991" s="2"/>
      <c r="G5991" s="2"/>
      <c r="H5991" s="2"/>
      <c r="I5991" s="2"/>
      <c r="J5991" s="2"/>
      <c r="K5991" s="2"/>
      <c r="L5991" s="2"/>
      <c r="M5991" s="2"/>
      <c r="N5991" s="2"/>
      <c r="O5991" s="2"/>
      <c r="P5991" s="2"/>
      <c r="Q5991" s="2"/>
      <c r="R5991" s="2"/>
      <c r="S5991" s="2"/>
      <c r="T5991" s="2"/>
      <c r="U5991" s="2"/>
      <c r="V5991" s="2"/>
      <c r="W5991" s="2"/>
    </row>
    <row r="5992" spans="1:23" x14ac:dyDescent="0.25">
      <c r="A5992" s="2"/>
      <c r="B5992" s="2"/>
      <c r="C5992" s="1"/>
      <c r="D5992" s="2"/>
      <c r="E5992" s="2"/>
      <c r="F5992" s="2"/>
      <c r="G5992" s="2"/>
      <c r="H5992" s="2"/>
      <c r="I5992" s="2"/>
      <c r="J5992" s="2"/>
      <c r="K5992" s="2"/>
      <c r="L5992" s="2"/>
      <c r="M5992" s="2"/>
      <c r="N5992" s="2"/>
      <c r="O5992" s="2"/>
      <c r="P5992" s="2"/>
      <c r="Q5992" s="2"/>
      <c r="R5992" s="2"/>
      <c r="S5992" s="2"/>
      <c r="T5992" s="2"/>
      <c r="U5992" s="2"/>
      <c r="V5992" s="2"/>
      <c r="W5992" s="2"/>
    </row>
    <row r="5993" spans="1:23" x14ac:dyDescent="0.25">
      <c r="A5993" s="2"/>
      <c r="B5993" s="2"/>
      <c r="C5993" s="1"/>
      <c r="D5993" s="2"/>
      <c r="E5993" s="2"/>
      <c r="F5993" s="2"/>
      <c r="G5993" s="2"/>
      <c r="H5993" s="2"/>
      <c r="I5993" s="2"/>
      <c r="J5993" s="2"/>
      <c r="K5993" s="2"/>
      <c r="L5993" s="2"/>
      <c r="M5993" s="2"/>
      <c r="N5993" s="2"/>
      <c r="O5993" s="2"/>
      <c r="P5993" s="2"/>
      <c r="Q5993" s="2"/>
      <c r="R5993" s="2"/>
      <c r="S5993" s="2"/>
      <c r="T5993" s="2"/>
      <c r="U5993" s="2"/>
      <c r="V5993" s="2"/>
      <c r="W5993" s="2"/>
    </row>
    <row r="5994" spans="1:23" x14ac:dyDescent="0.25">
      <c r="A5994" s="2"/>
      <c r="B5994" s="2"/>
      <c r="C5994" s="1"/>
      <c r="D5994" s="2"/>
      <c r="E5994" s="2"/>
      <c r="F5994" s="2"/>
      <c r="G5994" s="2"/>
      <c r="H5994" s="2"/>
      <c r="I5994" s="2"/>
      <c r="J5994" s="2"/>
      <c r="K5994" s="2"/>
      <c r="L5994" s="2"/>
      <c r="M5994" s="2"/>
      <c r="N5994" s="2"/>
      <c r="O5994" s="2"/>
      <c r="P5994" s="2"/>
      <c r="Q5994" s="2"/>
      <c r="R5994" s="2"/>
      <c r="S5994" s="2"/>
      <c r="T5994" s="2"/>
      <c r="U5994" s="2"/>
      <c r="V5994" s="2"/>
      <c r="W5994" s="2"/>
    </row>
    <row r="5995" spans="1:23" x14ac:dyDescent="0.25">
      <c r="A5995" s="2"/>
      <c r="B5995" s="2"/>
      <c r="C5995" s="1"/>
      <c r="D5995" s="2"/>
      <c r="E5995" s="2"/>
      <c r="F5995" s="2"/>
      <c r="G5995" s="2"/>
      <c r="H5995" s="2"/>
      <c r="I5995" s="2"/>
      <c r="J5995" s="2"/>
      <c r="K5995" s="2"/>
      <c r="L5995" s="2"/>
      <c r="M5995" s="2"/>
      <c r="N5995" s="2"/>
      <c r="O5995" s="2"/>
      <c r="P5995" s="2"/>
      <c r="Q5995" s="2"/>
      <c r="R5995" s="2"/>
      <c r="S5995" s="2"/>
      <c r="T5995" s="2"/>
      <c r="U5995" s="2"/>
      <c r="V5995" s="2"/>
      <c r="W5995" s="2"/>
    </row>
    <row r="5996" spans="1:23" x14ac:dyDescent="0.25">
      <c r="A5996" s="2"/>
      <c r="B5996" s="2"/>
      <c r="C5996" s="1"/>
      <c r="D5996" s="2"/>
      <c r="E5996" s="2"/>
      <c r="F5996" s="2"/>
      <c r="G5996" s="2"/>
      <c r="H5996" s="2"/>
      <c r="I5996" s="2"/>
      <c r="J5996" s="2"/>
      <c r="K5996" s="2"/>
      <c r="L5996" s="2"/>
      <c r="M5996" s="2"/>
      <c r="N5996" s="2"/>
      <c r="O5996" s="2"/>
      <c r="P5996" s="2"/>
      <c r="Q5996" s="2"/>
      <c r="R5996" s="2"/>
      <c r="S5996" s="2"/>
      <c r="T5996" s="2"/>
      <c r="U5996" s="2"/>
      <c r="V5996" s="2"/>
      <c r="W5996" s="2"/>
    </row>
    <row r="5997" spans="1:23" x14ac:dyDescent="0.25">
      <c r="A5997" s="2"/>
      <c r="B5997" s="2"/>
      <c r="C5997" s="1"/>
      <c r="D5997" s="2"/>
      <c r="E5997" s="2"/>
      <c r="F5997" s="2"/>
      <c r="G5997" s="2"/>
      <c r="H5997" s="2"/>
      <c r="I5997" s="2"/>
      <c r="J5997" s="2"/>
      <c r="K5997" s="2"/>
      <c r="L5997" s="2"/>
      <c r="M5997" s="2"/>
      <c r="N5997" s="2"/>
      <c r="O5997" s="2"/>
      <c r="P5997" s="2"/>
      <c r="Q5997" s="2"/>
      <c r="R5997" s="2"/>
      <c r="S5997" s="2"/>
      <c r="T5997" s="2"/>
      <c r="U5997" s="2"/>
      <c r="V5997" s="2"/>
      <c r="W5997" s="2"/>
    </row>
    <row r="5998" spans="1:23" x14ac:dyDescent="0.25">
      <c r="A5998" s="2"/>
      <c r="B5998" s="2"/>
      <c r="C5998" s="1"/>
      <c r="D5998" s="2"/>
      <c r="E5998" s="2"/>
      <c r="F5998" s="2"/>
      <c r="G5998" s="2"/>
      <c r="H5998" s="2"/>
      <c r="I5998" s="2"/>
      <c r="J5998" s="2"/>
      <c r="K5998" s="2"/>
      <c r="L5998" s="2"/>
      <c r="M5998" s="2"/>
      <c r="N5998" s="2"/>
      <c r="O5998" s="2"/>
      <c r="P5998" s="2"/>
      <c r="Q5998" s="2"/>
      <c r="R5998" s="2"/>
      <c r="S5998" s="2"/>
      <c r="T5998" s="2"/>
      <c r="U5998" s="2"/>
      <c r="V5998" s="2"/>
      <c r="W5998" s="2"/>
    </row>
    <row r="5999" spans="1:23" x14ac:dyDescent="0.25">
      <c r="A5999" s="2"/>
      <c r="B5999" s="2"/>
      <c r="C5999" s="1"/>
      <c r="D5999" s="2"/>
      <c r="E5999" s="2"/>
      <c r="F5999" s="2"/>
      <c r="G5999" s="2"/>
      <c r="H5999" s="2"/>
      <c r="I5999" s="2"/>
      <c r="J5999" s="2"/>
      <c r="K5999" s="2"/>
      <c r="L5999" s="2"/>
      <c r="M5999" s="2"/>
      <c r="N5999" s="2"/>
      <c r="O5999" s="2"/>
      <c r="P5999" s="2"/>
      <c r="Q5999" s="2"/>
      <c r="R5999" s="2"/>
      <c r="S5999" s="2"/>
      <c r="T5999" s="2"/>
      <c r="U5999" s="2"/>
      <c r="V5999" s="2"/>
      <c r="W5999" s="2"/>
    </row>
    <row r="6000" spans="1:23" x14ac:dyDescent="0.25">
      <c r="A6000" s="2"/>
      <c r="B6000" s="2"/>
      <c r="C6000" s="1"/>
      <c r="D6000" s="2"/>
      <c r="E6000" s="2"/>
      <c r="F6000" s="2"/>
      <c r="G6000" s="2"/>
      <c r="H6000" s="2"/>
      <c r="I6000" s="2"/>
      <c r="J6000" s="2"/>
      <c r="K6000" s="2"/>
      <c r="L6000" s="2"/>
      <c r="M6000" s="2"/>
      <c r="N6000" s="2"/>
      <c r="O6000" s="2"/>
      <c r="P6000" s="2"/>
      <c r="Q6000" s="2"/>
      <c r="R6000" s="2"/>
      <c r="S6000" s="2"/>
      <c r="T6000" s="2"/>
      <c r="U6000" s="2"/>
      <c r="V6000" s="2"/>
      <c r="W6000" s="2"/>
    </row>
    <row r="6001" spans="1:23" x14ac:dyDescent="0.25">
      <c r="A6001" s="2"/>
      <c r="B6001" s="2"/>
      <c r="C6001" s="1"/>
      <c r="D6001" s="2"/>
      <c r="E6001" s="2"/>
      <c r="F6001" s="2"/>
      <c r="G6001" s="2"/>
      <c r="H6001" s="2"/>
      <c r="I6001" s="2"/>
      <c r="J6001" s="2"/>
      <c r="K6001" s="2"/>
      <c r="L6001" s="2"/>
      <c r="M6001" s="2"/>
      <c r="N6001" s="2"/>
      <c r="O6001" s="2"/>
      <c r="P6001" s="2"/>
      <c r="Q6001" s="2"/>
      <c r="R6001" s="2"/>
      <c r="S6001" s="2"/>
      <c r="T6001" s="2"/>
      <c r="U6001" s="2"/>
      <c r="V6001" s="2"/>
      <c r="W6001" s="2"/>
    </row>
    <row r="6002" spans="1:23" x14ac:dyDescent="0.25">
      <c r="A6002" s="2"/>
      <c r="B6002" s="2"/>
      <c r="C6002" s="1"/>
      <c r="D6002" s="2"/>
      <c r="E6002" s="2"/>
      <c r="F6002" s="2"/>
      <c r="G6002" s="2"/>
      <c r="H6002" s="2"/>
      <c r="I6002" s="2"/>
      <c r="J6002" s="2"/>
      <c r="K6002" s="2"/>
      <c r="L6002" s="2"/>
      <c r="M6002" s="2"/>
      <c r="N6002" s="2"/>
      <c r="O6002" s="2"/>
      <c r="P6002" s="2"/>
      <c r="Q6002" s="2"/>
      <c r="R6002" s="2"/>
      <c r="S6002" s="2"/>
      <c r="T6002" s="2"/>
      <c r="U6002" s="2"/>
      <c r="V6002" s="2"/>
      <c r="W6002" s="2"/>
    </row>
    <row r="6003" spans="1:23" x14ac:dyDescent="0.25">
      <c r="A6003" s="2"/>
      <c r="B6003" s="2"/>
      <c r="C6003" s="1"/>
      <c r="D6003" s="2"/>
      <c r="E6003" s="2"/>
      <c r="F6003" s="2"/>
      <c r="G6003" s="2"/>
      <c r="H6003" s="2"/>
      <c r="I6003" s="2"/>
      <c r="J6003" s="2"/>
      <c r="K6003" s="2"/>
      <c r="L6003" s="2"/>
      <c r="M6003" s="2"/>
      <c r="N6003" s="2"/>
      <c r="O6003" s="2"/>
      <c r="P6003" s="2"/>
      <c r="Q6003" s="2"/>
      <c r="R6003" s="2"/>
      <c r="S6003" s="2"/>
      <c r="T6003" s="2"/>
      <c r="U6003" s="2"/>
      <c r="V6003" s="2"/>
      <c r="W6003" s="2"/>
    </row>
    <row r="6004" spans="1:23" x14ac:dyDescent="0.25">
      <c r="A6004" s="2"/>
      <c r="B6004" s="2"/>
      <c r="C6004" s="1"/>
      <c r="D6004" s="2"/>
      <c r="E6004" s="2"/>
      <c r="F6004" s="2"/>
      <c r="G6004" s="2"/>
      <c r="H6004" s="2"/>
      <c r="I6004" s="2"/>
      <c r="J6004" s="2"/>
      <c r="K6004" s="2"/>
      <c r="L6004" s="2"/>
      <c r="M6004" s="2"/>
      <c r="N6004" s="2"/>
      <c r="O6004" s="2"/>
      <c r="P6004" s="2"/>
      <c r="Q6004" s="2"/>
      <c r="R6004" s="2"/>
      <c r="S6004" s="2"/>
      <c r="T6004" s="2"/>
      <c r="U6004" s="2"/>
      <c r="V6004" s="2"/>
      <c r="W6004" s="2"/>
    </row>
    <row r="6005" spans="1:23" x14ac:dyDescent="0.25">
      <c r="A6005" s="2"/>
      <c r="B6005" s="2"/>
      <c r="C6005" s="1"/>
      <c r="D6005" s="2"/>
      <c r="E6005" s="2"/>
      <c r="F6005" s="2"/>
      <c r="G6005" s="2"/>
      <c r="H6005" s="2"/>
      <c r="I6005" s="2"/>
      <c r="J6005" s="2"/>
      <c r="K6005" s="2"/>
      <c r="L6005" s="2"/>
      <c r="M6005" s="2"/>
      <c r="N6005" s="2"/>
      <c r="O6005" s="2"/>
      <c r="P6005" s="2"/>
      <c r="Q6005" s="2"/>
      <c r="R6005" s="2"/>
      <c r="S6005" s="2"/>
      <c r="T6005" s="2"/>
      <c r="U6005" s="2"/>
      <c r="V6005" s="2"/>
      <c r="W6005" s="2"/>
    </row>
    <row r="6006" spans="1:23" x14ac:dyDescent="0.25">
      <c r="A6006" s="2"/>
      <c r="B6006" s="2"/>
      <c r="C6006" s="1"/>
      <c r="D6006" s="2"/>
      <c r="E6006" s="2"/>
      <c r="F6006" s="2"/>
      <c r="G6006" s="2"/>
      <c r="H6006" s="2"/>
      <c r="I6006" s="2"/>
      <c r="J6006" s="2"/>
      <c r="K6006" s="2"/>
      <c r="L6006" s="2"/>
      <c r="M6006" s="2"/>
      <c r="N6006" s="2"/>
      <c r="O6006" s="2"/>
      <c r="P6006" s="2"/>
      <c r="Q6006" s="2"/>
      <c r="R6006" s="2"/>
      <c r="S6006" s="2"/>
      <c r="T6006" s="2"/>
      <c r="U6006" s="2"/>
      <c r="V6006" s="2"/>
      <c r="W6006" s="2"/>
    </row>
    <row r="6007" spans="1:23" x14ac:dyDescent="0.25">
      <c r="A6007" s="2"/>
      <c r="B6007" s="2"/>
      <c r="C6007" s="1"/>
      <c r="D6007" s="2"/>
      <c r="E6007" s="2"/>
      <c r="F6007" s="2"/>
      <c r="G6007" s="2"/>
      <c r="H6007" s="2"/>
      <c r="I6007" s="2"/>
      <c r="J6007" s="2"/>
      <c r="K6007" s="2"/>
      <c r="L6007" s="2"/>
      <c r="M6007" s="2"/>
      <c r="N6007" s="2"/>
      <c r="O6007" s="2"/>
      <c r="P6007" s="2"/>
      <c r="Q6007" s="2"/>
      <c r="R6007" s="2"/>
      <c r="S6007" s="2"/>
      <c r="T6007" s="2"/>
      <c r="U6007" s="2"/>
      <c r="V6007" s="2"/>
      <c r="W6007" s="2"/>
    </row>
    <row r="6008" spans="1:23" x14ac:dyDescent="0.25">
      <c r="A6008" s="2"/>
      <c r="B6008" s="2"/>
      <c r="C6008" s="1"/>
      <c r="D6008" s="2"/>
      <c r="E6008" s="2"/>
      <c r="F6008" s="2"/>
      <c r="G6008" s="2"/>
      <c r="H6008" s="2"/>
      <c r="I6008" s="2"/>
      <c r="J6008" s="2"/>
      <c r="K6008" s="2"/>
      <c r="L6008" s="2"/>
      <c r="M6008" s="2"/>
      <c r="N6008" s="2"/>
      <c r="O6008" s="2"/>
      <c r="P6008" s="2"/>
      <c r="Q6008" s="2"/>
      <c r="R6008" s="2"/>
      <c r="S6008" s="2"/>
      <c r="T6008" s="2"/>
      <c r="U6008" s="2"/>
      <c r="V6008" s="2"/>
      <c r="W6008" s="2"/>
    </row>
    <row r="6009" spans="1:23" x14ac:dyDescent="0.25">
      <c r="A6009" s="2"/>
      <c r="B6009" s="2"/>
      <c r="C6009" s="1"/>
      <c r="D6009" s="2"/>
      <c r="E6009" s="2"/>
      <c r="F6009" s="2"/>
      <c r="G6009" s="2"/>
      <c r="H6009" s="2"/>
      <c r="I6009" s="2"/>
      <c r="J6009" s="2"/>
      <c r="K6009" s="2"/>
      <c r="L6009" s="2"/>
      <c r="M6009" s="2"/>
      <c r="N6009" s="2"/>
      <c r="O6009" s="2"/>
      <c r="P6009" s="2"/>
      <c r="Q6009" s="2"/>
      <c r="R6009" s="2"/>
      <c r="S6009" s="2"/>
      <c r="T6009" s="2"/>
      <c r="U6009" s="2"/>
      <c r="V6009" s="2"/>
      <c r="W6009" s="2"/>
    </row>
    <row r="6010" spans="1:23" x14ac:dyDescent="0.25">
      <c r="A6010" s="2"/>
      <c r="B6010" s="2"/>
      <c r="C6010" s="1"/>
      <c r="D6010" s="2"/>
      <c r="E6010" s="2"/>
      <c r="F6010" s="2"/>
      <c r="G6010" s="2"/>
      <c r="H6010" s="2"/>
      <c r="I6010" s="2"/>
      <c r="J6010" s="2"/>
      <c r="K6010" s="2"/>
      <c r="L6010" s="2"/>
      <c r="M6010" s="2"/>
      <c r="N6010" s="2"/>
      <c r="O6010" s="2"/>
      <c r="P6010" s="2"/>
      <c r="Q6010" s="2"/>
      <c r="R6010" s="2"/>
      <c r="S6010" s="2"/>
      <c r="T6010" s="2"/>
      <c r="U6010" s="2"/>
      <c r="V6010" s="2"/>
      <c r="W6010" s="2"/>
    </row>
    <row r="6011" spans="1:23" x14ac:dyDescent="0.25">
      <c r="A6011" s="2"/>
      <c r="B6011" s="2"/>
      <c r="C6011" s="1"/>
      <c r="D6011" s="2"/>
      <c r="E6011" s="2"/>
      <c r="F6011" s="2"/>
      <c r="G6011" s="2"/>
      <c r="H6011" s="2"/>
      <c r="I6011" s="2"/>
      <c r="J6011" s="2"/>
      <c r="K6011" s="2"/>
      <c r="L6011" s="2"/>
      <c r="M6011" s="2"/>
      <c r="N6011" s="2"/>
      <c r="O6011" s="2"/>
      <c r="P6011" s="2"/>
      <c r="Q6011" s="2"/>
      <c r="R6011" s="2"/>
      <c r="S6011" s="2"/>
      <c r="T6011" s="2"/>
      <c r="U6011" s="2"/>
      <c r="V6011" s="2"/>
      <c r="W6011" s="2"/>
    </row>
    <row r="6012" spans="1:23" x14ac:dyDescent="0.25">
      <c r="A6012" s="2"/>
      <c r="B6012" s="2"/>
      <c r="C6012" s="1"/>
      <c r="D6012" s="2"/>
      <c r="E6012" s="2"/>
      <c r="F6012" s="2"/>
      <c r="G6012" s="2"/>
      <c r="H6012" s="2"/>
      <c r="I6012" s="2"/>
      <c r="J6012" s="2"/>
      <c r="K6012" s="2"/>
      <c r="L6012" s="2"/>
      <c r="M6012" s="2"/>
      <c r="N6012" s="2"/>
      <c r="O6012" s="2"/>
      <c r="P6012" s="2"/>
      <c r="Q6012" s="2"/>
      <c r="R6012" s="2"/>
      <c r="S6012" s="2"/>
      <c r="T6012" s="2"/>
      <c r="U6012" s="2"/>
      <c r="V6012" s="2"/>
      <c r="W6012" s="2"/>
    </row>
    <row r="6013" spans="1:23" x14ac:dyDescent="0.25">
      <c r="A6013" s="2"/>
      <c r="B6013" s="2"/>
      <c r="C6013" s="1"/>
      <c r="D6013" s="2"/>
      <c r="E6013" s="2"/>
      <c r="F6013" s="2"/>
      <c r="G6013" s="2"/>
      <c r="H6013" s="2"/>
      <c r="I6013" s="2"/>
      <c r="J6013" s="2"/>
      <c r="K6013" s="2"/>
      <c r="L6013" s="2"/>
      <c r="M6013" s="2"/>
      <c r="N6013" s="2"/>
      <c r="O6013" s="2"/>
      <c r="P6013" s="2"/>
      <c r="Q6013" s="2"/>
      <c r="R6013" s="2"/>
      <c r="S6013" s="2"/>
      <c r="T6013" s="2"/>
      <c r="U6013" s="2"/>
      <c r="V6013" s="2"/>
      <c r="W6013" s="2"/>
    </row>
    <row r="6014" spans="1:23" x14ac:dyDescent="0.25">
      <c r="A6014" s="2"/>
      <c r="B6014" s="2"/>
      <c r="C6014" s="1"/>
      <c r="D6014" s="2"/>
      <c r="E6014" s="2"/>
      <c r="F6014" s="2"/>
      <c r="G6014" s="2"/>
      <c r="H6014" s="2"/>
      <c r="I6014" s="2"/>
      <c r="J6014" s="2"/>
      <c r="K6014" s="2"/>
      <c r="L6014" s="2"/>
      <c r="M6014" s="2"/>
      <c r="N6014" s="2"/>
      <c r="O6014" s="2"/>
      <c r="P6014" s="2"/>
      <c r="Q6014" s="2"/>
      <c r="R6014" s="2"/>
      <c r="S6014" s="2"/>
      <c r="T6014" s="2"/>
      <c r="U6014" s="2"/>
      <c r="V6014" s="2"/>
      <c r="W6014" s="2"/>
    </row>
    <row r="6015" spans="1:23" x14ac:dyDescent="0.25">
      <c r="A6015" s="2"/>
      <c r="B6015" s="2"/>
      <c r="C6015" s="1"/>
      <c r="D6015" s="2"/>
      <c r="E6015" s="2"/>
      <c r="F6015" s="2"/>
      <c r="G6015" s="2"/>
      <c r="H6015" s="2"/>
      <c r="I6015" s="2"/>
      <c r="J6015" s="2"/>
      <c r="K6015" s="2"/>
      <c r="L6015" s="2"/>
      <c r="M6015" s="2"/>
      <c r="N6015" s="2"/>
      <c r="O6015" s="2"/>
      <c r="P6015" s="2"/>
      <c r="Q6015" s="2"/>
      <c r="R6015" s="2"/>
      <c r="S6015" s="2"/>
      <c r="T6015" s="2"/>
      <c r="U6015" s="2"/>
      <c r="V6015" s="2"/>
      <c r="W6015" s="2"/>
    </row>
    <row r="6016" spans="1:23" x14ac:dyDescent="0.25">
      <c r="A6016" s="2"/>
      <c r="B6016" s="2"/>
      <c r="C6016" s="1"/>
      <c r="D6016" s="2"/>
      <c r="E6016" s="2"/>
      <c r="F6016" s="2"/>
      <c r="G6016" s="2"/>
      <c r="H6016" s="2"/>
      <c r="I6016" s="2"/>
      <c r="J6016" s="2"/>
      <c r="K6016" s="2"/>
      <c r="L6016" s="2"/>
      <c r="M6016" s="2"/>
      <c r="N6016" s="2"/>
      <c r="O6016" s="2"/>
      <c r="P6016" s="2"/>
      <c r="Q6016" s="2"/>
      <c r="R6016" s="2"/>
      <c r="S6016" s="2"/>
      <c r="T6016" s="2"/>
      <c r="U6016" s="2"/>
      <c r="V6016" s="2"/>
      <c r="W6016" s="2"/>
    </row>
    <row r="6017" spans="1:23" x14ac:dyDescent="0.25">
      <c r="A6017" s="2"/>
      <c r="B6017" s="2"/>
      <c r="C6017" s="1"/>
      <c r="D6017" s="2"/>
      <c r="E6017" s="2"/>
      <c r="F6017" s="2"/>
      <c r="G6017" s="2"/>
      <c r="H6017" s="2"/>
      <c r="I6017" s="2"/>
      <c r="J6017" s="2"/>
      <c r="K6017" s="2"/>
      <c r="L6017" s="2"/>
      <c r="M6017" s="2"/>
      <c r="N6017" s="2"/>
      <c r="O6017" s="2"/>
      <c r="P6017" s="2"/>
      <c r="Q6017" s="2"/>
      <c r="R6017" s="2"/>
      <c r="S6017" s="2"/>
      <c r="T6017" s="2"/>
      <c r="U6017" s="2"/>
      <c r="V6017" s="2"/>
      <c r="W6017" s="2"/>
    </row>
    <row r="6018" spans="1:23" x14ac:dyDescent="0.25">
      <c r="A6018" s="2"/>
      <c r="B6018" s="2"/>
      <c r="C6018" s="1"/>
      <c r="D6018" s="2"/>
      <c r="E6018" s="2"/>
      <c r="F6018" s="2"/>
      <c r="G6018" s="2"/>
      <c r="H6018" s="2"/>
      <c r="I6018" s="2"/>
      <c r="J6018" s="2"/>
      <c r="K6018" s="2"/>
      <c r="L6018" s="2"/>
      <c r="M6018" s="2"/>
      <c r="N6018" s="2"/>
      <c r="O6018" s="2"/>
      <c r="P6018" s="2"/>
      <c r="Q6018" s="2"/>
      <c r="R6018" s="2"/>
      <c r="S6018" s="2"/>
      <c r="T6018" s="2"/>
      <c r="U6018" s="2"/>
      <c r="V6018" s="2"/>
      <c r="W6018" s="2"/>
    </row>
    <row r="6019" spans="1:23" x14ac:dyDescent="0.25">
      <c r="A6019" s="2"/>
      <c r="B6019" s="2"/>
      <c r="C6019" s="1"/>
      <c r="D6019" s="2"/>
      <c r="E6019" s="2"/>
      <c r="F6019" s="2"/>
      <c r="G6019" s="2"/>
      <c r="H6019" s="2"/>
      <c r="I6019" s="2"/>
      <c r="J6019" s="2"/>
      <c r="K6019" s="2"/>
      <c r="L6019" s="2"/>
      <c r="M6019" s="2"/>
      <c r="N6019" s="2"/>
      <c r="O6019" s="2"/>
      <c r="P6019" s="2"/>
      <c r="Q6019" s="2"/>
      <c r="R6019" s="2"/>
      <c r="S6019" s="2"/>
      <c r="T6019" s="2"/>
      <c r="U6019" s="2"/>
      <c r="V6019" s="2"/>
      <c r="W6019" s="2"/>
    </row>
    <row r="6020" spans="1:23" x14ac:dyDescent="0.25">
      <c r="A6020" s="2"/>
      <c r="B6020" s="2"/>
      <c r="C6020" s="1"/>
      <c r="D6020" s="2"/>
      <c r="E6020" s="2"/>
      <c r="F6020" s="2"/>
      <c r="G6020" s="2"/>
      <c r="H6020" s="2"/>
      <c r="I6020" s="2"/>
      <c r="J6020" s="2"/>
      <c r="K6020" s="2"/>
      <c r="L6020" s="2"/>
      <c r="M6020" s="2"/>
      <c r="N6020" s="2"/>
      <c r="O6020" s="2"/>
      <c r="P6020" s="2"/>
      <c r="Q6020" s="2"/>
      <c r="R6020" s="2"/>
      <c r="S6020" s="2"/>
      <c r="T6020" s="2"/>
      <c r="U6020" s="2"/>
      <c r="V6020" s="2"/>
      <c r="W6020" s="2"/>
    </row>
    <row r="6021" spans="1:23" x14ac:dyDescent="0.25">
      <c r="A6021" s="2"/>
      <c r="B6021" s="2"/>
      <c r="C6021" s="1"/>
      <c r="D6021" s="2"/>
      <c r="E6021" s="2"/>
      <c r="F6021" s="2"/>
      <c r="G6021" s="2"/>
      <c r="H6021" s="2"/>
      <c r="I6021" s="2"/>
      <c r="J6021" s="2"/>
      <c r="K6021" s="2"/>
      <c r="L6021" s="2"/>
      <c r="M6021" s="2"/>
      <c r="N6021" s="2"/>
      <c r="O6021" s="2"/>
      <c r="P6021" s="2"/>
      <c r="Q6021" s="2"/>
      <c r="R6021" s="2"/>
      <c r="S6021" s="2"/>
      <c r="T6021" s="2"/>
      <c r="U6021" s="2"/>
      <c r="V6021" s="2"/>
      <c r="W6021" s="2"/>
    </row>
    <row r="6022" spans="1:23" x14ac:dyDescent="0.25">
      <c r="A6022" s="2"/>
      <c r="B6022" s="2"/>
      <c r="C6022" s="1"/>
      <c r="D6022" s="2"/>
      <c r="E6022" s="2"/>
      <c r="F6022" s="2"/>
      <c r="G6022" s="2"/>
      <c r="H6022" s="2"/>
      <c r="I6022" s="2"/>
      <c r="J6022" s="2"/>
      <c r="K6022" s="2"/>
      <c r="L6022" s="2"/>
      <c r="M6022" s="2"/>
      <c r="N6022" s="2"/>
      <c r="O6022" s="2"/>
      <c r="P6022" s="2"/>
      <c r="Q6022" s="2"/>
      <c r="R6022" s="2"/>
      <c r="S6022" s="2"/>
      <c r="T6022" s="2"/>
      <c r="U6022" s="2"/>
      <c r="V6022" s="2"/>
      <c r="W6022" s="2"/>
    </row>
    <row r="6023" spans="1:23" x14ac:dyDescent="0.25">
      <c r="A6023" s="2"/>
      <c r="B6023" s="2"/>
      <c r="C6023" s="1"/>
      <c r="D6023" s="2"/>
      <c r="E6023" s="2"/>
      <c r="F6023" s="2"/>
      <c r="G6023" s="2"/>
      <c r="H6023" s="2"/>
      <c r="I6023" s="2"/>
      <c r="J6023" s="2"/>
      <c r="K6023" s="2"/>
      <c r="L6023" s="2"/>
      <c r="M6023" s="2"/>
      <c r="N6023" s="2"/>
      <c r="O6023" s="2"/>
      <c r="P6023" s="2"/>
      <c r="Q6023" s="2"/>
      <c r="R6023" s="2"/>
      <c r="S6023" s="2"/>
      <c r="T6023" s="2"/>
      <c r="U6023" s="2"/>
      <c r="V6023" s="2"/>
      <c r="W6023" s="2"/>
    </row>
    <row r="6024" spans="1:23" x14ac:dyDescent="0.25">
      <c r="A6024" s="2"/>
      <c r="B6024" s="2"/>
      <c r="C6024" s="1"/>
      <c r="D6024" s="2"/>
      <c r="E6024" s="2"/>
      <c r="F6024" s="2"/>
      <c r="G6024" s="2"/>
      <c r="H6024" s="2"/>
      <c r="I6024" s="2"/>
      <c r="J6024" s="2"/>
      <c r="K6024" s="2"/>
      <c r="L6024" s="2"/>
      <c r="M6024" s="2"/>
      <c r="N6024" s="2"/>
      <c r="O6024" s="2"/>
      <c r="P6024" s="2"/>
      <c r="Q6024" s="2"/>
      <c r="R6024" s="2"/>
      <c r="S6024" s="2"/>
      <c r="T6024" s="2"/>
      <c r="U6024" s="2"/>
      <c r="V6024" s="2"/>
      <c r="W6024" s="2"/>
    </row>
    <row r="6025" spans="1:23" x14ac:dyDescent="0.25">
      <c r="A6025" s="2"/>
      <c r="B6025" s="2"/>
      <c r="C6025" s="1"/>
      <c r="D6025" s="2"/>
      <c r="E6025" s="2"/>
      <c r="F6025" s="2"/>
      <c r="G6025" s="2"/>
      <c r="H6025" s="2"/>
      <c r="I6025" s="2"/>
      <c r="J6025" s="2"/>
      <c r="K6025" s="2"/>
      <c r="L6025" s="2"/>
      <c r="M6025" s="2"/>
      <c r="N6025" s="2"/>
      <c r="O6025" s="2"/>
      <c r="P6025" s="2"/>
      <c r="Q6025" s="2"/>
      <c r="R6025" s="2"/>
      <c r="S6025" s="2"/>
      <c r="T6025" s="2"/>
      <c r="U6025" s="2"/>
      <c r="V6025" s="2"/>
      <c r="W6025" s="2"/>
    </row>
    <row r="6026" spans="1:23" x14ac:dyDescent="0.25">
      <c r="A6026" s="2"/>
      <c r="B6026" s="2"/>
      <c r="C6026" s="1"/>
      <c r="D6026" s="2"/>
      <c r="E6026" s="2"/>
      <c r="F6026" s="2"/>
      <c r="G6026" s="2"/>
      <c r="H6026" s="2"/>
      <c r="I6026" s="2"/>
      <c r="J6026" s="2"/>
      <c r="K6026" s="2"/>
      <c r="L6026" s="2"/>
      <c r="M6026" s="2"/>
      <c r="N6026" s="2"/>
      <c r="O6026" s="2"/>
      <c r="P6026" s="2"/>
      <c r="Q6026" s="2"/>
      <c r="R6026" s="2"/>
      <c r="S6026" s="2"/>
      <c r="T6026" s="2"/>
      <c r="U6026" s="2"/>
      <c r="V6026" s="2"/>
      <c r="W6026" s="2"/>
    </row>
    <row r="6027" spans="1:23" x14ac:dyDescent="0.25">
      <c r="A6027" s="2"/>
      <c r="B6027" s="2"/>
      <c r="C6027" s="1"/>
      <c r="D6027" s="2"/>
      <c r="E6027" s="2"/>
      <c r="F6027" s="2"/>
      <c r="G6027" s="2"/>
      <c r="H6027" s="2"/>
      <c r="I6027" s="2"/>
      <c r="J6027" s="2"/>
      <c r="K6027" s="2"/>
      <c r="L6027" s="2"/>
      <c r="M6027" s="2"/>
      <c r="N6027" s="2"/>
      <c r="O6027" s="2"/>
      <c r="P6027" s="2"/>
      <c r="Q6027" s="2"/>
      <c r="R6027" s="2"/>
      <c r="S6027" s="2"/>
      <c r="T6027" s="2"/>
      <c r="U6027" s="2"/>
      <c r="V6027" s="2"/>
      <c r="W6027" s="2"/>
    </row>
    <row r="6028" spans="1:23" x14ac:dyDescent="0.25">
      <c r="A6028" s="2"/>
      <c r="B6028" s="2"/>
      <c r="C6028" s="1"/>
      <c r="D6028" s="2"/>
      <c r="E6028" s="2"/>
      <c r="F6028" s="2"/>
      <c r="G6028" s="2"/>
      <c r="H6028" s="2"/>
      <c r="I6028" s="2"/>
      <c r="J6028" s="2"/>
      <c r="K6028" s="2"/>
      <c r="L6028" s="2"/>
      <c r="M6028" s="2"/>
      <c r="N6028" s="2"/>
      <c r="O6028" s="2"/>
      <c r="P6028" s="2"/>
      <c r="Q6028" s="2"/>
      <c r="R6028" s="2"/>
      <c r="S6028" s="2"/>
      <c r="T6028" s="2"/>
      <c r="U6028" s="2"/>
      <c r="V6028" s="2"/>
      <c r="W6028" s="2"/>
    </row>
    <row r="6029" spans="1:23" x14ac:dyDescent="0.25">
      <c r="A6029" s="2"/>
      <c r="B6029" s="2"/>
      <c r="C6029" s="1"/>
      <c r="D6029" s="2"/>
      <c r="E6029" s="2"/>
      <c r="F6029" s="2"/>
      <c r="G6029" s="2"/>
      <c r="H6029" s="2"/>
      <c r="I6029" s="2"/>
      <c r="J6029" s="2"/>
      <c r="K6029" s="2"/>
      <c r="L6029" s="2"/>
      <c r="M6029" s="2"/>
      <c r="N6029" s="2"/>
      <c r="O6029" s="2"/>
      <c r="P6029" s="2"/>
      <c r="Q6029" s="2"/>
      <c r="R6029" s="2"/>
      <c r="S6029" s="2"/>
      <c r="T6029" s="2"/>
      <c r="U6029" s="2"/>
      <c r="V6029" s="2"/>
      <c r="W6029" s="2"/>
    </row>
    <row r="6030" spans="1:23" x14ac:dyDescent="0.25">
      <c r="A6030" s="2"/>
      <c r="B6030" s="2"/>
      <c r="C6030" s="1"/>
      <c r="D6030" s="2"/>
      <c r="E6030" s="2"/>
      <c r="F6030" s="2"/>
      <c r="G6030" s="2"/>
      <c r="H6030" s="2"/>
      <c r="I6030" s="2"/>
      <c r="J6030" s="2"/>
      <c r="K6030" s="2"/>
      <c r="L6030" s="2"/>
      <c r="M6030" s="2"/>
      <c r="N6030" s="2"/>
      <c r="O6030" s="2"/>
      <c r="P6030" s="2"/>
      <c r="Q6030" s="2"/>
      <c r="R6030" s="2"/>
      <c r="S6030" s="2"/>
      <c r="T6030" s="2"/>
      <c r="U6030" s="2"/>
      <c r="V6030" s="2"/>
      <c r="W6030" s="2"/>
    </row>
    <row r="6031" spans="1:23" x14ac:dyDescent="0.25">
      <c r="A6031" s="2"/>
      <c r="B6031" s="2"/>
      <c r="C6031" s="1"/>
      <c r="D6031" s="2"/>
      <c r="E6031" s="2"/>
      <c r="F6031" s="2"/>
      <c r="G6031" s="2"/>
      <c r="H6031" s="2"/>
      <c r="I6031" s="2"/>
      <c r="J6031" s="2"/>
      <c r="K6031" s="2"/>
      <c r="L6031" s="2"/>
      <c r="M6031" s="2"/>
      <c r="N6031" s="2"/>
      <c r="O6031" s="2"/>
      <c r="P6031" s="2"/>
      <c r="Q6031" s="2"/>
      <c r="R6031" s="2"/>
      <c r="S6031" s="2"/>
      <c r="T6031" s="2"/>
      <c r="U6031" s="2"/>
      <c r="V6031" s="2"/>
      <c r="W6031" s="2"/>
    </row>
    <row r="6032" spans="1:23" x14ac:dyDescent="0.25">
      <c r="A6032" s="2"/>
      <c r="B6032" s="2"/>
      <c r="C6032" s="1"/>
      <c r="D6032" s="2"/>
      <c r="E6032" s="2"/>
      <c r="F6032" s="2"/>
      <c r="G6032" s="2"/>
      <c r="H6032" s="2"/>
      <c r="I6032" s="2"/>
      <c r="J6032" s="2"/>
      <c r="K6032" s="2"/>
      <c r="L6032" s="2"/>
      <c r="M6032" s="2"/>
      <c r="N6032" s="2"/>
      <c r="O6032" s="2"/>
      <c r="P6032" s="2"/>
      <c r="Q6032" s="2"/>
      <c r="R6032" s="2"/>
      <c r="S6032" s="2"/>
      <c r="T6032" s="2"/>
      <c r="U6032" s="2"/>
      <c r="V6032" s="2"/>
      <c r="W6032" s="2"/>
    </row>
    <row r="6033" spans="1:23" x14ac:dyDescent="0.25">
      <c r="A6033" s="2"/>
      <c r="B6033" s="2"/>
      <c r="C6033" s="1"/>
      <c r="D6033" s="2"/>
      <c r="E6033" s="2"/>
      <c r="F6033" s="2"/>
      <c r="G6033" s="2"/>
      <c r="H6033" s="2"/>
      <c r="I6033" s="2"/>
      <c r="J6033" s="2"/>
      <c r="K6033" s="2"/>
      <c r="L6033" s="2"/>
      <c r="M6033" s="2"/>
      <c r="N6033" s="2"/>
      <c r="O6033" s="2"/>
      <c r="P6033" s="2"/>
      <c r="Q6033" s="2"/>
      <c r="R6033" s="2"/>
      <c r="S6033" s="2"/>
      <c r="T6033" s="2"/>
      <c r="U6033" s="2"/>
      <c r="V6033" s="2"/>
      <c r="W6033" s="2"/>
    </row>
    <row r="6034" spans="1:23" x14ac:dyDescent="0.25">
      <c r="A6034" s="2"/>
      <c r="B6034" s="2"/>
      <c r="C6034" s="1"/>
      <c r="D6034" s="2"/>
      <c r="E6034" s="2"/>
      <c r="F6034" s="2"/>
      <c r="G6034" s="2"/>
      <c r="H6034" s="2"/>
      <c r="I6034" s="2"/>
      <c r="J6034" s="2"/>
      <c r="K6034" s="2"/>
      <c r="L6034" s="2"/>
      <c r="M6034" s="2"/>
      <c r="N6034" s="2"/>
      <c r="O6034" s="2"/>
      <c r="P6034" s="2"/>
      <c r="Q6034" s="2"/>
      <c r="R6034" s="2"/>
      <c r="S6034" s="2"/>
      <c r="T6034" s="2"/>
      <c r="U6034" s="2"/>
      <c r="V6034" s="2"/>
      <c r="W6034" s="2"/>
    </row>
    <row r="6035" spans="1:23" x14ac:dyDescent="0.25">
      <c r="A6035" s="2"/>
      <c r="B6035" s="2"/>
      <c r="C6035" s="1"/>
      <c r="D6035" s="2"/>
      <c r="E6035" s="2"/>
      <c r="F6035" s="2"/>
      <c r="G6035" s="2"/>
      <c r="H6035" s="2"/>
      <c r="I6035" s="2"/>
      <c r="J6035" s="2"/>
      <c r="K6035" s="2"/>
      <c r="L6035" s="2"/>
      <c r="M6035" s="2"/>
      <c r="N6035" s="2"/>
      <c r="O6035" s="2"/>
      <c r="P6035" s="2"/>
      <c r="Q6035" s="2"/>
      <c r="R6035" s="2"/>
      <c r="S6035" s="2"/>
      <c r="T6035" s="2"/>
      <c r="U6035" s="2"/>
      <c r="V6035" s="2"/>
      <c r="W6035" s="2"/>
    </row>
    <row r="6036" spans="1:23" x14ac:dyDescent="0.25">
      <c r="A6036" s="2"/>
      <c r="B6036" s="2"/>
      <c r="C6036" s="1"/>
      <c r="D6036" s="2"/>
      <c r="E6036" s="2"/>
      <c r="F6036" s="2"/>
      <c r="G6036" s="2"/>
      <c r="H6036" s="2"/>
      <c r="I6036" s="2"/>
      <c r="J6036" s="2"/>
      <c r="K6036" s="2"/>
      <c r="L6036" s="2"/>
      <c r="M6036" s="2"/>
      <c r="N6036" s="2"/>
      <c r="O6036" s="2"/>
      <c r="P6036" s="2"/>
      <c r="Q6036" s="2"/>
      <c r="R6036" s="2"/>
      <c r="S6036" s="2"/>
      <c r="T6036" s="2"/>
      <c r="U6036" s="2"/>
      <c r="V6036" s="2"/>
      <c r="W6036" s="2"/>
    </row>
    <row r="6037" spans="1:23" x14ac:dyDescent="0.25">
      <c r="A6037" s="2"/>
      <c r="B6037" s="2"/>
      <c r="C6037" s="1"/>
      <c r="D6037" s="2"/>
      <c r="E6037" s="2"/>
      <c r="F6037" s="2"/>
      <c r="G6037" s="2"/>
      <c r="H6037" s="2"/>
      <c r="I6037" s="2"/>
      <c r="J6037" s="2"/>
      <c r="K6037" s="2"/>
      <c r="L6037" s="2"/>
      <c r="M6037" s="2"/>
      <c r="N6037" s="2"/>
      <c r="O6037" s="2"/>
      <c r="P6037" s="2"/>
      <c r="Q6037" s="2"/>
      <c r="R6037" s="2"/>
      <c r="S6037" s="2"/>
      <c r="T6037" s="2"/>
      <c r="U6037" s="2"/>
      <c r="V6037" s="2"/>
      <c r="W6037" s="2"/>
    </row>
    <row r="6038" spans="1:23" x14ac:dyDescent="0.25">
      <c r="A6038" s="2"/>
      <c r="B6038" s="2"/>
      <c r="C6038" s="1"/>
      <c r="D6038" s="2"/>
      <c r="E6038" s="2"/>
      <c r="F6038" s="2"/>
      <c r="G6038" s="2"/>
      <c r="H6038" s="2"/>
      <c r="I6038" s="2"/>
      <c r="J6038" s="2"/>
      <c r="K6038" s="2"/>
      <c r="L6038" s="2"/>
      <c r="M6038" s="2"/>
      <c r="N6038" s="2"/>
      <c r="O6038" s="2"/>
      <c r="P6038" s="2"/>
      <c r="Q6038" s="2"/>
      <c r="R6038" s="2"/>
      <c r="S6038" s="2"/>
      <c r="T6038" s="2"/>
      <c r="U6038" s="2"/>
      <c r="V6038" s="2"/>
      <c r="W6038" s="2"/>
    </row>
    <row r="6039" spans="1:23" x14ac:dyDescent="0.25">
      <c r="A6039" s="2"/>
      <c r="B6039" s="2"/>
      <c r="C6039" s="1"/>
      <c r="D6039" s="2"/>
      <c r="E6039" s="2"/>
      <c r="F6039" s="2"/>
      <c r="G6039" s="2"/>
      <c r="H6039" s="2"/>
      <c r="I6039" s="2"/>
      <c r="J6039" s="2"/>
      <c r="K6039" s="2"/>
      <c r="L6039" s="2"/>
      <c r="M6039" s="2"/>
      <c r="N6039" s="2"/>
      <c r="O6039" s="2"/>
      <c r="P6039" s="2"/>
      <c r="Q6039" s="2"/>
      <c r="R6039" s="2"/>
      <c r="S6039" s="2"/>
      <c r="T6039" s="2"/>
      <c r="U6039" s="2"/>
      <c r="V6039" s="2"/>
      <c r="W6039" s="2"/>
    </row>
    <row r="6040" spans="1:23" x14ac:dyDescent="0.25">
      <c r="A6040" s="2"/>
      <c r="B6040" s="2"/>
      <c r="C6040" s="1"/>
      <c r="D6040" s="2"/>
      <c r="E6040" s="2"/>
      <c r="F6040" s="2"/>
      <c r="G6040" s="2"/>
      <c r="H6040" s="2"/>
      <c r="I6040" s="2"/>
      <c r="J6040" s="2"/>
      <c r="K6040" s="2"/>
      <c r="L6040" s="2"/>
      <c r="M6040" s="2"/>
      <c r="N6040" s="2"/>
      <c r="O6040" s="2"/>
      <c r="P6040" s="2"/>
      <c r="Q6040" s="2"/>
      <c r="R6040" s="2"/>
      <c r="S6040" s="2"/>
      <c r="T6040" s="2"/>
      <c r="U6040" s="2"/>
      <c r="V6040" s="2"/>
      <c r="W6040" s="2"/>
    </row>
    <row r="6041" spans="1:23" x14ac:dyDescent="0.25">
      <c r="A6041" s="2"/>
      <c r="B6041" s="2"/>
      <c r="C6041" s="1"/>
      <c r="D6041" s="2"/>
      <c r="E6041" s="2"/>
      <c r="F6041" s="2"/>
      <c r="G6041" s="2"/>
      <c r="H6041" s="2"/>
      <c r="I6041" s="2"/>
      <c r="J6041" s="2"/>
      <c r="K6041" s="2"/>
      <c r="L6041" s="2"/>
      <c r="M6041" s="2"/>
      <c r="N6041" s="2"/>
      <c r="O6041" s="2"/>
      <c r="P6041" s="2"/>
      <c r="Q6041" s="2"/>
      <c r="R6041" s="2"/>
      <c r="S6041" s="2"/>
      <c r="T6041" s="2"/>
      <c r="U6041" s="2"/>
      <c r="V6041" s="2"/>
      <c r="W6041" s="2"/>
    </row>
    <row r="6042" spans="1:23" x14ac:dyDescent="0.25">
      <c r="A6042" s="2"/>
      <c r="B6042" s="2"/>
      <c r="C6042" s="1"/>
      <c r="D6042" s="2"/>
      <c r="E6042" s="2"/>
      <c r="F6042" s="2"/>
      <c r="G6042" s="2"/>
      <c r="H6042" s="2"/>
      <c r="I6042" s="2"/>
      <c r="J6042" s="2"/>
      <c r="K6042" s="2"/>
      <c r="L6042" s="2"/>
      <c r="M6042" s="2"/>
      <c r="N6042" s="2"/>
      <c r="O6042" s="2"/>
      <c r="P6042" s="2"/>
      <c r="Q6042" s="2"/>
      <c r="R6042" s="2"/>
      <c r="S6042" s="2"/>
      <c r="T6042" s="2"/>
      <c r="U6042" s="2"/>
      <c r="V6042" s="2"/>
      <c r="W6042" s="2"/>
    </row>
    <row r="6043" spans="1:23" x14ac:dyDescent="0.25">
      <c r="A6043" s="2"/>
      <c r="B6043" s="2"/>
      <c r="C6043" s="1"/>
      <c r="D6043" s="2"/>
      <c r="E6043" s="2"/>
      <c r="F6043" s="2"/>
      <c r="G6043" s="2"/>
      <c r="H6043" s="2"/>
      <c r="I6043" s="2"/>
      <c r="J6043" s="2"/>
      <c r="K6043" s="2"/>
      <c r="L6043" s="2"/>
      <c r="M6043" s="2"/>
      <c r="N6043" s="2"/>
      <c r="O6043" s="2"/>
      <c r="P6043" s="2"/>
      <c r="Q6043" s="2"/>
      <c r="R6043" s="2"/>
      <c r="S6043" s="2"/>
      <c r="T6043" s="2"/>
      <c r="U6043" s="2"/>
      <c r="V6043" s="2"/>
      <c r="W6043" s="2"/>
    </row>
    <row r="6044" spans="1:23" x14ac:dyDescent="0.25">
      <c r="A6044" s="2"/>
      <c r="B6044" s="2"/>
      <c r="C6044" s="1"/>
      <c r="D6044" s="2"/>
      <c r="E6044" s="2"/>
      <c r="F6044" s="2"/>
      <c r="G6044" s="2"/>
      <c r="H6044" s="2"/>
      <c r="I6044" s="2"/>
      <c r="J6044" s="2"/>
      <c r="K6044" s="2"/>
      <c r="L6044" s="2"/>
      <c r="M6044" s="2"/>
      <c r="N6044" s="2"/>
      <c r="O6044" s="2"/>
      <c r="P6044" s="2"/>
      <c r="Q6044" s="2"/>
      <c r="R6044" s="2"/>
      <c r="S6044" s="2"/>
      <c r="T6044" s="2"/>
      <c r="U6044" s="2"/>
      <c r="V6044" s="2"/>
      <c r="W6044" s="2"/>
    </row>
    <row r="6045" spans="1:23" x14ac:dyDescent="0.25">
      <c r="A6045" s="2"/>
      <c r="B6045" s="2"/>
      <c r="C6045" s="1"/>
      <c r="D6045" s="2"/>
      <c r="E6045" s="2"/>
      <c r="F6045" s="2"/>
      <c r="G6045" s="2"/>
      <c r="H6045" s="2"/>
      <c r="I6045" s="2"/>
      <c r="J6045" s="2"/>
      <c r="K6045" s="2"/>
      <c r="L6045" s="2"/>
      <c r="M6045" s="2"/>
      <c r="N6045" s="2"/>
      <c r="O6045" s="2"/>
      <c r="P6045" s="2"/>
      <c r="Q6045" s="2"/>
      <c r="R6045" s="2"/>
      <c r="S6045" s="2"/>
      <c r="T6045" s="2"/>
      <c r="U6045" s="2"/>
      <c r="V6045" s="2"/>
      <c r="W6045" s="2"/>
    </row>
    <row r="6046" spans="1:23" x14ac:dyDescent="0.25">
      <c r="A6046" s="2"/>
      <c r="B6046" s="2"/>
      <c r="C6046" s="1"/>
      <c r="D6046" s="2"/>
      <c r="E6046" s="2"/>
      <c r="F6046" s="2"/>
      <c r="G6046" s="2"/>
      <c r="H6046" s="2"/>
      <c r="I6046" s="2"/>
      <c r="J6046" s="2"/>
      <c r="K6046" s="2"/>
      <c r="L6046" s="2"/>
      <c r="M6046" s="2"/>
      <c r="N6046" s="2"/>
      <c r="O6046" s="2"/>
      <c r="P6046" s="2"/>
      <c r="Q6046" s="2"/>
      <c r="R6046" s="2"/>
      <c r="S6046" s="2"/>
      <c r="T6046" s="2"/>
      <c r="U6046" s="2"/>
      <c r="V6046" s="2"/>
      <c r="W6046" s="2"/>
    </row>
    <row r="6047" spans="1:23" x14ac:dyDescent="0.25">
      <c r="A6047" s="2"/>
      <c r="B6047" s="2"/>
      <c r="C6047" s="1"/>
      <c r="D6047" s="2"/>
      <c r="E6047" s="2"/>
      <c r="F6047" s="2"/>
      <c r="G6047" s="2"/>
      <c r="H6047" s="2"/>
      <c r="I6047" s="2"/>
      <c r="J6047" s="2"/>
      <c r="K6047" s="2"/>
      <c r="L6047" s="2"/>
      <c r="M6047" s="2"/>
      <c r="N6047" s="2"/>
      <c r="O6047" s="2"/>
      <c r="P6047" s="2"/>
      <c r="Q6047" s="2"/>
      <c r="R6047" s="2"/>
      <c r="S6047" s="2"/>
      <c r="T6047" s="2"/>
      <c r="U6047" s="2"/>
      <c r="V6047" s="2"/>
      <c r="W6047" s="2"/>
    </row>
    <row r="6048" spans="1:23" x14ac:dyDescent="0.25">
      <c r="A6048" s="2"/>
      <c r="B6048" s="2"/>
      <c r="C6048" s="1"/>
      <c r="D6048" s="2"/>
      <c r="E6048" s="2"/>
      <c r="F6048" s="2"/>
      <c r="G6048" s="2"/>
      <c r="H6048" s="2"/>
      <c r="I6048" s="2"/>
      <c r="J6048" s="2"/>
      <c r="K6048" s="2"/>
      <c r="L6048" s="2"/>
      <c r="M6048" s="2"/>
      <c r="N6048" s="2"/>
      <c r="O6048" s="2"/>
      <c r="P6048" s="2"/>
      <c r="Q6048" s="2"/>
      <c r="R6048" s="2"/>
      <c r="S6048" s="2"/>
      <c r="T6048" s="2"/>
      <c r="U6048" s="2"/>
      <c r="V6048" s="2"/>
      <c r="W6048" s="2"/>
    </row>
    <row r="6049" spans="1:23" x14ac:dyDescent="0.25">
      <c r="A6049" s="2"/>
      <c r="B6049" s="2"/>
      <c r="C6049" s="1"/>
      <c r="D6049" s="2"/>
      <c r="E6049" s="2"/>
      <c r="F6049" s="2"/>
      <c r="G6049" s="2"/>
      <c r="H6049" s="2"/>
      <c r="I6049" s="2"/>
      <c r="J6049" s="2"/>
      <c r="K6049" s="2"/>
      <c r="L6049" s="2"/>
      <c r="M6049" s="2"/>
      <c r="N6049" s="2"/>
      <c r="O6049" s="2"/>
      <c r="P6049" s="2"/>
      <c r="Q6049" s="2"/>
      <c r="R6049" s="2"/>
      <c r="S6049" s="2"/>
      <c r="T6049" s="2"/>
      <c r="U6049" s="2"/>
      <c r="V6049" s="2"/>
      <c r="W6049" s="2"/>
    </row>
    <row r="6050" spans="1:23" x14ac:dyDescent="0.25">
      <c r="A6050" s="2"/>
      <c r="B6050" s="2"/>
      <c r="C6050" s="1"/>
      <c r="D6050" s="2"/>
      <c r="E6050" s="2"/>
      <c r="F6050" s="2"/>
      <c r="G6050" s="2"/>
      <c r="H6050" s="2"/>
      <c r="I6050" s="2"/>
      <c r="J6050" s="2"/>
      <c r="K6050" s="2"/>
      <c r="L6050" s="2"/>
      <c r="M6050" s="2"/>
      <c r="N6050" s="2"/>
      <c r="O6050" s="2"/>
      <c r="P6050" s="2"/>
      <c r="Q6050" s="2"/>
      <c r="R6050" s="2"/>
      <c r="S6050" s="2"/>
      <c r="T6050" s="2"/>
      <c r="U6050" s="2"/>
      <c r="V6050" s="2"/>
      <c r="W6050" s="2"/>
    </row>
    <row r="6051" spans="1:23" x14ac:dyDescent="0.25">
      <c r="A6051" s="2"/>
      <c r="B6051" s="2"/>
      <c r="C6051" s="1"/>
      <c r="D6051" s="2"/>
      <c r="E6051" s="2"/>
      <c r="F6051" s="2"/>
      <c r="G6051" s="2"/>
      <c r="H6051" s="2"/>
      <c r="I6051" s="2"/>
      <c r="J6051" s="2"/>
      <c r="K6051" s="2"/>
      <c r="L6051" s="2"/>
      <c r="M6051" s="2"/>
      <c r="N6051" s="2"/>
      <c r="O6051" s="2"/>
      <c r="P6051" s="2"/>
      <c r="Q6051" s="2"/>
      <c r="R6051" s="2"/>
      <c r="S6051" s="2"/>
      <c r="T6051" s="2"/>
      <c r="U6051" s="2"/>
      <c r="V6051" s="2"/>
      <c r="W6051" s="2"/>
    </row>
    <row r="6052" spans="1:23" x14ac:dyDescent="0.25">
      <c r="A6052" s="2"/>
      <c r="B6052" s="2"/>
      <c r="C6052" s="1"/>
      <c r="D6052" s="2"/>
      <c r="E6052" s="2"/>
      <c r="F6052" s="2"/>
      <c r="G6052" s="2"/>
      <c r="H6052" s="2"/>
      <c r="I6052" s="2"/>
      <c r="J6052" s="2"/>
      <c r="K6052" s="2"/>
      <c r="L6052" s="2"/>
      <c r="M6052" s="2"/>
      <c r="N6052" s="2"/>
      <c r="O6052" s="2"/>
      <c r="P6052" s="2"/>
      <c r="Q6052" s="2"/>
      <c r="R6052" s="2"/>
      <c r="S6052" s="2"/>
      <c r="T6052" s="2"/>
      <c r="U6052" s="2"/>
      <c r="V6052" s="2"/>
      <c r="W6052" s="2"/>
    </row>
    <row r="6053" spans="1:23" x14ac:dyDescent="0.25">
      <c r="A6053" s="2"/>
      <c r="B6053" s="2"/>
      <c r="C6053" s="1"/>
      <c r="D6053" s="2"/>
      <c r="E6053" s="2"/>
      <c r="F6053" s="2"/>
      <c r="G6053" s="2"/>
      <c r="H6053" s="2"/>
      <c r="I6053" s="2"/>
      <c r="J6053" s="2"/>
      <c r="K6053" s="2"/>
      <c r="L6053" s="2"/>
      <c r="M6053" s="2"/>
      <c r="N6053" s="2"/>
      <c r="O6053" s="2"/>
      <c r="P6053" s="2"/>
      <c r="Q6053" s="2"/>
      <c r="R6053" s="2"/>
      <c r="S6053" s="2"/>
      <c r="T6053" s="2"/>
      <c r="U6053" s="2"/>
      <c r="V6053" s="2"/>
      <c r="W6053" s="2"/>
    </row>
    <row r="6054" spans="1:23" x14ac:dyDescent="0.25">
      <c r="A6054" s="2"/>
      <c r="B6054" s="2"/>
      <c r="C6054" s="1"/>
      <c r="D6054" s="2"/>
      <c r="E6054" s="2"/>
      <c r="F6054" s="2"/>
      <c r="G6054" s="2"/>
      <c r="H6054" s="2"/>
      <c r="I6054" s="2"/>
      <c r="J6054" s="2"/>
      <c r="K6054" s="2"/>
      <c r="L6054" s="2"/>
      <c r="M6054" s="2"/>
      <c r="N6054" s="2"/>
      <c r="O6054" s="2"/>
      <c r="P6054" s="2"/>
      <c r="Q6054" s="2"/>
      <c r="R6054" s="2"/>
      <c r="S6054" s="2"/>
      <c r="T6054" s="2"/>
      <c r="U6054" s="2"/>
      <c r="V6054" s="2"/>
      <c r="W6054" s="2"/>
    </row>
    <row r="6055" spans="1:23" x14ac:dyDescent="0.25">
      <c r="A6055" s="2"/>
      <c r="B6055" s="2"/>
      <c r="C6055" s="1"/>
      <c r="D6055" s="2"/>
      <c r="E6055" s="2"/>
      <c r="F6055" s="2"/>
      <c r="G6055" s="2"/>
      <c r="H6055" s="2"/>
      <c r="I6055" s="2"/>
      <c r="J6055" s="2"/>
      <c r="K6055" s="2"/>
      <c r="L6055" s="2"/>
      <c r="M6055" s="2"/>
      <c r="N6055" s="2"/>
      <c r="O6055" s="2"/>
      <c r="P6055" s="2"/>
      <c r="Q6055" s="2"/>
      <c r="R6055" s="2"/>
      <c r="S6055" s="2"/>
      <c r="T6055" s="2"/>
      <c r="U6055" s="2"/>
      <c r="V6055" s="2"/>
      <c r="W6055" s="2"/>
    </row>
    <row r="6056" spans="1:23" x14ac:dyDescent="0.25">
      <c r="A6056" s="2"/>
      <c r="B6056" s="2"/>
      <c r="C6056" s="1"/>
      <c r="D6056" s="2"/>
      <c r="E6056" s="2"/>
      <c r="F6056" s="2"/>
      <c r="G6056" s="2"/>
      <c r="H6056" s="2"/>
      <c r="I6056" s="2"/>
      <c r="J6056" s="2"/>
      <c r="K6056" s="2"/>
      <c r="L6056" s="2"/>
      <c r="M6056" s="2"/>
      <c r="N6056" s="2"/>
      <c r="O6056" s="2"/>
      <c r="P6056" s="2"/>
      <c r="Q6056" s="2"/>
      <c r="R6056" s="2"/>
      <c r="S6056" s="2"/>
      <c r="T6056" s="2"/>
      <c r="U6056" s="2"/>
      <c r="V6056" s="2"/>
      <c r="W6056" s="2"/>
    </row>
    <row r="6057" spans="1:23" x14ac:dyDescent="0.25">
      <c r="A6057" s="2"/>
      <c r="B6057" s="2"/>
      <c r="C6057" s="1"/>
      <c r="D6057" s="2"/>
      <c r="E6057" s="2"/>
      <c r="F6057" s="2"/>
      <c r="G6057" s="2"/>
      <c r="H6057" s="2"/>
      <c r="I6057" s="2"/>
      <c r="J6057" s="2"/>
      <c r="K6057" s="2"/>
      <c r="L6057" s="2"/>
      <c r="M6057" s="2"/>
      <c r="N6057" s="2"/>
      <c r="O6057" s="2"/>
      <c r="P6057" s="2"/>
      <c r="Q6057" s="2"/>
      <c r="R6057" s="2"/>
      <c r="S6057" s="2"/>
      <c r="T6057" s="2"/>
      <c r="U6057" s="2"/>
      <c r="V6057" s="2"/>
      <c r="W6057" s="2"/>
    </row>
    <row r="6058" spans="1:23" x14ac:dyDescent="0.25">
      <c r="A6058" s="2"/>
      <c r="B6058" s="2"/>
      <c r="C6058" s="1"/>
      <c r="D6058" s="2"/>
      <c r="E6058" s="2"/>
      <c r="F6058" s="2"/>
      <c r="G6058" s="2"/>
      <c r="H6058" s="2"/>
      <c r="I6058" s="2"/>
      <c r="J6058" s="2"/>
      <c r="K6058" s="2"/>
      <c r="L6058" s="2"/>
      <c r="M6058" s="2"/>
      <c r="N6058" s="2"/>
      <c r="O6058" s="2"/>
      <c r="P6058" s="2"/>
      <c r="Q6058" s="2"/>
      <c r="R6058" s="2"/>
      <c r="S6058" s="2"/>
      <c r="T6058" s="2"/>
      <c r="U6058" s="2"/>
      <c r="V6058" s="2"/>
      <c r="W6058" s="2"/>
    </row>
    <row r="6059" spans="1:23" x14ac:dyDescent="0.25">
      <c r="A6059" s="2"/>
      <c r="B6059" s="2"/>
      <c r="C6059" s="1"/>
      <c r="D6059" s="2"/>
      <c r="E6059" s="2"/>
      <c r="F6059" s="2"/>
      <c r="G6059" s="2"/>
      <c r="H6059" s="2"/>
      <c r="I6059" s="2"/>
      <c r="J6059" s="2"/>
      <c r="K6059" s="2"/>
      <c r="L6059" s="2"/>
      <c r="M6059" s="2"/>
      <c r="N6059" s="2"/>
      <c r="O6059" s="2"/>
      <c r="P6059" s="2"/>
      <c r="Q6059" s="2"/>
      <c r="R6059" s="2"/>
      <c r="S6059" s="2"/>
      <c r="T6059" s="2"/>
      <c r="U6059" s="2"/>
      <c r="V6059" s="2"/>
      <c r="W6059" s="2"/>
    </row>
    <row r="6060" spans="1:23" x14ac:dyDescent="0.25">
      <c r="A6060" s="2"/>
      <c r="B6060" s="2"/>
      <c r="C6060" s="1"/>
      <c r="D6060" s="2"/>
      <c r="E6060" s="2"/>
      <c r="F6060" s="2"/>
      <c r="G6060" s="2"/>
      <c r="H6060" s="2"/>
      <c r="I6060" s="2"/>
      <c r="J6060" s="2"/>
      <c r="K6060" s="2"/>
      <c r="L6060" s="2"/>
      <c r="M6060" s="2"/>
      <c r="N6060" s="2"/>
      <c r="O6060" s="2"/>
      <c r="P6060" s="2"/>
      <c r="Q6060" s="2"/>
      <c r="R6060" s="2"/>
      <c r="S6060" s="2"/>
      <c r="T6060" s="2"/>
      <c r="U6060" s="2"/>
      <c r="V6060" s="2"/>
      <c r="W6060" s="2"/>
    </row>
    <row r="6061" spans="1:23" x14ac:dyDescent="0.25">
      <c r="A6061" s="2"/>
      <c r="B6061" s="2"/>
      <c r="C6061" s="1"/>
      <c r="D6061" s="2"/>
      <c r="E6061" s="2"/>
      <c r="F6061" s="2"/>
      <c r="G6061" s="2"/>
      <c r="H6061" s="2"/>
      <c r="I6061" s="2"/>
      <c r="J6061" s="2"/>
      <c r="K6061" s="2"/>
      <c r="L6061" s="2"/>
      <c r="M6061" s="2"/>
      <c r="N6061" s="2"/>
      <c r="O6061" s="2"/>
      <c r="P6061" s="2"/>
      <c r="Q6061" s="2"/>
      <c r="R6061" s="2"/>
      <c r="S6061" s="2"/>
      <c r="T6061" s="2"/>
      <c r="U6061" s="2"/>
      <c r="V6061" s="2"/>
      <c r="W6061" s="2"/>
    </row>
    <row r="6062" spans="1:23" x14ac:dyDescent="0.25">
      <c r="A6062" s="2"/>
      <c r="B6062" s="2"/>
      <c r="C6062" s="1"/>
      <c r="D6062" s="2"/>
      <c r="E6062" s="2"/>
      <c r="F6062" s="2"/>
      <c r="G6062" s="2"/>
      <c r="H6062" s="2"/>
      <c r="I6062" s="2"/>
      <c r="J6062" s="2"/>
      <c r="K6062" s="2"/>
      <c r="L6062" s="2"/>
      <c r="M6062" s="2"/>
      <c r="N6062" s="2"/>
      <c r="O6062" s="2"/>
      <c r="P6062" s="2"/>
      <c r="Q6062" s="2"/>
      <c r="R6062" s="2"/>
      <c r="S6062" s="2"/>
      <c r="T6062" s="2"/>
      <c r="U6062" s="2"/>
      <c r="V6062" s="2"/>
      <c r="W6062" s="2"/>
    </row>
    <row r="6063" spans="1:23" x14ac:dyDescent="0.25">
      <c r="A6063" s="2"/>
      <c r="B6063" s="2"/>
      <c r="C6063" s="1"/>
      <c r="D6063" s="2"/>
      <c r="E6063" s="2"/>
      <c r="F6063" s="2"/>
      <c r="G6063" s="2"/>
      <c r="H6063" s="2"/>
      <c r="I6063" s="2"/>
      <c r="J6063" s="2"/>
      <c r="K6063" s="2"/>
      <c r="L6063" s="2"/>
      <c r="M6063" s="2"/>
      <c r="N6063" s="2"/>
      <c r="O6063" s="2"/>
      <c r="P6063" s="2"/>
      <c r="Q6063" s="2"/>
      <c r="R6063" s="2"/>
      <c r="S6063" s="2"/>
      <c r="T6063" s="2"/>
      <c r="U6063" s="2"/>
      <c r="V6063" s="2"/>
      <c r="W6063" s="2"/>
    </row>
    <row r="6064" spans="1:23" x14ac:dyDescent="0.25">
      <c r="A6064" s="2"/>
      <c r="B6064" s="2"/>
      <c r="C6064" s="1"/>
      <c r="D6064" s="2"/>
      <c r="E6064" s="2"/>
      <c r="F6064" s="2"/>
      <c r="G6064" s="2"/>
      <c r="H6064" s="2"/>
      <c r="I6064" s="2"/>
      <c r="J6064" s="2"/>
      <c r="K6064" s="2"/>
      <c r="L6064" s="2"/>
      <c r="M6064" s="2"/>
      <c r="N6064" s="2"/>
      <c r="O6064" s="2"/>
      <c r="P6064" s="2"/>
      <c r="Q6064" s="2"/>
      <c r="R6064" s="2"/>
      <c r="S6064" s="2"/>
      <c r="T6064" s="2"/>
      <c r="U6064" s="2"/>
      <c r="V6064" s="2"/>
      <c r="W6064" s="2"/>
    </row>
    <row r="6065" spans="1:23" x14ac:dyDescent="0.25">
      <c r="A6065" s="2"/>
      <c r="B6065" s="2"/>
      <c r="C6065" s="1"/>
      <c r="D6065" s="2"/>
      <c r="E6065" s="2"/>
      <c r="F6065" s="2"/>
      <c r="G6065" s="2"/>
      <c r="H6065" s="2"/>
      <c r="I6065" s="2"/>
      <c r="J6065" s="2"/>
      <c r="K6065" s="2"/>
      <c r="L6065" s="2"/>
      <c r="M6065" s="2"/>
      <c r="N6065" s="2"/>
      <c r="O6065" s="2"/>
      <c r="P6065" s="2"/>
      <c r="Q6065" s="2"/>
      <c r="R6065" s="2"/>
      <c r="S6065" s="2"/>
      <c r="T6065" s="2"/>
      <c r="U6065" s="2"/>
      <c r="V6065" s="2"/>
      <c r="W6065" s="2"/>
    </row>
    <row r="6066" spans="1:23" x14ac:dyDescent="0.25">
      <c r="A6066" s="2"/>
      <c r="B6066" s="2"/>
      <c r="C6066" s="1"/>
      <c r="D6066" s="2"/>
      <c r="E6066" s="2"/>
      <c r="F6066" s="2"/>
      <c r="G6066" s="2"/>
      <c r="H6066" s="2"/>
      <c r="I6066" s="2"/>
      <c r="J6066" s="2"/>
      <c r="K6066" s="2"/>
      <c r="L6066" s="2"/>
      <c r="M6066" s="2"/>
      <c r="N6066" s="2"/>
      <c r="O6066" s="2"/>
      <c r="P6066" s="2"/>
      <c r="Q6066" s="2"/>
      <c r="R6066" s="2"/>
      <c r="S6066" s="2"/>
      <c r="T6066" s="2"/>
      <c r="U6066" s="2"/>
      <c r="V6066" s="2"/>
      <c r="W6066" s="2"/>
    </row>
    <row r="6067" spans="1:23" x14ac:dyDescent="0.25">
      <c r="A6067" s="2"/>
      <c r="B6067" s="2"/>
      <c r="C6067" s="1"/>
      <c r="D6067" s="2"/>
      <c r="E6067" s="2"/>
      <c r="F6067" s="2"/>
      <c r="G6067" s="2"/>
      <c r="H6067" s="2"/>
      <c r="I6067" s="2"/>
      <c r="J6067" s="2"/>
      <c r="K6067" s="2"/>
      <c r="L6067" s="2"/>
      <c r="M6067" s="2"/>
      <c r="N6067" s="2"/>
      <c r="O6067" s="2"/>
      <c r="P6067" s="2"/>
      <c r="Q6067" s="2"/>
      <c r="R6067" s="2"/>
      <c r="S6067" s="2"/>
      <c r="T6067" s="2"/>
      <c r="U6067" s="2"/>
      <c r="V6067" s="2"/>
      <c r="W6067" s="2"/>
    </row>
    <row r="6068" spans="1:23" x14ac:dyDescent="0.25">
      <c r="A6068" s="2"/>
      <c r="B6068" s="2"/>
      <c r="C6068" s="1"/>
      <c r="D6068" s="2"/>
      <c r="E6068" s="2"/>
      <c r="F6068" s="2"/>
      <c r="G6068" s="2"/>
      <c r="H6068" s="2"/>
      <c r="I6068" s="2"/>
      <c r="J6068" s="2"/>
      <c r="K6068" s="2"/>
      <c r="L6068" s="2"/>
      <c r="M6068" s="2"/>
      <c r="N6068" s="2"/>
      <c r="O6068" s="2"/>
      <c r="P6068" s="2"/>
      <c r="Q6068" s="2"/>
      <c r="R6068" s="2"/>
      <c r="S6068" s="2"/>
      <c r="T6068" s="2"/>
      <c r="U6068" s="2"/>
      <c r="V6068" s="2"/>
      <c r="W6068" s="2"/>
    </row>
    <row r="6069" spans="1:23" x14ac:dyDescent="0.25">
      <c r="A6069" s="2"/>
      <c r="B6069" s="2"/>
      <c r="C6069" s="1"/>
      <c r="D6069" s="2"/>
      <c r="E6069" s="2"/>
      <c r="F6069" s="2"/>
      <c r="G6069" s="2"/>
      <c r="H6069" s="2"/>
      <c r="I6069" s="2"/>
      <c r="J6069" s="2"/>
      <c r="K6069" s="2"/>
      <c r="L6069" s="2"/>
      <c r="M6069" s="2"/>
      <c r="N6069" s="2"/>
      <c r="O6069" s="2"/>
      <c r="P6069" s="2"/>
      <c r="Q6069" s="2"/>
      <c r="R6069" s="2"/>
      <c r="S6069" s="2"/>
      <c r="T6069" s="2"/>
      <c r="U6069" s="2"/>
      <c r="V6069" s="2"/>
      <c r="W6069" s="2"/>
    </row>
    <row r="6070" spans="1:23" x14ac:dyDescent="0.25">
      <c r="A6070" s="2"/>
      <c r="B6070" s="2"/>
      <c r="C6070" s="1"/>
      <c r="D6070" s="2"/>
      <c r="E6070" s="2"/>
      <c r="F6070" s="2"/>
      <c r="G6070" s="2"/>
      <c r="H6070" s="2"/>
      <c r="I6070" s="2"/>
      <c r="J6070" s="2"/>
      <c r="K6070" s="2"/>
      <c r="L6070" s="2"/>
      <c r="M6070" s="2"/>
      <c r="N6070" s="2"/>
      <c r="O6070" s="2"/>
      <c r="P6070" s="2"/>
      <c r="Q6070" s="2"/>
      <c r="R6070" s="2"/>
      <c r="S6070" s="2"/>
      <c r="T6070" s="2"/>
      <c r="U6070" s="2"/>
      <c r="V6070" s="2"/>
      <c r="W6070" s="2"/>
    </row>
    <row r="6071" spans="1:23" x14ac:dyDescent="0.25">
      <c r="A6071" s="2"/>
      <c r="B6071" s="2"/>
      <c r="C6071" s="1"/>
      <c r="D6071" s="2"/>
      <c r="E6071" s="2"/>
      <c r="F6071" s="2"/>
      <c r="G6071" s="2"/>
      <c r="H6071" s="2"/>
      <c r="I6071" s="2"/>
      <c r="J6071" s="2"/>
      <c r="K6071" s="2"/>
      <c r="L6071" s="2"/>
      <c r="M6071" s="2"/>
      <c r="N6071" s="2"/>
      <c r="O6071" s="2"/>
      <c r="P6071" s="2"/>
      <c r="Q6071" s="2"/>
      <c r="R6071" s="2"/>
      <c r="S6071" s="2"/>
      <c r="T6071" s="2"/>
      <c r="U6071" s="2"/>
      <c r="V6071" s="2"/>
      <c r="W6071" s="2"/>
    </row>
    <row r="6072" spans="1:23" x14ac:dyDescent="0.25">
      <c r="A6072" s="2"/>
      <c r="B6072" s="2"/>
      <c r="C6072" s="1"/>
      <c r="D6072" s="2"/>
      <c r="E6072" s="2"/>
      <c r="F6072" s="2"/>
      <c r="G6072" s="2"/>
      <c r="H6072" s="2"/>
      <c r="I6072" s="2"/>
      <c r="J6072" s="2"/>
      <c r="K6072" s="2"/>
      <c r="L6072" s="2"/>
      <c r="M6072" s="2"/>
      <c r="N6072" s="2"/>
      <c r="O6072" s="2"/>
      <c r="P6072" s="2"/>
      <c r="Q6072" s="2"/>
      <c r="R6072" s="2"/>
      <c r="S6072" s="2"/>
      <c r="T6072" s="2"/>
      <c r="U6072" s="2"/>
      <c r="V6072" s="2"/>
      <c r="W6072" s="2"/>
    </row>
    <row r="6073" spans="1:23" x14ac:dyDescent="0.25">
      <c r="A6073" s="2"/>
      <c r="B6073" s="2"/>
      <c r="C6073" s="1"/>
      <c r="D6073" s="2"/>
      <c r="E6073" s="2"/>
      <c r="F6073" s="2"/>
      <c r="G6073" s="2"/>
      <c r="H6073" s="2"/>
      <c r="I6073" s="2"/>
      <c r="J6073" s="2"/>
      <c r="K6073" s="2"/>
      <c r="L6073" s="2"/>
      <c r="M6073" s="2"/>
      <c r="N6073" s="2"/>
      <c r="O6073" s="2"/>
      <c r="P6073" s="2"/>
      <c r="Q6073" s="2"/>
      <c r="R6073" s="2"/>
      <c r="S6073" s="2"/>
      <c r="T6073" s="2"/>
      <c r="U6073" s="2"/>
      <c r="V6073" s="2"/>
      <c r="W6073" s="2"/>
    </row>
    <row r="6074" spans="1:23" x14ac:dyDescent="0.25">
      <c r="A6074" s="2"/>
      <c r="B6074" s="2"/>
      <c r="C6074" s="1"/>
      <c r="D6074" s="2"/>
      <c r="E6074" s="2"/>
      <c r="F6074" s="2"/>
      <c r="G6074" s="2"/>
      <c r="H6074" s="2"/>
      <c r="I6074" s="2"/>
      <c r="J6074" s="2"/>
      <c r="K6074" s="2"/>
      <c r="L6074" s="2"/>
      <c r="M6074" s="2"/>
      <c r="N6074" s="2"/>
      <c r="O6074" s="2"/>
      <c r="P6074" s="2"/>
      <c r="Q6074" s="2"/>
      <c r="R6074" s="2"/>
      <c r="S6074" s="2"/>
      <c r="T6074" s="2"/>
      <c r="U6074" s="2"/>
      <c r="V6074" s="2"/>
      <c r="W6074" s="2"/>
    </row>
    <row r="6075" spans="1:23" x14ac:dyDescent="0.25">
      <c r="A6075" s="2"/>
      <c r="B6075" s="2"/>
      <c r="C6075" s="1"/>
      <c r="D6075" s="2"/>
      <c r="E6075" s="2"/>
      <c r="F6075" s="2"/>
      <c r="G6075" s="2"/>
      <c r="H6075" s="2"/>
      <c r="I6075" s="2"/>
      <c r="J6075" s="2"/>
      <c r="K6075" s="2"/>
      <c r="L6075" s="2"/>
      <c r="M6075" s="2"/>
      <c r="N6075" s="2"/>
      <c r="O6075" s="2"/>
      <c r="P6075" s="2"/>
      <c r="Q6075" s="2"/>
      <c r="R6075" s="2"/>
      <c r="S6075" s="2"/>
      <c r="T6075" s="2"/>
      <c r="U6075" s="2"/>
      <c r="V6075" s="2"/>
      <c r="W6075" s="2"/>
    </row>
    <row r="6076" spans="1:23" x14ac:dyDescent="0.25">
      <c r="A6076" s="2"/>
      <c r="B6076" s="2"/>
      <c r="C6076" s="1"/>
      <c r="D6076" s="2"/>
      <c r="E6076" s="2"/>
      <c r="F6076" s="2"/>
      <c r="G6076" s="2"/>
      <c r="H6076" s="2"/>
      <c r="I6076" s="2"/>
      <c r="J6076" s="2"/>
      <c r="K6076" s="2"/>
      <c r="L6076" s="2"/>
      <c r="M6076" s="2"/>
      <c r="N6076" s="2"/>
      <c r="O6076" s="2"/>
      <c r="P6076" s="2"/>
      <c r="Q6076" s="2"/>
      <c r="R6076" s="2"/>
      <c r="S6076" s="2"/>
      <c r="T6076" s="2"/>
      <c r="U6076" s="2"/>
      <c r="V6076" s="2"/>
      <c r="W6076" s="2"/>
    </row>
    <row r="6077" spans="1:23" x14ac:dyDescent="0.25">
      <c r="A6077" s="2"/>
      <c r="B6077" s="2"/>
      <c r="C6077" s="1"/>
      <c r="D6077" s="2"/>
      <c r="E6077" s="2"/>
      <c r="F6077" s="2"/>
      <c r="G6077" s="2"/>
      <c r="H6077" s="2"/>
      <c r="I6077" s="2"/>
      <c r="J6077" s="2"/>
      <c r="K6077" s="2"/>
      <c r="L6077" s="2"/>
      <c r="M6077" s="2"/>
      <c r="N6077" s="2"/>
      <c r="O6077" s="2"/>
      <c r="P6077" s="2"/>
      <c r="Q6077" s="2"/>
      <c r="R6077" s="2"/>
      <c r="S6077" s="2"/>
      <c r="T6077" s="2"/>
      <c r="U6077" s="2"/>
      <c r="V6077" s="2"/>
      <c r="W6077" s="2"/>
    </row>
    <row r="6078" spans="1:23" x14ac:dyDescent="0.25">
      <c r="A6078" s="2"/>
      <c r="B6078" s="2"/>
      <c r="C6078" s="1"/>
      <c r="D6078" s="2"/>
      <c r="E6078" s="2"/>
      <c r="F6078" s="2"/>
      <c r="G6078" s="2"/>
      <c r="H6078" s="2"/>
      <c r="I6078" s="2"/>
      <c r="J6078" s="2"/>
      <c r="K6078" s="2"/>
      <c r="L6078" s="2"/>
      <c r="M6078" s="2"/>
      <c r="N6078" s="2"/>
      <c r="O6078" s="2"/>
      <c r="P6078" s="2"/>
      <c r="Q6078" s="2"/>
      <c r="R6078" s="2"/>
      <c r="S6078" s="2"/>
      <c r="T6078" s="2"/>
      <c r="U6078" s="2"/>
      <c r="V6078" s="2"/>
      <c r="W6078" s="2"/>
    </row>
    <row r="6079" spans="1:23" x14ac:dyDescent="0.25">
      <c r="A6079" s="2"/>
      <c r="B6079" s="2"/>
      <c r="C6079" s="1"/>
      <c r="D6079" s="2"/>
      <c r="E6079" s="2"/>
      <c r="F6079" s="2"/>
      <c r="G6079" s="2"/>
      <c r="H6079" s="2"/>
      <c r="I6079" s="2"/>
      <c r="J6079" s="2"/>
      <c r="K6079" s="2"/>
      <c r="L6079" s="2"/>
      <c r="M6079" s="2"/>
      <c r="N6079" s="2"/>
      <c r="O6079" s="2"/>
      <c r="P6079" s="2"/>
      <c r="Q6079" s="2"/>
      <c r="R6079" s="2"/>
      <c r="S6079" s="2"/>
      <c r="T6079" s="2"/>
      <c r="U6079" s="2"/>
      <c r="V6079" s="2"/>
      <c r="W6079" s="2"/>
    </row>
    <row r="6080" spans="1:23" x14ac:dyDescent="0.25">
      <c r="A6080" s="2"/>
      <c r="B6080" s="2"/>
      <c r="C6080" s="1"/>
      <c r="D6080" s="2"/>
      <c r="E6080" s="2"/>
      <c r="F6080" s="2"/>
      <c r="G6080" s="2"/>
      <c r="H6080" s="2"/>
      <c r="I6080" s="2"/>
      <c r="J6080" s="2"/>
      <c r="K6080" s="2"/>
      <c r="L6080" s="2"/>
      <c r="M6080" s="2"/>
      <c r="N6080" s="2"/>
      <c r="O6080" s="2"/>
      <c r="P6080" s="2"/>
      <c r="Q6080" s="2"/>
      <c r="R6080" s="2"/>
      <c r="S6080" s="2"/>
      <c r="T6080" s="2"/>
      <c r="U6080" s="2"/>
      <c r="V6080" s="2"/>
      <c r="W6080" s="2"/>
    </row>
    <row r="6081" spans="1:23" x14ac:dyDescent="0.25">
      <c r="A6081" s="2"/>
      <c r="B6081" s="2"/>
      <c r="C6081" s="1"/>
      <c r="D6081" s="2"/>
      <c r="E6081" s="2"/>
      <c r="F6081" s="2"/>
      <c r="G6081" s="2"/>
      <c r="H6081" s="2"/>
      <c r="I6081" s="2"/>
      <c r="J6081" s="2"/>
      <c r="K6081" s="2"/>
      <c r="L6081" s="2"/>
      <c r="M6081" s="2"/>
      <c r="N6081" s="2"/>
      <c r="O6081" s="2"/>
      <c r="P6081" s="2"/>
      <c r="Q6081" s="2"/>
      <c r="R6081" s="2"/>
      <c r="S6081" s="2"/>
      <c r="T6081" s="2"/>
      <c r="U6081" s="2"/>
      <c r="V6081" s="2"/>
      <c r="W6081" s="2"/>
    </row>
    <row r="6082" spans="1:23" x14ac:dyDescent="0.25">
      <c r="A6082" s="2"/>
      <c r="B6082" s="2"/>
      <c r="C6082" s="1"/>
      <c r="D6082" s="2"/>
      <c r="E6082" s="2"/>
      <c r="F6082" s="2"/>
      <c r="G6082" s="2"/>
      <c r="H6082" s="2"/>
      <c r="I6082" s="2"/>
      <c r="J6082" s="2"/>
      <c r="K6082" s="2"/>
      <c r="L6082" s="2"/>
      <c r="M6082" s="2"/>
      <c r="N6082" s="2"/>
      <c r="O6082" s="2"/>
      <c r="P6082" s="2"/>
      <c r="Q6082" s="2"/>
      <c r="R6082" s="2"/>
      <c r="S6082" s="2"/>
      <c r="T6082" s="2"/>
      <c r="U6082" s="2"/>
      <c r="V6082" s="2"/>
      <c r="W6082" s="2"/>
    </row>
    <row r="6083" spans="1:23" x14ac:dyDescent="0.25">
      <c r="A6083" s="2"/>
      <c r="B6083" s="2"/>
      <c r="C6083" s="1"/>
      <c r="D6083" s="2"/>
      <c r="E6083" s="2"/>
      <c r="F6083" s="2"/>
      <c r="G6083" s="2"/>
      <c r="H6083" s="2"/>
      <c r="I6083" s="2"/>
      <c r="J6083" s="2"/>
      <c r="K6083" s="2"/>
      <c r="L6083" s="2"/>
      <c r="M6083" s="2"/>
      <c r="N6083" s="2"/>
      <c r="O6083" s="2"/>
      <c r="P6083" s="2"/>
      <c r="Q6083" s="2"/>
      <c r="R6083" s="2"/>
      <c r="S6083" s="2"/>
      <c r="T6083" s="2"/>
      <c r="U6083" s="2"/>
      <c r="V6083" s="2"/>
      <c r="W6083" s="2"/>
    </row>
    <row r="6084" spans="1:23" x14ac:dyDescent="0.25">
      <c r="A6084" s="2"/>
      <c r="B6084" s="2"/>
      <c r="C6084" s="1"/>
      <c r="D6084" s="2"/>
      <c r="E6084" s="2"/>
      <c r="F6084" s="2"/>
      <c r="G6084" s="2"/>
      <c r="H6084" s="2"/>
      <c r="I6084" s="2"/>
      <c r="J6084" s="2"/>
      <c r="K6084" s="2"/>
      <c r="L6084" s="2"/>
      <c r="M6084" s="2"/>
      <c r="N6084" s="2"/>
      <c r="O6084" s="2"/>
      <c r="P6084" s="2"/>
      <c r="Q6084" s="2"/>
      <c r="R6084" s="2"/>
      <c r="S6084" s="2"/>
      <c r="T6084" s="2"/>
      <c r="U6084" s="2"/>
      <c r="V6084" s="2"/>
      <c r="W6084" s="2"/>
    </row>
    <row r="6085" spans="1:23" x14ac:dyDescent="0.25">
      <c r="A6085" s="2"/>
      <c r="B6085" s="2"/>
      <c r="C6085" s="1"/>
      <c r="D6085" s="2"/>
      <c r="E6085" s="2"/>
      <c r="F6085" s="2"/>
      <c r="G6085" s="2"/>
      <c r="H6085" s="2"/>
      <c r="I6085" s="2"/>
      <c r="J6085" s="2"/>
      <c r="K6085" s="2"/>
      <c r="L6085" s="2"/>
      <c r="M6085" s="2"/>
      <c r="N6085" s="2"/>
      <c r="O6085" s="2"/>
      <c r="P6085" s="2"/>
      <c r="Q6085" s="2"/>
      <c r="R6085" s="2"/>
      <c r="S6085" s="2"/>
      <c r="T6085" s="2"/>
      <c r="U6085" s="2"/>
      <c r="V6085" s="2"/>
      <c r="W6085" s="2"/>
    </row>
    <row r="6086" spans="1:23" x14ac:dyDescent="0.25">
      <c r="A6086" s="2"/>
      <c r="B6086" s="2"/>
      <c r="C6086" s="1"/>
      <c r="D6086" s="2"/>
      <c r="E6086" s="2"/>
      <c r="F6086" s="2"/>
      <c r="G6086" s="2"/>
      <c r="H6086" s="2"/>
      <c r="I6086" s="2"/>
      <c r="J6086" s="2"/>
      <c r="K6086" s="2"/>
      <c r="L6086" s="2"/>
      <c r="M6086" s="2"/>
      <c r="N6086" s="2"/>
      <c r="O6086" s="2"/>
      <c r="P6086" s="2"/>
      <c r="Q6086" s="2"/>
      <c r="R6086" s="2"/>
      <c r="S6086" s="2"/>
      <c r="T6086" s="2"/>
      <c r="U6086" s="2"/>
      <c r="V6086" s="2"/>
      <c r="W6086" s="2"/>
    </row>
    <row r="6087" spans="1:23" x14ac:dyDescent="0.25">
      <c r="A6087" s="2"/>
      <c r="B6087" s="2"/>
      <c r="C6087" s="1"/>
      <c r="D6087" s="2"/>
      <c r="E6087" s="2"/>
      <c r="F6087" s="2"/>
      <c r="G6087" s="2"/>
      <c r="H6087" s="2"/>
      <c r="I6087" s="2"/>
      <c r="J6087" s="2"/>
      <c r="K6087" s="2"/>
      <c r="L6087" s="2"/>
      <c r="M6087" s="2"/>
      <c r="N6087" s="2"/>
      <c r="O6087" s="2"/>
      <c r="P6087" s="2"/>
      <c r="Q6087" s="2"/>
      <c r="R6087" s="2"/>
      <c r="S6087" s="2"/>
      <c r="T6087" s="2"/>
      <c r="U6087" s="2"/>
      <c r="V6087" s="2"/>
      <c r="W6087" s="2"/>
    </row>
    <row r="6088" spans="1:23" x14ac:dyDescent="0.25">
      <c r="A6088" s="2"/>
      <c r="B6088" s="2"/>
      <c r="C6088" s="1"/>
      <c r="D6088" s="2"/>
      <c r="E6088" s="2"/>
      <c r="F6088" s="2"/>
      <c r="G6088" s="2"/>
      <c r="H6088" s="2"/>
      <c r="I6088" s="2"/>
      <c r="J6088" s="2"/>
      <c r="K6088" s="2"/>
      <c r="L6088" s="2"/>
      <c r="M6088" s="2"/>
      <c r="N6088" s="2"/>
      <c r="O6088" s="2"/>
      <c r="P6088" s="2"/>
      <c r="Q6088" s="2"/>
      <c r="R6088" s="2"/>
      <c r="S6088" s="2"/>
      <c r="T6088" s="2"/>
      <c r="U6088" s="2"/>
      <c r="V6088" s="2"/>
      <c r="W6088" s="2"/>
    </row>
    <row r="6089" spans="1:23" x14ac:dyDescent="0.25">
      <c r="A6089" s="2"/>
      <c r="B6089" s="2"/>
      <c r="C6089" s="1"/>
      <c r="D6089" s="2"/>
      <c r="E6089" s="2"/>
      <c r="F6089" s="2"/>
      <c r="G6089" s="2"/>
      <c r="H6089" s="2"/>
      <c r="I6089" s="2"/>
      <c r="J6089" s="2"/>
      <c r="K6089" s="2"/>
      <c r="L6089" s="2"/>
      <c r="M6089" s="2"/>
      <c r="N6089" s="2"/>
      <c r="O6089" s="2"/>
      <c r="P6089" s="2"/>
      <c r="Q6089" s="2"/>
      <c r="R6089" s="2"/>
      <c r="S6089" s="2"/>
      <c r="T6089" s="2"/>
      <c r="U6089" s="2"/>
      <c r="V6089" s="2"/>
      <c r="W6089" s="2"/>
    </row>
    <row r="6090" spans="1:23" x14ac:dyDescent="0.25">
      <c r="A6090" s="2"/>
      <c r="B6090" s="2"/>
      <c r="C6090" s="1"/>
      <c r="D6090" s="2"/>
      <c r="E6090" s="2"/>
      <c r="F6090" s="2"/>
      <c r="G6090" s="2"/>
      <c r="H6090" s="2"/>
      <c r="I6090" s="2"/>
      <c r="J6090" s="2"/>
      <c r="K6090" s="2"/>
      <c r="L6090" s="2"/>
      <c r="M6090" s="2"/>
      <c r="N6090" s="2"/>
      <c r="O6090" s="2"/>
      <c r="P6090" s="2"/>
      <c r="Q6090" s="2"/>
      <c r="R6090" s="2"/>
      <c r="S6090" s="2"/>
      <c r="T6090" s="2"/>
      <c r="U6090" s="2"/>
      <c r="V6090" s="2"/>
      <c r="W6090" s="2"/>
    </row>
    <row r="6091" spans="1:23" x14ac:dyDescent="0.25">
      <c r="A6091" s="2"/>
      <c r="B6091" s="2"/>
      <c r="C6091" s="1"/>
      <c r="D6091" s="2"/>
      <c r="E6091" s="2"/>
      <c r="F6091" s="2"/>
      <c r="G6091" s="2"/>
      <c r="H6091" s="2"/>
      <c r="I6091" s="2"/>
      <c r="J6091" s="2"/>
      <c r="K6091" s="2"/>
      <c r="L6091" s="2"/>
      <c r="M6091" s="2"/>
      <c r="N6091" s="2"/>
      <c r="O6091" s="2"/>
      <c r="P6091" s="2"/>
      <c r="Q6091" s="2"/>
      <c r="R6091" s="2"/>
      <c r="S6091" s="2"/>
      <c r="T6091" s="2"/>
      <c r="U6091" s="2"/>
      <c r="V6091" s="2"/>
      <c r="W6091" s="2"/>
    </row>
    <row r="6092" spans="1:23" x14ac:dyDescent="0.25">
      <c r="A6092" s="2"/>
      <c r="B6092" s="2"/>
      <c r="C6092" s="1"/>
      <c r="D6092" s="2"/>
      <c r="E6092" s="2"/>
      <c r="F6092" s="2"/>
      <c r="G6092" s="2"/>
      <c r="H6092" s="2"/>
      <c r="I6092" s="2"/>
      <c r="J6092" s="2"/>
      <c r="K6092" s="2"/>
      <c r="L6092" s="2"/>
      <c r="M6092" s="2"/>
      <c r="N6092" s="2"/>
      <c r="O6092" s="2"/>
      <c r="P6092" s="2"/>
      <c r="Q6092" s="2"/>
      <c r="R6092" s="2"/>
      <c r="S6092" s="2"/>
      <c r="T6092" s="2"/>
      <c r="U6092" s="2"/>
      <c r="V6092" s="2"/>
      <c r="W6092" s="2"/>
    </row>
    <row r="6093" spans="1:23" x14ac:dyDescent="0.25">
      <c r="A6093" s="2"/>
      <c r="B6093" s="2"/>
      <c r="C6093" s="1"/>
      <c r="D6093" s="2"/>
      <c r="E6093" s="2"/>
      <c r="F6093" s="2"/>
      <c r="G6093" s="2"/>
      <c r="H6093" s="2"/>
      <c r="I6093" s="2"/>
      <c r="J6093" s="2"/>
      <c r="K6093" s="2"/>
      <c r="L6093" s="2"/>
      <c r="M6093" s="2"/>
      <c r="N6093" s="2"/>
      <c r="O6093" s="2"/>
      <c r="P6093" s="2"/>
      <c r="Q6093" s="2"/>
      <c r="R6093" s="2"/>
      <c r="S6093" s="2"/>
      <c r="T6093" s="2"/>
      <c r="U6093" s="2"/>
      <c r="V6093" s="2"/>
      <c r="W6093" s="2"/>
    </row>
    <row r="6094" spans="1:23" x14ac:dyDescent="0.25">
      <c r="A6094" s="2"/>
      <c r="B6094" s="2"/>
      <c r="C6094" s="1"/>
      <c r="D6094" s="2"/>
      <c r="E6094" s="2"/>
      <c r="F6094" s="2"/>
      <c r="G6094" s="2"/>
      <c r="H6094" s="2"/>
      <c r="I6094" s="2"/>
      <c r="J6094" s="2"/>
      <c r="K6094" s="2"/>
      <c r="L6094" s="2"/>
      <c r="M6094" s="2"/>
      <c r="N6094" s="2"/>
      <c r="O6094" s="2"/>
      <c r="P6094" s="2"/>
      <c r="Q6094" s="2"/>
      <c r="R6094" s="2"/>
      <c r="S6094" s="2"/>
      <c r="T6094" s="2"/>
      <c r="U6094" s="2"/>
      <c r="V6094" s="2"/>
      <c r="W6094" s="2"/>
    </row>
    <row r="6095" spans="1:23" x14ac:dyDescent="0.25">
      <c r="A6095" s="2"/>
      <c r="B6095" s="2"/>
      <c r="C6095" s="1"/>
      <c r="D6095" s="2"/>
      <c r="E6095" s="2"/>
      <c r="F6095" s="2"/>
      <c r="G6095" s="2"/>
      <c r="H6095" s="2"/>
      <c r="I6095" s="2"/>
      <c r="J6095" s="2"/>
      <c r="K6095" s="2"/>
      <c r="L6095" s="2"/>
      <c r="M6095" s="2"/>
      <c r="N6095" s="2"/>
      <c r="O6095" s="2"/>
      <c r="P6095" s="2"/>
      <c r="Q6095" s="2"/>
      <c r="R6095" s="2"/>
      <c r="S6095" s="2"/>
      <c r="T6095" s="2"/>
      <c r="U6095" s="2"/>
      <c r="V6095" s="2"/>
      <c r="W6095" s="2"/>
    </row>
    <row r="6096" spans="1:23" x14ac:dyDescent="0.25">
      <c r="A6096" s="2"/>
      <c r="B6096" s="2"/>
      <c r="C6096" s="1"/>
      <c r="D6096" s="2"/>
      <c r="E6096" s="2"/>
      <c r="F6096" s="2"/>
      <c r="G6096" s="2"/>
      <c r="H6096" s="2"/>
      <c r="I6096" s="2"/>
      <c r="J6096" s="2"/>
      <c r="K6096" s="2"/>
      <c r="L6096" s="2"/>
      <c r="M6096" s="2"/>
      <c r="N6096" s="2"/>
      <c r="O6096" s="2"/>
      <c r="P6096" s="2"/>
      <c r="Q6096" s="2"/>
      <c r="R6096" s="2"/>
      <c r="S6096" s="2"/>
      <c r="T6096" s="2"/>
      <c r="U6096" s="2"/>
      <c r="V6096" s="2"/>
      <c r="W6096" s="2"/>
    </row>
    <row r="6097" spans="1:23" x14ac:dyDescent="0.25">
      <c r="A6097" s="2"/>
      <c r="B6097" s="2"/>
      <c r="C6097" s="1"/>
      <c r="D6097" s="2"/>
      <c r="E6097" s="2"/>
      <c r="F6097" s="2"/>
      <c r="G6097" s="2"/>
      <c r="H6097" s="2"/>
      <c r="I6097" s="2"/>
      <c r="J6097" s="2"/>
      <c r="K6097" s="2"/>
      <c r="L6097" s="2"/>
      <c r="M6097" s="2"/>
      <c r="N6097" s="2"/>
      <c r="O6097" s="2"/>
      <c r="P6097" s="2"/>
      <c r="Q6097" s="2"/>
      <c r="R6097" s="2"/>
      <c r="S6097" s="2"/>
      <c r="T6097" s="2"/>
      <c r="U6097" s="2"/>
      <c r="V6097" s="2"/>
      <c r="W6097" s="2"/>
    </row>
    <row r="6098" spans="1:23" x14ac:dyDescent="0.25">
      <c r="A6098" s="2"/>
      <c r="B6098" s="2"/>
      <c r="C6098" s="1"/>
      <c r="D6098" s="2"/>
      <c r="E6098" s="2"/>
      <c r="F6098" s="2"/>
      <c r="G6098" s="2"/>
      <c r="H6098" s="2"/>
      <c r="I6098" s="2"/>
      <c r="J6098" s="2"/>
      <c r="K6098" s="2"/>
      <c r="L6098" s="2"/>
      <c r="M6098" s="2"/>
      <c r="N6098" s="2"/>
      <c r="O6098" s="2"/>
      <c r="P6098" s="2"/>
      <c r="Q6098" s="2"/>
      <c r="R6098" s="2"/>
      <c r="S6098" s="2"/>
      <c r="T6098" s="2"/>
      <c r="U6098" s="2"/>
      <c r="V6098" s="2"/>
      <c r="W6098" s="2"/>
    </row>
    <row r="6099" spans="1:23" x14ac:dyDescent="0.25">
      <c r="A6099" s="2"/>
      <c r="B6099" s="2"/>
      <c r="C6099" s="1"/>
      <c r="D6099" s="2"/>
      <c r="E6099" s="2"/>
      <c r="F6099" s="2"/>
      <c r="G6099" s="2"/>
      <c r="H6099" s="2"/>
      <c r="I6099" s="2"/>
      <c r="J6099" s="2"/>
      <c r="K6099" s="2"/>
      <c r="L6099" s="2"/>
      <c r="M6099" s="2"/>
      <c r="N6099" s="2"/>
      <c r="O6099" s="2"/>
      <c r="P6099" s="2"/>
      <c r="Q6099" s="2"/>
      <c r="R6099" s="2"/>
      <c r="S6099" s="2"/>
      <c r="T6099" s="2"/>
      <c r="U6099" s="2"/>
      <c r="V6099" s="2"/>
      <c r="W6099" s="2"/>
    </row>
    <row r="6100" spans="1:23" x14ac:dyDescent="0.25">
      <c r="A6100" s="2"/>
      <c r="B6100" s="2"/>
      <c r="C6100" s="1"/>
      <c r="D6100" s="2"/>
      <c r="E6100" s="2"/>
      <c r="F6100" s="2"/>
      <c r="G6100" s="2"/>
      <c r="H6100" s="2"/>
      <c r="I6100" s="2"/>
      <c r="J6100" s="2"/>
      <c r="K6100" s="2"/>
      <c r="L6100" s="2"/>
      <c r="M6100" s="2"/>
      <c r="N6100" s="2"/>
      <c r="O6100" s="2"/>
      <c r="P6100" s="2"/>
      <c r="Q6100" s="2"/>
      <c r="R6100" s="2"/>
      <c r="S6100" s="2"/>
      <c r="T6100" s="2"/>
      <c r="U6100" s="2"/>
      <c r="V6100" s="2"/>
      <c r="W6100" s="2"/>
    </row>
    <row r="6101" spans="1:23" x14ac:dyDescent="0.25">
      <c r="A6101" s="2"/>
      <c r="B6101" s="2"/>
      <c r="C6101" s="1"/>
      <c r="D6101" s="2"/>
      <c r="E6101" s="2"/>
      <c r="F6101" s="2"/>
      <c r="G6101" s="2"/>
      <c r="H6101" s="2"/>
      <c r="I6101" s="2"/>
      <c r="J6101" s="2"/>
      <c r="K6101" s="2"/>
      <c r="L6101" s="2"/>
      <c r="M6101" s="2"/>
      <c r="N6101" s="2"/>
      <c r="O6101" s="2"/>
      <c r="P6101" s="2"/>
      <c r="Q6101" s="2"/>
      <c r="R6101" s="2"/>
      <c r="S6101" s="2"/>
      <c r="T6101" s="2"/>
      <c r="U6101" s="2"/>
      <c r="V6101" s="2"/>
      <c r="W6101" s="2"/>
    </row>
    <row r="6102" spans="1:23" x14ac:dyDescent="0.25">
      <c r="A6102" s="2"/>
      <c r="B6102" s="2"/>
      <c r="C6102" s="1"/>
      <c r="D6102" s="2"/>
      <c r="E6102" s="2"/>
      <c r="F6102" s="2"/>
      <c r="G6102" s="2"/>
      <c r="H6102" s="2"/>
      <c r="I6102" s="2"/>
      <c r="J6102" s="2"/>
      <c r="K6102" s="2"/>
      <c r="L6102" s="2"/>
      <c r="M6102" s="2"/>
      <c r="N6102" s="2"/>
      <c r="O6102" s="2"/>
      <c r="P6102" s="2"/>
      <c r="Q6102" s="2"/>
      <c r="R6102" s="2"/>
      <c r="S6102" s="2"/>
      <c r="T6102" s="2"/>
      <c r="U6102" s="2"/>
      <c r="V6102" s="2"/>
      <c r="W6102" s="2"/>
    </row>
    <row r="6103" spans="1:23" x14ac:dyDescent="0.25">
      <c r="A6103" s="2"/>
      <c r="B6103" s="2"/>
      <c r="C6103" s="1"/>
      <c r="D6103" s="2"/>
      <c r="E6103" s="2"/>
      <c r="F6103" s="2"/>
      <c r="G6103" s="2"/>
      <c r="H6103" s="2"/>
      <c r="I6103" s="2"/>
      <c r="J6103" s="2"/>
      <c r="K6103" s="2"/>
      <c r="L6103" s="2"/>
      <c r="M6103" s="2"/>
      <c r="N6103" s="2"/>
      <c r="O6103" s="2"/>
      <c r="P6103" s="2"/>
      <c r="Q6103" s="2"/>
      <c r="R6103" s="2"/>
      <c r="S6103" s="2"/>
      <c r="T6103" s="2"/>
      <c r="U6103" s="2"/>
      <c r="V6103" s="2"/>
      <c r="W6103" s="2"/>
    </row>
    <row r="6104" spans="1:23" x14ac:dyDescent="0.25">
      <c r="A6104" s="2"/>
      <c r="B6104" s="2"/>
      <c r="C6104" s="1"/>
      <c r="D6104" s="2"/>
      <c r="E6104" s="2"/>
      <c r="F6104" s="2"/>
      <c r="G6104" s="2"/>
      <c r="H6104" s="2"/>
      <c r="I6104" s="2"/>
      <c r="J6104" s="2"/>
      <c r="K6104" s="2"/>
      <c r="L6104" s="2"/>
      <c r="M6104" s="2"/>
      <c r="N6104" s="2"/>
      <c r="O6104" s="2"/>
      <c r="P6104" s="2"/>
      <c r="Q6104" s="2"/>
      <c r="R6104" s="2"/>
      <c r="S6104" s="2"/>
      <c r="T6104" s="2"/>
      <c r="U6104" s="2"/>
      <c r="V6104" s="2"/>
      <c r="W6104" s="2"/>
    </row>
    <row r="6105" spans="1:23" x14ac:dyDescent="0.25">
      <c r="A6105" s="2"/>
      <c r="B6105" s="2"/>
      <c r="C6105" s="1"/>
      <c r="D6105" s="2"/>
      <c r="E6105" s="2"/>
      <c r="F6105" s="2"/>
      <c r="G6105" s="2"/>
      <c r="H6105" s="2"/>
      <c r="I6105" s="2"/>
      <c r="J6105" s="2"/>
      <c r="K6105" s="2"/>
      <c r="L6105" s="2"/>
      <c r="M6105" s="2"/>
      <c r="N6105" s="2"/>
      <c r="O6105" s="2"/>
      <c r="P6105" s="2"/>
      <c r="Q6105" s="2"/>
      <c r="R6105" s="2"/>
      <c r="S6105" s="2"/>
      <c r="T6105" s="2"/>
      <c r="U6105" s="2"/>
      <c r="V6105" s="2"/>
      <c r="W6105" s="2"/>
    </row>
    <row r="6106" spans="1:23" x14ac:dyDescent="0.25">
      <c r="A6106" s="2"/>
      <c r="B6106" s="2"/>
      <c r="C6106" s="1"/>
      <c r="D6106" s="2"/>
      <c r="E6106" s="2"/>
      <c r="F6106" s="2"/>
      <c r="G6106" s="2"/>
      <c r="H6106" s="2"/>
      <c r="I6106" s="2"/>
      <c r="J6106" s="2"/>
      <c r="K6106" s="2"/>
      <c r="L6106" s="2"/>
      <c r="M6106" s="2"/>
      <c r="N6106" s="2"/>
      <c r="O6106" s="2"/>
      <c r="P6106" s="2"/>
      <c r="Q6106" s="2"/>
      <c r="R6106" s="2"/>
      <c r="S6106" s="2"/>
      <c r="T6106" s="2"/>
      <c r="U6106" s="2"/>
      <c r="V6106" s="2"/>
      <c r="W6106" s="2"/>
    </row>
    <row r="6107" spans="1:23" x14ac:dyDescent="0.25">
      <c r="A6107" s="2"/>
      <c r="B6107" s="2"/>
      <c r="C6107" s="1"/>
      <c r="D6107" s="2"/>
      <c r="E6107" s="2"/>
      <c r="F6107" s="2"/>
      <c r="G6107" s="2"/>
      <c r="H6107" s="2"/>
      <c r="I6107" s="2"/>
      <c r="J6107" s="2"/>
      <c r="K6107" s="2"/>
      <c r="L6107" s="2"/>
      <c r="M6107" s="2"/>
      <c r="N6107" s="2"/>
      <c r="O6107" s="2"/>
      <c r="P6107" s="2"/>
      <c r="Q6107" s="2"/>
      <c r="R6107" s="2"/>
      <c r="S6107" s="2"/>
      <c r="T6107" s="2"/>
      <c r="U6107" s="2"/>
      <c r="V6107" s="2"/>
      <c r="W6107" s="2"/>
    </row>
    <row r="6108" spans="1:23" x14ac:dyDescent="0.25">
      <c r="A6108" s="2"/>
      <c r="B6108" s="2"/>
      <c r="C6108" s="1"/>
      <c r="D6108" s="2"/>
      <c r="E6108" s="2"/>
      <c r="F6108" s="2"/>
      <c r="G6108" s="2"/>
      <c r="H6108" s="2"/>
      <c r="I6108" s="2"/>
      <c r="J6108" s="2"/>
      <c r="K6108" s="2"/>
      <c r="L6108" s="2"/>
      <c r="M6108" s="2"/>
      <c r="N6108" s="2"/>
      <c r="O6108" s="2"/>
      <c r="P6108" s="2"/>
      <c r="Q6108" s="2"/>
      <c r="R6108" s="2"/>
      <c r="S6108" s="2"/>
      <c r="T6108" s="2"/>
      <c r="U6108" s="2"/>
      <c r="V6108" s="2"/>
      <c r="W6108" s="2"/>
    </row>
    <row r="6109" spans="1:23" x14ac:dyDescent="0.25">
      <c r="A6109" s="2"/>
      <c r="B6109" s="2"/>
      <c r="C6109" s="1"/>
      <c r="D6109" s="2"/>
      <c r="E6109" s="2"/>
      <c r="F6109" s="2"/>
      <c r="G6109" s="2"/>
      <c r="H6109" s="2"/>
      <c r="I6109" s="2"/>
      <c r="J6109" s="2"/>
      <c r="K6109" s="2"/>
      <c r="L6109" s="2"/>
      <c r="M6109" s="2"/>
      <c r="N6109" s="2"/>
      <c r="O6109" s="2"/>
      <c r="P6109" s="2"/>
      <c r="Q6109" s="2"/>
      <c r="R6109" s="2"/>
      <c r="S6109" s="2"/>
      <c r="T6109" s="2"/>
      <c r="U6109" s="2"/>
      <c r="V6109" s="2"/>
      <c r="W6109" s="2"/>
    </row>
    <row r="6110" spans="1:23" x14ac:dyDescent="0.25">
      <c r="A6110" s="2"/>
      <c r="B6110" s="2"/>
      <c r="C6110" s="1"/>
      <c r="D6110" s="2"/>
      <c r="E6110" s="2"/>
      <c r="F6110" s="2"/>
      <c r="G6110" s="2"/>
      <c r="H6110" s="2"/>
      <c r="I6110" s="2"/>
      <c r="J6110" s="2"/>
      <c r="K6110" s="2"/>
      <c r="L6110" s="2"/>
      <c r="M6110" s="2"/>
      <c r="N6110" s="2"/>
      <c r="O6110" s="2"/>
      <c r="P6110" s="2"/>
      <c r="Q6110" s="2"/>
      <c r="R6110" s="2"/>
      <c r="S6110" s="2"/>
      <c r="T6110" s="2"/>
      <c r="U6110" s="2"/>
      <c r="V6110" s="2"/>
      <c r="W6110" s="2"/>
    </row>
    <row r="6111" spans="1:23" x14ac:dyDescent="0.25">
      <c r="A6111" s="2"/>
      <c r="B6111" s="2"/>
      <c r="C6111" s="1"/>
      <c r="D6111" s="2"/>
      <c r="E6111" s="2"/>
      <c r="F6111" s="2"/>
      <c r="G6111" s="2"/>
      <c r="H6111" s="2"/>
      <c r="I6111" s="2"/>
      <c r="J6111" s="2"/>
      <c r="K6111" s="2"/>
      <c r="L6111" s="2"/>
      <c r="M6111" s="2"/>
      <c r="N6111" s="2"/>
      <c r="O6111" s="2"/>
      <c r="P6111" s="2"/>
      <c r="Q6111" s="2"/>
      <c r="R6111" s="2"/>
      <c r="S6111" s="2"/>
      <c r="T6111" s="2"/>
      <c r="U6111" s="2"/>
      <c r="V6111" s="2"/>
      <c r="W6111" s="2"/>
    </row>
    <row r="6112" spans="1:23" x14ac:dyDescent="0.25">
      <c r="A6112" s="2"/>
      <c r="B6112" s="2"/>
      <c r="C6112" s="1"/>
      <c r="D6112" s="2"/>
      <c r="E6112" s="2"/>
      <c r="F6112" s="2"/>
      <c r="G6112" s="2"/>
      <c r="H6112" s="2"/>
      <c r="I6112" s="2"/>
      <c r="J6112" s="2"/>
      <c r="K6112" s="2"/>
      <c r="L6112" s="2"/>
      <c r="M6112" s="2"/>
      <c r="N6112" s="2"/>
      <c r="O6112" s="2"/>
      <c r="P6112" s="2"/>
      <c r="Q6112" s="2"/>
      <c r="R6112" s="2"/>
      <c r="S6112" s="2"/>
      <c r="T6112" s="2"/>
      <c r="U6112" s="2"/>
      <c r="V6112" s="2"/>
      <c r="W6112" s="2"/>
    </row>
    <row r="6113" spans="1:23" x14ac:dyDescent="0.25">
      <c r="A6113" s="2"/>
      <c r="B6113" s="2"/>
      <c r="C6113" s="1"/>
      <c r="D6113" s="2"/>
      <c r="E6113" s="2"/>
      <c r="F6113" s="2"/>
      <c r="G6113" s="2"/>
      <c r="H6113" s="2"/>
      <c r="I6113" s="2"/>
      <c r="J6113" s="2"/>
      <c r="K6113" s="2"/>
      <c r="L6113" s="2"/>
      <c r="M6113" s="2"/>
      <c r="N6113" s="2"/>
      <c r="O6113" s="2"/>
      <c r="P6113" s="2"/>
      <c r="Q6113" s="2"/>
      <c r="R6113" s="2"/>
      <c r="S6113" s="2"/>
      <c r="T6113" s="2"/>
      <c r="U6113" s="2"/>
      <c r="V6113" s="2"/>
      <c r="W6113" s="2"/>
    </row>
    <row r="6114" spans="1:23" x14ac:dyDescent="0.25">
      <c r="A6114" s="2"/>
      <c r="B6114" s="2"/>
      <c r="C6114" s="1"/>
      <c r="D6114" s="2"/>
      <c r="E6114" s="2"/>
      <c r="F6114" s="2"/>
      <c r="G6114" s="2"/>
      <c r="H6114" s="2"/>
      <c r="I6114" s="2"/>
      <c r="J6114" s="2"/>
      <c r="K6114" s="2"/>
      <c r="L6114" s="2"/>
      <c r="M6114" s="2"/>
      <c r="N6114" s="2"/>
      <c r="O6114" s="2"/>
      <c r="P6114" s="2"/>
      <c r="Q6114" s="2"/>
      <c r="R6114" s="2"/>
      <c r="S6114" s="2"/>
      <c r="T6114" s="2"/>
      <c r="U6114" s="2"/>
      <c r="V6114" s="2"/>
      <c r="W6114" s="2"/>
    </row>
    <row r="6115" spans="1:23" x14ac:dyDescent="0.25">
      <c r="A6115" s="2"/>
      <c r="B6115" s="2"/>
      <c r="C6115" s="1"/>
      <c r="D6115" s="2"/>
      <c r="E6115" s="2"/>
      <c r="F6115" s="2"/>
      <c r="G6115" s="2"/>
      <c r="H6115" s="2"/>
      <c r="I6115" s="2"/>
      <c r="J6115" s="2"/>
      <c r="K6115" s="2"/>
      <c r="L6115" s="2"/>
      <c r="M6115" s="2"/>
      <c r="N6115" s="2"/>
      <c r="O6115" s="2"/>
      <c r="P6115" s="2"/>
      <c r="Q6115" s="2"/>
      <c r="R6115" s="2"/>
      <c r="S6115" s="2"/>
      <c r="T6115" s="2"/>
      <c r="U6115" s="2"/>
      <c r="V6115" s="2"/>
      <c r="W6115" s="2"/>
    </row>
    <row r="6116" spans="1:23" x14ac:dyDescent="0.25">
      <c r="A6116" s="2"/>
      <c r="B6116" s="2"/>
      <c r="C6116" s="1"/>
      <c r="D6116" s="2"/>
      <c r="E6116" s="2"/>
      <c r="F6116" s="2"/>
      <c r="G6116" s="2"/>
      <c r="H6116" s="2"/>
      <c r="I6116" s="2"/>
      <c r="J6116" s="2"/>
      <c r="K6116" s="2"/>
      <c r="L6116" s="2"/>
      <c r="M6116" s="2"/>
      <c r="N6116" s="2"/>
      <c r="O6116" s="2"/>
      <c r="P6116" s="2"/>
      <c r="Q6116" s="2"/>
      <c r="R6116" s="2"/>
      <c r="S6116" s="2"/>
      <c r="T6116" s="2"/>
      <c r="U6116" s="2"/>
      <c r="V6116" s="2"/>
      <c r="W6116" s="2"/>
    </row>
    <row r="6117" spans="1:23" x14ac:dyDescent="0.25">
      <c r="A6117" s="2"/>
      <c r="B6117" s="2"/>
      <c r="C6117" s="1"/>
      <c r="D6117" s="2"/>
      <c r="E6117" s="2"/>
      <c r="F6117" s="2"/>
      <c r="G6117" s="2"/>
      <c r="H6117" s="2"/>
      <c r="I6117" s="2"/>
      <c r="J6117" s="2"/>
      <c r="K6117" s="2"/>
      <c r="L6117" s="2"/>
      <c r="M6117" s="2"/>
      <c r="N6117" s="2"/>
      <c r="O6117" s="2"/>
      <c r="P6117" s="2"/>
      <c r="Q6117" s="2"/>
      <c r="R6117" s="2"/>
      <c r="S6117" s="2"/>
      <c r="T6117" s="2"/>
      <c r="U6117" s="2"/>
      <c r="V6117" s="2"/>
      <c r="W6117" s="2"/>
    </row>
    <row r="6118" spans="1:23" x14ac:dyDescent="0.25">
      <c r="A6118" s="2"/>
      <c r="B6118" s="2"/>
      <c r="C6118" s="1"/>
      <c r="D6118" s="2"/>
      <c r="E6118" s="2"/>
      <c r="F6118" s="2"/>
      <c r="G6118" s="2"/>
      <c r="H6118" s="2"/>
      <c r="I6118" s="2"/>
      <c r="J6118" s="2"/>
      <c r="K6118" s="2"/>
      <c r="L6118" s="2"/>
      <c r="M6118" s="2"/>
      <c r="N6118" s="2"/>
      <c r="O6118" s="2"/>
      <c r="P6118" s="2"/>
      <c r="Q6118" s="2"/>
      <c r="R6118" s="2"/>
      <c r="S6118" s="2"/>
      <c r="T6118" s="2"/>
      <c r="U6118" s="2"/>
      <c r="V6118" s="2"/>
      <c r="W6118" s="2"/>
    </row>
    <row r="6119" spans="1:23" x14ac:dyDescent="0.25">
      <c r="A6119" s="2"/>
      <c r="B6119" s="2"/>
      <c r="C6119" s="1"/>
      <c r="D6119" s="2"/>
      <c r="E6119" s="2"/>
      <c r="F6119" s="2"/>
      <c r="G6119" s="2"/>
      <c r="H6119" s="2"/>
      <c r="I6119" s="2"/>
      <c r="J6119" s="2"/>
      <c r="K6119" s="2"/>
      <c r="L6119" s="2"/>
      <c r="M6119" s="2"/>
      <c r="N6119" s="2"/>
      <c r="O6119" s="2"/>
      <c r="P6119" s="2"/>
      <c r="Q6119" s="2"/>
      <c r="R6119" s="2"/>
      <c r="S6119" s="2"/>
      <c r="T6119" s="2"/>
      <c r="U6119" s="2"/>
      <c r="V6119" s="2"/>
      <c r="W6119" s="2"/>
    </row>
    <row r="6120" spans="1:23" x14ac:dyDescent="0.25">
      <c r="A6120" s="2"/>
      <c r="B6120" s="2"/>
      <c r="C6120" s="1"/>
      <c r="D6120" s="2"/>
      <c r="E6120" s="2"/>
      <c r="F6120" s="2"/>
      <c r="G6120" s="2"/>
      <c r="H6120" s="2"/>
      <c r="I6120" s="2"/>
      <c r="J6120" s="2"/>
      <c r="K6120" s="2"/>
      <c r="L6120" s="2"/>
      <c r="M6120" s="2"/>
      <c r="N6120" s="2"/>
      <c r="O6120" s="2"/>
      <c r="P6120" s="2"/>
      <c r="Q6120" s="2"/>
      <c r="R6120" s="2"/>
      <c r="S6120" s="2"/>
      <c r="T6120" s="2"/>
      <c r="U6120" s="2"/>
      <c r="V6120" s="2"/>
      <c r="W6120" s="2"/>
    </row>
    <row r="6121" spans="1:23" x14ac:dyDescent="0.25">
      <c r="A6121" s="2"/>
      <c r="B6121" s="2"/>
      <c r="C6121" s="1"/>
      <c r="D6121" s="2"/>
      <c r="E6121" s="2"/>
      <c r="F6121" s="2"/>
      <c r="G6121" s="2"/>
      <c r="H6121" s="2"/>
      <c r="I6121" s="2"/>
      <c r="J6121" s="2"/>
      <c r="K6121" s="2"/>
      <c r="L6121" s="2"/>
      <c r="M6121" s="2"/>
      <c r="N6121" s="2"/>
      <c r="O6121" s="2"/>
      <c r="P6121" s="2"/>
      <c r="Q6121" s="2"/>
      <c r="R6121" s="2"/>
      <c r="S6121" s="2"/>
      <c r="T6121" s="2"/>
      <c r="U6121" s="2"/>
      <c r="V6121" s="2"/>
      <c r="W6121" s="2"/>
    </row>
    <row r="6122" spans="1:23" x14ac:dyDescent="0.25">
      <c r="A6122" s="2"/>
      <c r="B6122" s="2"/>
      <c r="C6122" s="1"/>
      <c r="D6122" s="2"/>
      <c r="E6122" s="2"/>
      <c r="F6122" s="2"/>
      <c r="G6122" s="2"/>
      <c r="H6122" s="2"/>
      <c r="I6122" s="2"/>
      <c r="J6122" s="2"/>
      <c r="K6122" s="2"/>
      <c r="L6122" s="2"/>
      <c r="M6122" s="2"/>
      <c r="N6122" s="2"/>
      <c r="O6122" s="2"/>
      <c r="P6122" s="2"/>
      <c r="Q6122" s="2"/>
      <c r="R6122" s="2"/>
      <c r="S6122" s="2"/>
      <c r="T6122" s="2"/>
      <c r="U6122" s="2"/>
      <c r="V6122" s="2"/>
      <c r="W6122" s="2"/>
    </row>
    <row r="6123" spans="1:23" x14ac:dyDescent="0.25">
      <c r="A6123" s="2"/>
      <c r="B6123" s="2"/>
      <c r="C6123" s="1"/>
      <c r="D6123" s="2"/>
      <c r="E6123" s="2"/>
      <c r="F6123" s="2"/>
      <c r="G6123" s="2"/>
      <c r="H6123" s="2"/>
      <c r="I6123" s="2"/>
      <c r="J6123" s="2"/>
      <c r="K6123" s="2"/>
      <c r="L6123" s="2"/>
      <c r="M6123" s="2"/>
      <c r="N6123" s="2"/>
      <c r="O6123" s="2"/>
      <c r="P6123" s="2"/>
      <c r="Q6123" s="2"/>
      <c r="R6123" s="2"/>
      <c r="S6123" s="2"/>
      <c r="T6123" s="2"/>
      <c r="U6123" s="2"/>
      <c r="V6123" s="2"/>
      <c r="W6123" s="2"/>
    </row>
    <row r="6124" spans="1:23" x14ac:dyDescent="0.25">
      <c r="A6124" s="2"/>
      <c r="B6124" s="2"/>
      <c r="C6124" s="1"/>
      <c r="D6124" s="2"/>
      <c r="E6124" s="2"/>
      <c r="F6124" s="2"/>
      <c r="G6124" s="2"/>
      <c r="H6124" s="2"/>
      <c r="I6124" s="2"/>
      <c r="J6124" s="2"/>
      <c r="K6124" s="2"/>
      <c r="L6124" s="2"/>
      <c r="M6124" s="2"/>
      <c r="N6124" s="2"/>
      <c r="O6124" s="2"/>
      <c r="P6124" s="2"/>
      <c r="Q6124" s="2"/>
      <c r="R6124" s="2"/>
      <c r="S6124" s="2"/>
      <c r="T6124" s="2"/>
      <c r="U6124" s="2"/>
      <c r="V6124" s="2"/>
      <c r="W6124" s="2"/>
    </row>
    <row r="6125" spans="1:23" x14ac:dyDescent="0.25">
      <c r="A6125" s="2"/>
      <c r="B6125" s="2"/>
      <c r="C6125" s="1"/>
      <c r="D6125" s="2"/>
      <c r="E6125" s="2"/>
      <c r="F6125" s="2"/>
      <c r="G6125" s="2"/>
      <c r="H6125" s="2"/>
      <c r="I6125" s="2"/>
      <c r="J6125" s="2"/>
      <c r="K6125" s="2"/>
      <c r="L6125" s="2"/>
      <c r="M6125" s="2"/>
      <c r="N6125" s="2"/>
      <c r="O6125" s="2"/>
      <c r="P6125" s="2"/>
      <c r="Q6125" s="2"/>
      <c r="R6125" s="2"/>
      <c r="S6125" s="2"/>
      <c r="T6125" s="2"/>
      <c r="U6125" s="2"/>
      <c r="V6125" s="2"/>
      <c r="W6125" s="2"/>
    </row>
    <row r="6126" spans="1:23" x14ac:dyDescent="0.25">
      <c r="A6126" s="2"/>
      <c r="B6126" s="2"/>
      <c r="C6126" s="1"/>
      <c r="D6126" s="2"/>
      <c r="E6126" s="2"/>
      <c r="F6126" s="2"/>
      <c r="G6126" s="2"/>
      <c r="H6126" s="2"/>
      <c r="I6126" s="2"/>
      <c r="J6126" s="2"/>
      <c r="K6126" s="2"/>
      <c r="L6126" s="2"/>
      <c r="M6126" s="2"/>
      <c r="N6126" s="2"/>
      <c r="O6126" s="2"/>
      <c r="P6126" s="2"/>
      <c r="Q6126" s="2"/>
      <c r="R6126" s="2"/>
      <c r="S6126" s="2"/>
      <c r="T6126" s="2"/>
      <c r="U6126" s="2"/>
      <c r="V6126" s="2"/>
      <c r="W6126" s="2"/>
    </row>
    <row r="6127" spans="1:23" x14ac:dyDescent="0.25">
      <c r="A6127" s="2"/>
      <c r="B6127" s="2"/>
      <c r="C6127" s="1"/>
      <c r="D6127" s="2"/>
      <c r="E6127" s="2"/>
      <c r="F6127" s="2"/>
      <c r="G6127" s="2"/>
      <c r="H6127" s="2"/>
      <c r="I6127" s="2"/>
      <c r="J6127" s="2"/>
      <c r="K6127" s="2"/>
      <c r="L6127" s="2"/>
      <c r="M6127" s="2"/>
      <c r="N6127" s="2"/>
      <c r="O6127" s="2"/>
      <c r="P6127" s="2"/>
      <c r="Q6127" s="2"/>
      <c r="R6127" s="2"/>
      <c r="S6127" s="2"/>
      <c r="T6127" s="2"/>
      <c r="U6127" s="2"/>
      <c r="V6127" s="2"/>
      <c r="W6127" s="2"/>
    </row>
    <row r="6128" spans="1:23" x14ac:dyDescent="0.25">
      <c r="A6128" s="2"/>
      <c r="B6128" s="2"/>
      <c r="C6128" s="1"/>
      <c r="D6128" s="2"/>
      <c r="E6128" s="2"/>
      <c r="F6128" s="2"/>
      <c r="G6128" s="2"/>
      <c r="H6128" s="2"/>
      <c r="I6128" s="2"/>
      <c r="J6128" s="2"/>
      <c r="K6128" s="2"/>
      <c r="L6128" s="2"/>
      <c r="M6128" s="2"/>
      <c r="N6128" s="2"/>
      <c r="O6128" s="2"/>
      <c r="P6128" s="2"/>
      <c r="Q6128" s="2"/>
      <c r="R6128" s="2"/>
      <c r="S6128" s="2"/>
      <c r="T6128" s="2"/>
      <c r="U6128" s="2"/>
      <c r="V6128" s="2"/>
      <c r="W6128" s="2"/>
    </row>
    <row r="6129" spans="1:23" x14ac:dyDescent="0.25">
      <c r="A6129" s="2"/>
      <c r="B6129" s="2"/>
      <c r="C6129" s="1"/>
      <c r="D6129" s="2"/>
      <c r="E6129" s="2"/>
      <c r="F6129" s="2"/>
      <c r="G6129" s="2"/>
      <c r="H6129" s="2"/>
      <c r="I6129" s="2"/>
      <c r="J6129" s="2"/>
      <c r="K6129" s="2"/>
      <c r="L6129" s="2"/>
      <c r="M6129" s="2"/>
      <c r="N6129" s="2"/>
      <c r="O6129" s="2"/>
      <c r="P6129" s="2"/>
      <c r="Q6129" s="2"/>
      <c r="R6129" s="2"/>
      <c r="S6129" s="2"/>
      <c r="T6129" s="2"/>
      <c r="U6129" s="2"/>
      <c r="V6129" s="2"/>
      <c r="W6129" s="2"/>
    </row>
    <row r="6130" spans="1:23" x14ac:dyDescent="0.25">
      <c r="A6130" s="2"/>
      <c r="B6130" s="2"/>
      <c r="C6130" s="1"/>
      <c r="D6130" s="2"/>
      <c r="E6130" s="2"/>
      <c r="F6130" s="2"/>
      <c r="G6130" s="2"/>
      <c r="H6130" s="2"/>
      <c r="I6130" s="2"/>
      <c r="J6130" s="2"/>
      <c r="K6130" s="2"/>
      <c r="L6130" s="2"/>
      <c r="M6130" s="2"/>
      <c r="N6130" s="2"/>
      <c r="O6130" s="2"/>
      <c r="P6130" s="2"/>
      <c r="Q6130" s="2"/>
      <c r="R6130" s="2"/>
      <c r="S6130" s="2"/>
      <c r="T6130" s="2"/>
      <c r="U6130" s="2"/>
      <c r="V6130" s="2"/>
      <c r="W6130" s="2"/>
    </row>
    <row r="6131" spans="1:23" x14ac:dyDescent="0.25">
      <c r="A6131" s="2"/>
      <c r="B6131" s="2"/>
      <c r="C6131" s="1"/>
      <c r="D6131" s="2"/>
      <c r="E6131" s="2"/>
      <c r="F6131" s="2"/>
      <c r="G6131" s="2"/>
      <c r="H6131" s="2"/>
      <c r="I6131" s="2"/>
      <c r="J6131" s="2"/>
      <c r="K6131" s="2"/>
      <c r="L6131" s="2"/>
      <c r="M6131" s="2"/>
      <c r="N6131" s="2"/>
      <c r="O6131" s="2"/>
      <c r="P6131" s="2"/>
      <c r="Q6131" s="2"/>
      <c r="R6131" s="2"/>
      <c r="S6131" s="2"/>
      <c r="T6131" s="2"/>
      <c r="U6131" s="2"/>
      <c r="V6131" s="2"/>
      <c r="W6131" s="2"/>
    </row>
    <row r="6132" spans="1:23" x14ac:dyDescent="0.25">
      <c r="A6132" s="2"/>
      <c r="B6132" s="2"/>
      <c r="C6132" s="1"/>
      <c r="D6132" s="2"/>
      <c r="E6132" s="2"/>
      <c r="F6132" s="2"/>
      <c r="G6132" s="2"/>
      <c r="H6132" s="2"/>
      <c r="I6132" s="2"/>
      <c r="J6132" s="2"/>
      <c r="K6132" s="2"/>
      <c r="L6132" s="2"/>
      <c r="M6132" s="2"/>
      <c r="N6132" s="2"/>
      <c r="O6132" s="2"/>
      <c r="P6132" s="2"/>
      <c r="Q6132" s="2"/>
      <c r="R6132" s="2"/>
      <c r="S6132" s="2"/>
      <c r="T6132" s="2"/>
      <c r="U6132" s="2"/>
      <c r="V6132" s="2"/>
      <c r="W6132" s="2"/>
    </row>
    <row r="6133" spans="1:23" x14ac:dyDescent="0.25">
      <c r="A6133" s="2"/>
      <c r="B6133" s="2"/>
      <c r="C6133" s="1"/>
      <c r="D6133" s="2"/>
      <c r="E6133" s="2"/>
      <c r="F6133" s="2"/>
      <c r="G6133" s="2"/>
      <c r="H6133" s="2"/>
      <c r="I6133" s="2"/>
      <c r="J6133" s="2"/>
      <c r="K6133" s="2"/>
      <c r="L6133" s="2"/>
      <c r="M6133" s="2"/>
      <c r="N6133" s="2"/>
      <c r="O6133" s="2"/>
      <c r="P6133" s="2"/>
      <c r="Q6133" s="2"/>
      <c r="R6133" s="2"/>
      <c r="S6133" s="2"/>
      <c r="T6133" s="2"/>
      <c r="U6133" s="2"/>
      <c r="V6133" s="2"/>
      <c r="W6133" s="2"/>
    </row>
    <row r="6134" spans="1:23" x14ac:dyDescent="0.25">
      <c r="A6134" s="2"/>
      <c r="B6134" s="2"/>
      <c r="C6134" s="1"/>
      <c r="D6134" s="2"/>
      <c r="E6134" s="2"/>
      <c r="F6134" s="2"/>
      <c r="G6134" s="2"/>
      <c r="H6134" s="2"/>
      <c r="I6134" s="2"/>
      <c r="J6134" s="2"/>
      <c r="K6134" s="2"/>
      <c r="L6134" s="2"/>
      <c r="M6134" s="2"/>
      <c r="N6134" s="2"/>
      <c r="O6134" s="2"/>
      <c r="P6134" s="2"/>
      <c r="Q6134" s="2"/>
      <c r="R6134" s="2"/>
      <c r="S6134" s="2"/>
      <c r="T6134" s="2"/>
      <c r="U6134" s="2"/>
      <c r="V6134" s="2"/>
      <c r="W6134" s="2"/>
    </row>
    <row r="6135" spans="1:23" x14ac:dyDescent="0.25">
      <c r="A6135" s="2"/>
      <c r="B6135" s="2"/>
      <c r="C6135" s="1"/>
      <c r="D6135" s="2"/>
      <c r="E6135" s="2"/>
      <c r="F6135" s="2"/>
      <c r="G6135" s="2"/>
      <c r="H6135" s="2"/>
      <c r="I6135" s="2"/>
      <c r="J6135" s="2"/>
      <c r="K6135" s="2"/>
      <c r="L6135" s="2"/>
      <c r="M6135" s="2"/>
      <c r="N6135" s="2"/>
      <c r="O6135" s="2"/>
      <c r="P6135" s="2"/>
      <c r="Q6135" s="2"/>
      <c r="R6135" s="2"/>
      <c r="S6135" s="2"/>
      <c r="T6135" s="2"/>
      <c r="U6135" s="2"/>
      <c r="V6135" s="2"/>
      <c r="W6135" s="2"/>
    </row>
    <row r="6136" spans="1:23" x14ac:dyDescent="0.25">
      <c r="A6136" s="2"/>
      <c r="B6136" s="2"/>
      <c r="C6136" s="1"/>
      <c r="D6136" s="2"/>
      <c r="E6136" s="2"/>
      <c r="F6136" s="2"/>
      <c r="G6136" s="2"/>
      <c r="H6136" s="2"/>
      <c r="I6136" s="2"/>
      <c r="J6136" s="2"/>
      <c r="K6136" s="2"/>
      <c r="L6136" s="2"/>
      <c r="M6136" s="2"/>
      <c r="N6136" s="2"/>
      <c r="O6136" s="2"/>
      <c r="P6136" s="2"/>
      <c r="Q6136" s="2"/>
      <c r="R6136" s="2"/>
      <c r="S6136" s="2"/>
      <c r="T6136" s="2"/>
      <c r="U6136" s="2"/>
      <c r="V6136" s="2"/>
      <c r="W6136" s="2"/>
    </row>
    <row r="6137" spans="1:23" x14ac:dyDescent="0.25">
      <c r="A6137" s="2"/>
      <c r="B6137" s="2"/>
      <c r="C6137" s="1"/>
      <c r="D6137" s="2"/>
      <c r="E6137" s="2"/>
      <c r="F6137" s="2"/>
      <c r="G6137" s="2"/>
      <c r="H6137" s="2"/>
      <c r="I6137" s="2"/>
      <c r="J6137" s="2"/>
      <c r="K6137" s="2"/>
      <c r="L6137" s="2"/>
      <c r="M6137" s="2"/>
      <c r="N6137" s="2"/>
      <c r="O6137" s="2"/>
      <c r="P6137" s="2"/>
      <c r="Q6137" s="2"/>
      <c r="R6137" s="2"/>
      <c r="S6137" s="2"/>
      <c r="T6137" s="2"/>
      <c r="U6137" s="2"/>
      <c r="V6137" s="2"/>
      <c r="W6137" s="2"/>
    </row>
    <row r="6138" spans="1:23" x14ac:dyDescent="0.25">
      <c r="A6138" s="2"/>
      <c r="B6138" s="2"/>
      <c r="C6138" s="1"/>
      <c r="D6138" s="2"/>
      <c r="E6138" s="2"/>
      <c r="F6138" s="2"/>
      <c r="G6138" s="2"/>
      <c r="H6138" s="2"/>
      <c r="I6138" s="2"/>
      <c r="J6138" s="2"/>
      <c r="K6138" s="2"/>
      <c r="L6138" s="2"/>
      <c r="M6138" s="2"/>
      <c r="N6138" s="2"/>
      <c r="O6138" s="2"/>
      <c r="P6138" s="2"/>
      <c r="Q6138" s="2"/>
      <c r="R6138" s="2"/>
      <c r="S6138" s="2"/>
      <c r="T6138" s="2"/>
      <c r="U6138" s="2"/>
      <c r="V6138" s="2"/>
      <c r="W6138" s="2"/>
    </row>
    <row r="6139" spans="1:23" x14ac:dyDescent="0.25">
      <c r="A6139" s="2"/>
      <c r="B6139" s="2"/>
      <c r="C6139" s="1"/>
      <c r="D6139" s="2"/>
      <c r="E6139" s="2"/>
      <c r="F6139" s="2"/>
      <c r="G6139" s="2"/>
      <c r="H6139" s="2"/>
      <c r="I6139" s="2"/>
      <c r="J6139" s="2"/>
      <c r="K6139" s="2"/>
      <c r="L6139" s="2"/>
      <c r="M6139" s="2"/>
      <c r="N6139" s="2"/>
      <c r="O6139" s="2"/>
      <c r="P6139" s="2"/>
      <c r="Q6139" s="2"/>
      <c r="R6139" s="2"/>
      <c r="S6139" s="2"/>
      <c r="T6139" s="2"/>
      <c r="U6139" s="2"/>
      <c r="V6139" s="2"/>
      <c r="W6139" s="2"/>
    </row>
    <row r="6140" spans="1:23" x14ac:dyDescent="0.25">
      <c r="A6140" s="2"/>
      <c r="B6140" s="2"/>
      <c r="C6140" s="1"/>
      <c r="D6140" s="2"/>
      <c r="E6140" s="2"/>
      <c r="F6140" s="2"/>
      <c r="G6140" s="2"/>
      <c r="H6140" s="2"/>
      <c r="I6140" s="2"/>
      <c r="J6140" s="2"/>
      <c r="K6140" s="2"/>
      <c r="L6140" s="2"/>
      <c r="M6140" s="2"/>
      <c r="N6140" s="2"/>
      <c r="O6140" s="2"/>
      <c r="P6140" s="2"/>
      <c r="Q6140" s="2"/>
      <c r="R6140" s="2"/>
      <c r="S6140" s="2"/>
      <c r="T6140" s="2"/>
      <c r="U6140" s="2"/>
      <c r="V6140" s="2"/>
      <c r="W6140" s="2"/>
    </row>
    <row r="6141" spans="1:23" x14ac:dyDescent="0.25">
      <c r="A6141" s="2"/>
      <c r="B6141" s="2"/>
      <c r="C6141" s="1"/>
      <c r="D6141" s="2"/>
      <c r="E6141" s="2"/>
      <c r="F6141" s="2"/>
      <c r="G6141" s="2"/>
      <c r="H6141" s="2"/>
      <c r="I6141" s="2"/>
      <c r="J6141" s="2"/>
      <c r="K6141" s="2"/>
      <c r="L6141" s="2"/>
      <c r="M6141" s="2"/>
      <c r="N6141" s="2"/>
      <c r="O6141" s="2"/>
      <c r="P6141" s="2"/>
      <c r="Q6141" s="2"/>
      <c r="R6141" s="2"/>
      <c r="S6141" s="2"/>
      <c r="T6141" s="2"/>
      <c r="U6141" s="2"/>
      <c r="V6141" s="2"/>
      <c r="W6141" s="2"/>
    </row>
    <row r="6142" spans="1:23" x14ac:dyDescent="0.25">
      <c r="A6142" s="2"/>
      <c r="B6142" s="2"/>
      <c r="C6142" s="1"/>
      <c r="D6142" s="2"/>
      <c r="E6142" s="2"/>
      <c r="F6142" s="2"/>
      <c r="G6142" s="2"/>
      <c r="H6142" s="2"/>
      <c r="I6142" s="2"/>
      <c r="J6142" s="2"/>
      <c r="K6142" s="2"/>
      <c r="L6142" s="2"/>
      <c r="M6142" s="2"/>
      <c r="N6142" s="2"/>
      <c r="O6142" s="2"/>
      <c r="P6142" s="2"/>
      <c r="Q6142" s="2"/>
      <c r="R6142" s="2"/>
      <c r="S6142" s="2"/>
      <c r="T6142" s="2"/>
      <c r="U6142" s="2"/>
      <c r="V6142" s="2"/>
      <c r="W6142" s="2"/>
    </row>
    <row r="6143" spans="1:23" x14ac:dyDescent="0.25">
      <c r="A6143" s="2"/>
      <c r="B6143" s="2"/>
      <c r="C6143" s="1"/>
      <c r="D6143" s="2"/>
      <c r="E6143" s="2"/>
      <c r="F6143" s="2"/>
      <c r="G6143" s="2"/>
      <c r="H6143" s="2"/>
      <c r="I6143" s="2"/>
      <c r="J6143" s="2"/>
      <c r="K6143" s="2"/>
      <c r="L6143" s="2"/>
      <c r="M6143" s="2"/>
      <c r="N6143" s="2"/>
      <c r="O6143" s="2"/>
      <c r="P6143" s="2"/>
      <c r="Q6143" s="2"/>
      <c r="R6143" s="2"/>
      <c r="S6143" s="2"/>
      <c r="T6143" s="2"/>
      <c r="U6143" s="2"/>
      <c r="V6143" s="2"/>
      <c r="W6143" s="2"/>
    </row>
    <row r="6144" spans="1:23" x14ac:dyDescent="0.25">
      <c r="A6144" s="2"/>
      <c r="B6144" s="2"/>
      <c r="C6144" s="1"/>
      <c r="D6144" s="2"/>
      <c r="E6144" s="2"/>
      <c r="F6144" s="2"/>
      <c r="G6144" s="2"/>
      <c r="H6144" s="2"/>
      <c r="I6144" s="2"/>
      <c r="J6144" s="2"/>
      <c r="K6144" s="2"/>
      <c r="L6144" s="2"/>
      <c r="M6144" s="2"/>
      <c r="N6144" s="2"/>
      <c r="O6144" s="2"/>
      <c r="P6144" s="2"/>
      <c r="Q6144" s="2"/>
      <c r="R6144" s="2"/>
      <c r="S6144" s="2"/>
      <c r="T6144" s="2"/>
      <c r="U6144" s="2"/>
      <c r="V6144" s="2"/>
      <c r="W6144" s="2"/>
    </row>
    <row r="6145" spans="1:23" x14ac:dyDescent="0.25">
      <c r="A6145" s="2"/>
      <c r="B6145" s="2"/>
      <c r="C6145" s="1"/>
      <c r="D6145" s="2"/>
      <c r="E6145" s="2"/>
      <c r="F6145" s="2"/>
      <c r="G6145" s="2"/>
      <c r="H6145" s="2"/>
      <c r="I6145" s="2"/>
      <c r="J6145" s="2"/>
      <c r="K6145" s="2"/>
      <c r="L6145" s="2"/>
      <c r="M6145" s="2"/>
      <c r="N6145" s="2"/>
      <c r="O6145" s="2"/>
      <c r="P6145" s="2"/>
      <c r="Q6145" s="2"/>
      <c r="R6145" s="2"/>
      <c r="S6145" s="2"/>
      <c r="T6145" s="2"/>
      <c r="U6145" s="2"/>
      <c r="V6145" s="2"/>
      <c r="W6145" s="2"/>
    </row>
    <row r="6146" spans="1:23" x14ac:dyDescent="0.25">
      <c r="A6146" s="2"/>
      <c r="B6146" s="2"/>
      <c r="C6146" s="1"/>
      <c r="D6146" s="2"/>
      <c r="E6146" s="2"/>
      <c r="F6146" s="2"/>
      <c r="G6146" s="2"/>
      <c r="H6146" s="2"/>
      <c r="I6146" s="2"/>
      <c r="J6146" s="2"/>
      <c r="K6146" s="2"/>
      <c r="L6146" s="2"/>
      <c r="M6146" s="2"/>
      <c r="N6146" s="2"/>
      <c r="O6146" s="2"/>
      <c r="P6146" s="2"/>
      <c r="Q6146" s="2"/>
      <c r="R6146" s="2"/>
      <c r="S6146" s="2"/>
      <c r="T6146" s="2"/>
      <c r="U6146" s="2"/>
      <c r="V6146" s="2"/>
      <c r="W6146" s="2"/>
    </row>
    <row r="6147" spans="1:23" x14ac:dyDescent="0.25">
      <c r="A6147" s="2"/>
      <c r="B6147" s="2"/>
      <c r="C6147" s="1"/>
      <c r="D6147" s="2"/>
      <c r="E6147" s="2"/>
      <c r="F6147" s="2"/>
      <c r="G6147" s="2"/>
      <c r="H6147" s="2"/>
      <c r="I6147" s="2"/>
      <c r="J6147" s="2"/>
      <c r="K6147" s="2"/>
      <c r="L6147" s="2"/>
      <c r="M6147" s="2"/>
      <c r="N6147" s="2"/>
      <c r="O6147" s="2"/>
      <c r="P6147" s="2"/>
      <c r="Q6147" s="2"/>
      <c r="R6147" s="2"/>
      <c r="S6147" s="2"/>
      <c r="T6147" s="2"/>
      <c r="U6147" s="2"/>
      <c r="V6147" s="2"/>
      <c r="W6147" s="2"/>
    </row>
    <row r="6148" spans="1:23" x14ac:dyDescent="0.25">
      <c r="A6148" s="2"/>
      <c r="B6148" s="2"/>
      <c r="C6148" s="1"/>
      <c r="D6148" s="2"/>
      <c r="E6148" s="2"/>
      <c r="F6148" s="2"/>
      <c r="G6148" s="2"/>
      <c r="H6148" s="2"/>
      <c r="I6148" s="2"/>
      <c r="J6148" s="2"/>
      <c r="K6148" s="2"/>
      <c r="L6148" s="2"/>
      <c r="M6148" s="2"/>
      <c r="N6148" s="2"/>
      <c r="O6148" s="2"/>
      <c r="P6148" s="2"/>
      <c r="Q6148" s="2"/>
      <c r="R6148" s="2"/>
      <c r="S6148" s="2"/>
      <c r="T6148" s="2"/>
      <c r="U6148" s="2"/>
      <c r="V6148" s="2"/>
      <c r="W6148" s="2"/>
    </row>
    <row r="6149" spans="1:23" x14ac:dyDescent="0.25">
      <c r="A6149" s="2"/>
      <c r="B6149" s="2"/>
      <c r="C6149" s="1"/>
      <c r="D6149" s="2"/>
      <c r="E6149" s="2"/>
      <c r="F6149" s="2"/>
      <c r="G6149" s="2"/>
      <c r="H6149" s="2"/>
      <c r="I6149" s="2"/>
      <c r="J6149" s="2"/>
      <c r="K6149" s="2"/>
      <c r="L6149" s="2"/>
      <c r="M6149" s="2"/>
      <c r="N6149" s="2"/>
      <c r="O6149" s="2"/>
      <c r="P6149" s="2"/>
      <c r="Q6149" s="2"/>
      <c r="R6149" s="2"/>
      <c r="S6149" s="2"/>
      <c r="T6149" s="2"/>
      <c r="U6149" s="2"/>
      <c r="V6149" s="2"/>
      <c r="W6149" s="2"/>
    </row>
    <row r="6150" spans="1:23" x14ac:dyDescent="0.25">
      <c r="A6150" s="2"/>
      <c r="B6150" s="2"/>
      <c r="C6150" s="1"/>
      <c r="D6150" s="2"/>
      <c r="E6150" s="2"/>
      <c r="F6150" s="2"/>
      <c r="G6150" s="2"/>
      <c r="H6150" s="2"/>
      <c r="I6150" s="2"/>
      <c r="J6150" s="2"/>
      <c r="K6150" s="2"/>
      <c r="L6150" s="2"/>
      <c r="M6150" s="2"/>
      <c r="N6150" s="2"/>
      <c r="O6150" s="2"/>
      <c r="P6150" s="2"/>
      <c r="Q6150" s="2"/>
      <c r="R6150" s="2"/>
      <c r="S6150" s="2"/>
      <c r="T6150" s="2"/>
      <c r="U6150" s="2"/>
      <c r="V6150" s="2"/>
      <c r="W6150" s="2"/>
    </row>
    <row r="6151" spans="1:23" x14ac:dyDescent="0.25">
      <c r="A6151" s="2"/>
      <c r="B6151" s="2"/>
      <c r="C6151" s="1"/>
      <c r="D6151" s="2"/>
      <c r="E6151" s="2"/>
      <c r="F6151" s="2"/>
      <c r="G6151" s="2"/>
      <c r="H6151" s="2"/>
      <c r="I6151" s="2"/>
      <c r="J6151" s="2"/>
      <c r="K6151" s="2"/>
      <c r="L6151" s="2"/>
      <c r="M6151" s="2"/>
      <c r="N6151" s="2"/>
      <c r="O6151" s="2"/>
      <c r="P6151" s="2"/>
      <c r="Q6151" s="2"/>
      <c r="R6151" s="2"/>
      <c r="S6151" s="2"/>
      <c r="T6151" s="2"/>
      <c r="U6151" s="2"/>
      <c r="V6151" s="2"/>
      <c r="W6151" s="2"/>
    </row>
    <row r="6152" spans="1:23" x14ac:dyDescent="0.25">
      <c r="A6152" s="2"/>
      <c r="B6152" s="2"/>
      <c r="C6152" s="1"/>
      <c r="D6152" s="2"/>
      <c r="E6152" s="2"/>
      <c r="F6152" s="2"/>
      <c r="G6152" s="2"/>
      <c r="H6152" s="2"/>
      <c r="I6152" s="2"/>
      <c r="J6152" s="2"/>
      <c r="K6152" s="2"/>
      <c r="L6152" s="2"/>
      <c r="M6152" s="2"/>
      <c r="N6152" s="2"/>
      <c r="O6152" s="2"/>
      <c r="P6152" s="2"/>
      <c r="Q6152" s="2"/>
      <c r="R6152" s="2"/>
      <c r="S6152" s="2"/>
      <c r="T6152" s="2"/>
      <c r="U6152" s="2"/>
      <c r="V6152" s="2"/>
      <c r="W6152" s="2"/>
    </row>
    <row r="6153" spans="1:23" x14ac:dyDescent="0.25">
      <c r="A6153" s="2"/>
      <c r="B6153" s="2"/>
      <c r="C6153" s="1"/>
      <c r="D6153" s="2"/>
      <c r="E6153" s="2"/>
      <c r="F6153" s="2"/>
      <c r="G6153" s="2"/>
      <c r="H6153" s="2"/>
      <c r="I6153" s="2"/>
      <c r="J6153" s="2"/>
      <c r="K6153" s="2"/>
      <c r="L6153" s="2"/>
      <c r="M6153" s="2"/>
      <c r="N6153" s="2"/>
      <c r="O6153" s="2"/>
      <c r="P6153" s="2"/>
      <c r="Q6153" s="2"/>
      <c r="R6153" s="2"/>
      <c r="S6153" s="2"/>
      <c r="T6153" s="2"/>
      <c r="U6153" s="2"/>
      <c r="V6153" s="2"/>
      <c r="W6153" s="2"/>
    </row>
    <row r="6154" spans="1:23" x14ac:dyDescent="0.25">
      <c r="A6154" s="2"/>
      <c r="B6154" s="2"/>
      <c r="C6154" s="1"/>
      <c r="D6154" s="2"/>
      <c r="E6154" s="2"/>
      <c r="F6154" s="2"/>
      <c r="G6154" s="2"/>
      <c r="H6154" s="2"/>
      <c r="I6154" s="2"/>
      <c r="J6154" s="2"/>
      <c r="K6154" s="2"/>
      <c r="L6154" s="2"/>
      <c r="M6154" s="2"/>
      <c r="N6154" s="2"/>
      <c r="O6154" s="2"/>
      <c r="P6154" s="2"/>
      <c r="Q6154" s="2"/>
      <c r="R6154" s="2"/>
      <c r="S6154" s="2"/>
      <c r="T6154" s="2"/>
      <c r="U6154" s="2"/>
      <c r="V6154" s="2"/>
      <c r="W6154" s="2"/>
    </row>
    <row r="6155" spans="1:23" x14ac:dyDescent="0.25">
      <c r="A6155" s="2"/>
      <c r="B6155" s="2"/>
      <c r="C6155" s="1"/>
      <c r="D6155" s="2"/>
      <c r="E6155" s="2"/>
      <c r="F6155" s="2"/>
      <c r="G6155" s="2"/>
      <c r="H6155" s="2"/>
      <c r="I6155" s="2"/>
      <c r="J6155" s="2"/>
      <c r="K6155" s="2"/>
      <c r="L6155" s="2"/>
      <c r="M6155" s="2"/>
      <c r="N6155" s="2"/>
      <c r="O6155" s="2"/>
      <c r="P6155" s="2"/>
      <c r="Q6155" s="2"/>
      <c r="R6155" s="2"/>
      <c r="S6155" s="2"/>
      <c r="T6155" s="2"/>
      <c r="U6155" s="2"/>
      <c r="V6155" s="2"/>
      <c r="W6155" s="2"/>
    </row>
    <row r="6156" spans="1:23" x14ac:dyDescent="0.25">
      <c r="A6156" s="2"/>
      <c r="B6156" s="2"/>
      <c r="C6156" s="1"/>
      <c r="D6156" s="2"/>
      <c r="E6156" s="2"/>
      <c r="F6156" s="2"/>
      <c r="G6156" s="2"/>
      <c r="H6156" s="2"/>
      <c r="I6156" s="2"/>
      <c r="J6156" s="2"/>
      <c r="K6156" s="2"/>
      <c r="L6156" s="2"/>
      <c r="M6156" s="2"/>
      <c r="N6156" s="2"/>
      <c r="O6156" s="2"/>
      <c r="P6156" s="2"/>
      <c r="Q6156" s="2"/>
      <c r="R6156" s="2"/>
      <c r="S6156" s="2"/>
      <c r="T6156" s="2"/>
      <c r="U6156" s="2"/>
      <c r="V6156" s="2"/>
      <c r="W6156" s="2"/>
    </row>
    <row r="6157" spans="1:23" x14ac:dyDescent="0.25">
      <c r="A6157" s="2"/>
      <c r="B6157" s="2"/>
      <c r="C6157" s="1"/>
      <c r="D6157" s="2"/>
      <c r="E6157" s="2"/>
      <c r="F6157" s="2"/>
      <c r="G6157" s="2"/>
      <c r="H6157" s="2"/>
      <c r="I6157" s="2"/>
      <c r="J6157" s="2"/>
      <c r="K6157" s="2"/>
      <c r="L6157" s="2"/>
      <c r="M6157" s="2"/>
      <c r="N6157" s="2"/>
      <c r="O6157" s="2"/>
      <c r="P6157" s="2"/>
      <c r="Q6157" s="2"/>
      <c r="R6157" s="2"/>
      <c r="S6157" s="2"/>
      <c r="T6157" s="2"/>
      <c r="U6157" s="2"/>
      <c r="V6157" s="2"/>
      <c r="W6157" s="2"/>
    </row>
    <row r="6158" spans="1:23" x14ac:dyDescent="0.25">
      <c r="A6158" s="2"/>
      <c r="B6158" s="2"/>
      <c r="C6158" s="1"/>
      <c r="D6158" s="2"/>
      <c r="E6158" s="2"/>
      <c r="F6158" s="2"/>
      <c r="G6158" s="2"/>
      <c r="H6158" s="2"/>
      <c r="I6158" s="2"/>
      <c r="J6158" s="2"/>
      <c r="K6158" s="2"/>
      <c r="L6158" s="2"/>
      <c r="M6158" s="2"/>
      <c r="N6158" s="2"/>
      <c r="O6158" s="2"/>
      <c r="P6158" s="2"/>
      <c r="Q6158" s="2"/>
      <c r="R6158" s="2"/>
      <c r="S6158" s="2"/>
      <c r="T6158" s="2"/>
      <c r="U6158" s="2"/>
      <c r="V6158" s="2"/>
      <c r="W6158" s="2"/>
    </row>
    <row r="6159" spans="1:23" x14ac:dyDescent="0.25">
      <c r="A6159" s="2"/>
      <c r="B6159" s="2"/>
      <c r="C6159" s="1"/>
      <c r="D6159" s="2"/>
      <c r="E6159" s="2"/>
      <c r="F6159" s="2"/>
      <c r="G6159" s="2"/>
      <c r="H6159" s="2"/>
      <c r="I6159" s="2"/>
      <c r="J6159" s="2"/>
      <c r="K6159" s="2"/>
      <c r="L6159" s="2"/>
      <c r="M6159" s="2"/>
      <c r="N6159" s="2"/>
      <c r="O6159" s="2"/>
      <c r="P6159" s="2"/>
      <c r="Q6159" s="2"/>
      <c r="R6159" s="2"/>
      <c r="S6159" s="2"/>
      <c r="T6159" s="2"/>
      <c r="U6159" s="2"/>
      <c r="V6159" s="2"/>
      <c r="W6159" s="2"/>
    </row>
    <row r="6160" spans="1:23" x14ac:dyDescent="0.25">
      <c r="A6160" s="2"/>
      <c r="B6160" s="2"/>
      <c r="C6160" s="1"/>
      <c r="D6160" s="2"/>
      <c r="E6160" s="2"/>
      <c r="F6160" s="2"/>
      <c r="G6160" s="2"/>
      <c r="H6160" s="2"/>
      <c r="I6160" s="2"/>
      <c r="J6160" s="2"/>
      <c r="K6160" s="2"/>
      <c r="L6160" s="2"/>
      <c r="M6160" s="2"/>
      <c r="N6160" s="2"/>
      <c r="O6160" s="2"/>
      <c r="P6160" s="2"/>
      <c r="Q6160" s="2"/>
      <c r="R6160" s="2"/>
      <c r="S6160" s="2"/>
      <c r="T6160" s="2"/>
      <c r="U6160" s="2"/>
      <c r="V6160" s="2"/>
      <c r="W6160" s="2"/>
    </row>
    <row r="6161" spans="1:23" x14ac:dyDescent="0.25">
      <c r="A6161" s="2"/>
      <c r="B6161" s="2"/>
      <c r="C6161" s="1"/>
      <c r="D6161" s="2"/>
      <c r="E6161" s="2"/>
      <c r="F6161" s="2"/>
      <c r="G6161" s="2"/>
      <c r="H6161" s="2"/>
      <c r="I6161" s="2"/>
      <c r="J6161" s="2"/>
      <c r="K6161" s="2"/>
      <c r="L6161" s="2"/>
      <c r="M6161" s="2"/>
      <c r="N6161" s="2"/>
      <c r="O6161" s="2"/>
      <c r="P6161" s="2"/>
      <c r="Q6161" s="2"/>
      <c r="R6161" s="2"/>
      <c r="S6161" s="2"/>
      <c r="T6161" s="2"/>
      <c r="U6161" s="2"/>
      <c r="V6161" s="2"/>
      <c r="W6161" s="2"/>
    </row>
    <row r="6162" spans="1:23" x14ac:dyDescent="0.25">
      <c r="A6162" s="2"/>
      <c r="B6162" s="2"/>
      <c r="C6162" s="1"/>
      <c r="D6162" s="2"/>
      <c r="E6162" s="2"/>
      <c r="F6162" s="2"/>
      <c r="G6162" s="2"/>
      <c r="H6162" s="2"/>
      <c r="I6162" s="2"/>
      <c r="J6162" s="2"/>
      <c r="K6162" s="2"/>
      <c r="L6162" s="2"/>
      <c r="M6162" s="2"/>
      <c r="N6162" s="2"/>
      <c r="O6162" s="2"/>
      <c r="P6162" s="2"/>
      <c r="Q6162" s="2"/>
      <c r="R6162" s="2"/>
      <c r="S6162" s="2"/>
      <c r="T6162" s="2"/>
      <c r="U6162" s="2"/>
      <c r="V6162" s="2"/>
      <c r="W6162" s="2"/>
    </row>
    <row r="6163" spans="1:23" x14ac:dyDescent="0.25">
      <c r="A6163" s="2"/>
      <c r="B6163" s="2"/>
      <c r="C6163" s="1"/>
      <c r="D6163" s="2"/>
      <c r="E6163" s="2"/>
      <c r="F6163" s="2"/>
      <c r="G6163" s="2"/>
      <c r="H6163" s="2"/>
      <c r="I6163" s="2"/>
      <c r="J6163" s="2"/>
      <c r="K6163" s="2"/>
      <c r="L6163" s="2"/>
      <c r="M6163" s="2"/>
      <c r="N6163" s="2"/>
      <c r="O6163" s="2"/>
      <c r="P6163" s="2"/>
      <c r="Q6163" s="2"/>
      <c r="R6163" s="2"/>
      <c r="S6163" s="2"/>
      <c r="T6163" s="2"/>
      <c r="U6163" s="2"/>
      <c r="V6163" s="2"/>
      <c r="W6163" s="2"/>
    </row>
    <row r="6164" spans="1:23" x14ac:dyDescent="0.25">
      <c r="A6164" s="2"/>
      <c r="B6164" s="2"/>
      <c r="C6164" s="1"/>
      <c r="D6164" s="2"/>
      <c r="E6164" s="2"/>
      <c r="F6164" s="2"/>
      <c r="G6164" s="2"/>
      <c r="H6164" s="2"/>
      <c r="I6164" s="2"/>
      <c r="J6164" s="2"/>
      <c r="K6164" s="2"/>
      <c r="L6164" s="2"/>
      <c r="M6164" s="2"/>
      <c r="N6164" s="2"/>
      <c r="O6164" s="2"/>
      <c r="P6164" s="2"/>
      <c r="Q6164" s="2"/>
      <c r="R6164" s="2"/>
      <c r="S6164" s="2"/>
      <c r="T6164" s="2"/>
      <c r="U6164" s="2"/>
      <c r="V6164" s="2"/>
      <c r="W6164" s="2"/>
    </row>
    <row r="6165" spans="1:23" x14ac:dyDescent="0.25">
      <c r="A6165" s="2"/>
      <c r="B6165" s="2"/>
      <c r="C6165" s="1"/>
      <c r="D6165" s="2"/>
      <c r="E6165" s="2"/>
      <c r="F6165" s="2"/>
      <c r="G6165" s="2"/>
      <c r="H6165" s="2"/>
      <c r="I6165" s="2"/>
      <c r="J6165" s="2"/>
      <c r="K6165" s="2"/>
      <c r="L6165" s="2"/>
      <c r="M6165" s="2"/>
      <c r="N6165" s="2"/>
      <c r="O6165" s="2"/>
      <c r="P6165" s="2"/>
      <c r="Q6165" s="2"/>
      <c r="R6165" s="2"/>
      <c r="S6165" s="2"/>
      <c r="T6165" s="2"/>
      <c r="U6165" s="2"/>
      <c r="V6165" s="2"/>
      <c r="W6165" s="2"/>
    </row>
    <row r="6166" spans="1:23" x14ac:dyDescent="0.25">
      <c r="A6166" s="2"/>
      <c r="B6166" s="2"/>
      <c r="C6166" s="1"/>
      <c r="D6166" s="2"/>
      <c r="E6166" s="2"/>
      <c r="F6166" s="2"/>
      <c r="G6166" s="2"/>
      <c r="H6166" s="2"/>
      <c r="I6166" s="2"/>
      <c r="J6166" s="2"/>
      <c r="K6166" s="2"/>
      <c r="L6166" s="2"/>
      <c r="M6166" s="2"/>
      <c r="N6166" s="2"/>
      <c r="O6166" s="2"/>
      <c r="P6166" s="2"/>
      <c r="Q6166" s="2"/>
      <c r="R6166" s="2"/>
      <c r="S6166" s="2"/>
      <c r="T6166" s="2"/>
      <c r="U6166" s="2"/>
      <c r="V6166" s="2"/>
      <c r="W6166" s="2"/>
    </row>
    <row r="6167" spans="1:23" x14ac:dyDescent="0.25">
      <c r="A6167" s="2"/>
      <c r="B6167" s="2"/>
      <c r="C6167" s="1"/>
      <c r="D6167" s="2"/>
      <c r="E6167" s="2"/>
      <c r="F6167" s="2"/>
      <c r="G6167" s="2"/>
      <c r="H6167" s="2"/>
      <c r="I6167" s="2"/>
      <c r="J6167" s="2"/>
      <c r="K6167" s="2"/>
      <c r="L6167" s="2"/>
      <c r="M6167" s="2"/>
      <c r="N6167" s="2"/>
      <c r="O6167" s="2"/>
      <c r="P6167" s="2"/>
      <c r="Q6167" s="2"/>
      <c r="R6167" s="2"/>
      <c r="S6167" s="2"/>
      <c r="T6167" s="2"/>
      <c r="U6167" s="2"/>
      <c r="V6167" s="2"/>
      <c r="W6167" s="2"/>
    </row>
    <row r="6168" spans="1:23" x14ac:dyDescent="0.25">
      <c r="A6168" s="2"/>
      <c r="B6168" s="2"/>
      <c r="C6168" s="1"/>
      <c r="D6168" s="2"/>
      <c r="E6168" s="2"/>
      <c r="F6168" s="2"/>
      <c r="G6168" s="2"/>
      <c r="H6168" s="2"/>
      <c r="I6168" s="2"/>
      <c r="J6168" s="2"/>
      <c r="K6168" s="2"/>
      <c r="L6168" s="2"/>
      <c r="M6168" s="2"/>
      <c r="N6168" s="2"/>
      <c r="O6168" s="2"/>
      <c r="P6168" s="2"/>
      <c r="Q6168" s="2"/>
      <c r="R6168" s="2"/>
      <c r="S6168" s="2"/>
      <c r="T6168" s="2"/>
      <c r="U6168" s="2"/>
      <c r="V6168" s="2"/>
      <c r="W6168" s="2"/>
    </row>
    <row r="6169" spans="1:23" x14ac:dyDescent="0.25">
      <c r="A6169" s="2"/>
      <c r="B6169" s="2"/>
      <c r="C6169" s="1"/>
      <c r="D6169" s="2"/>
      <c r="E6169" s="2"/>
      <c r="F6169" s="2"/>
      <c r="G6169" s="2"/>
      <c r="H6169" s="2"/>
      <c r="I6169" s="2"/>
      <c r="J6169" s="2"/>
      <c r="K6169" s="2"/>
      <c r="L6169" s="2"/>
      <c r="M6169" s="2"/>
      <c r="N6169" s="2"/>
      <c r="O6169" s="2"/>
      <c r="P6169" s="2"/>
      <c r="Q6169" s="2"/>
      <c r="R6169" s="2"/>
      <c r="S6169" s="2"/>
      <c r="T6169" s="2"/>
      <c r="U6169" s="2"/>
      <c r="V6169" s="2"/>
      <c r="W6169" s="2"/>
    </row>
    <row r="6170" spans="1:23" x14ac:dyDescent="0.25">
      <c r="A6170" s="2"/>
      <c r="B6170" s="2"/>
      <c r="C6170" s="1"/>
      <c r="D6170" s="2"/>
      <c r="E6170" s="2"/>
      <c r="F6170" s="2"/>
      <c r="G6170" s="2"/>
      <c r="H6170" s="2"/>
      <c r="I6170" s="2"/>
      <c r="J6170" s="2"/>
      <c r="K6170" s="2"/>
      <c r="L6170" s="2"/>
      <c r="M6170" s="2"/>
      <c r="N6170" s="2"/>
      <c r="O6170" s="2"/>
      <c r="P6170" s="2"/>
      <c r="Q6170" s="2"/>
      <c r="R6170" s="2"/>
      <c r="S6170" s="2"/>
      <c r="T6170" s="2"/>
      <c r="U6170" s="2"/>
      <c r="V6170" s="2"/>
      <c r="W6170" s="2"/>
    </row>
    <row r="6171" spans="1:23" x14ac:dyDescent="0.25">
      <c r="A6171" s="2"/>
      <c r="B6171" s="2"/>
      <c r="C6171" s="1"/>
      <c r="D6171" s="2"/>
      <c r="E6171" s="2"/>
      <c r="F6171" s="2"/>
      <c r="G6171" s="2"/>
      <c r="H6171" s="2"/>
      <c r="I6171" s="2"/>
      <c r="J6171" s="2"/>
      <c r="K6171" s="2"/>
      <c r="L6171" s="2"/>
      <c r="M6171" s="2"/>
      <c r="N6171" s="2"/>
      <c r="O6171" s="2"/>
      <c r="P6171" s="2"/>
      <c r="Q6171" s="2"/>
      <c r="R6171" s="2"/>
      <c r="S6171" s="2"/>
      <c r="T6171" s="2"/>
      <c r="U6171" s="2"/>
      <c r="V6171" s="2"/>
      <c r="W6171" s="2"/>
    </row>
    <row r="6172" spans="1:23" x14ac:dyDescent="0.25">
      <c r="A6172" s="2"/>
      <c r="B6172" s="2"/>
      <c r="C6172" s="1"/>
      <c r="D6172" s="2"/>
      <c r="E6172" s="2"/>
      <c r="F6172" s="2"/>
      <c r="G6172" s="2"/>
      <c r="H6172" s="2"/>
      <c r="I6172" s="2"/>
      <c r="J6172" s="2"/>
      <c r="K6172" s="2"/>
      <c r="L6172" s="2"/>
      <c r="M6172" s="2"/>
      <c r="N6172" s="2"/>
      <c r="O6172" s="2"/>
      <c r="P6172" s="2"/>
      <c r="Q6172" s="2"/>
      <c r="R6172" s="2"/>
      <c r="S6172" s="2"/>
      <c r="T6172" s="2"/>
      <c r="U6172" s="2"/>
      <c r="V6172" s="2"/>
      <c r="W6172" s="2"/>
    </row>
    <row r="6173" spans="1:23" x14ac:dyDescent="0.25">
      <c r="A6173" s="2"/>
      <c r="B6173" s="2"/>
      <c r="C6173" s="1"/>
      <c r="D6173" s="2"/>
      <c r="E6173" s="2"/>
      <c r="F6173" s="2"/>
      <c r="G6173" s="2"/>
      <c r="H6173" s="2"/>
      <c r="I6173" s="2"/>
      <c r="J6173" s="2"/>
      <c r="K6173" s="2"/>
      <c r="L6173" s="2"/>
      <c r="M6173" s="2"/>
      <c r="N6173" s="2"/>
      <c r="O6173" s="2"/>
      <c r="P6173" s="2"/>
      <c r="Q6173" s="2"/>
      <c r="R6173" s="2"/>
      <c r="S6173" s="2"/>
      <c r="T6173" s="2"/>
      <c r="U6173" s="2"/>
      <c r="V6173" s="2"/>
      <c r="W6173" s="2"/>
    </row>
    <row r="6174" spans="1:23" x14ac:dyDescent="0.25">
      <c r="A6174" s="2"/>
      <c r="B6174" s="2"/>
      <c r="C6174" s="1"/>
      <c r="D6174" s="2"/>
      <c r="E6174" s="2"/>
      <c r="F6174" s="2"/>
      <c r="G6174" s="2"/>
      <c r="H6174" s="2"/>
      <c r="I6174" s="2"/>
      <c r="J6174" s="2"/>
      <c r="K6174" s="2"/>
      <c r="L6174" s="2"/>
      <c r="M6174" s="2"/>
      <c r="N6174" s="2"/>
      <c r="O6174" s="2"/>
      <c r="P6174" s="2"/>
      <c r="Q6174" s="2"/>
      <c r="R6174" s="2"/>
      <c r="S6174" s="2"/>
      <c r="T6174" s="2"/>
      <c r="U6174" s="2"/>
      <c r="V6174" s="2"/>
      <c r="W6174" s="2"/>
    </row>
    <row r="6175" spans="1:23" x14ac:dyDescent="0.25">
      <c r="A6175" s="2"/>
      <c r="B6175" s="2"/>
      <c r="C6175" s="1"/>
      <c r="D6175" s="2"/>
      <c r="E6175" s="2"/>
      <c r="F6175" s="2"/>
      <c r="G6175" s="2"/>
      <c r="H6175" s="2"/>
      <c r="I6175" s="2"/>
      <c r="J6175" s="2"/>
      <c r="K6175" s="2"/>
      <c r="L6175" s="2"/>
      <c r="M6175" s="2"/>
      <c r="N6175" s="2"/>
      <c r="O6175" s="2"/>
      <c r="P6175" s="2"/>
      <c r="Q6175" s="2"/>
      <c r="R6175" s="2"/>
      <c r="S6175" s="2"/>
      <c r="T6175" s="2"/>
      <c r="U6175" s="2"/>
      <c r="V6175" s="2"/>
      <c r="W6175" s="2"/>
    </row>
    <row r="6176" spans="1:23" x14ac:dyDescent="0.25">
      <c r="A6176" s="2"/>
      <c r="B6176" s="2"/>
      <c r="C6176" s="1"/>
      <c r="D6176" s="2"/>
      <c r="E6176" s="2"/>
      <c r="F6176" s="2"/>
      <c r="G6176" s="2"/>
      <c r="H6176" s="2"/>
      <c r="I6176" s="2"/>
      <c r="J6176" s="2"/>
      <c r="K6176" s="2"/>
      <c r="L6176" s="2"/>
      <c r="M6176" s="2"/>
      <c r="N6176" s="2"/>
      <c r="O6176" s="2"/>
      <c r="P6176" s="2"/>
      <c r="Q6176" s="2"/>
      <c r="R6176" s="2"/>
      <c r="S6176" s="2"/>
      <c r="T6176" s="2"/>
      <c r="U6176" s="2"/>
      <c r="V6176" s="2"/>
      <c r="W6176" s="2"/>
    </row>
    <row r="6177" spans="1:23" x14ac:dyDescent="0.25">
      <c r="A6177" s="2"/>
      <c r="B6177" s="2"/>
      <c r="C6177" s="1"/>
      <c r="D6177" s="2"/>
      <c r="E6177" s="2"/>
      <c r="F6177" s="2"/>
      <c r="G6177" s="2"/>
      <c r="H6177" s="2"/>
      <c r="I6177" s="2"/>
      <c r="J6177" s="2"/>
      <c r="K6177" s="2"/>
      <c r="L6177" s="2"/>
      <c r="M6177" s="2"/>
      <c r="N6177" s="2"/>
      <c r="O6177" s="2"/>
      <c r="P6177" s="2"/>
      <c r="Q6177" s="2"/>
      <c r="R6177" s="2"/>
      <c r="S6177" s="2"/>
      <c r="T6177" s="2"/>
      <c r="U6177" s="2"/>
      <c r="V6177" s="2"/>
      <c r="W6177" s="2"/>
    </row>
    <row r="6178" spans="1:23" x14ac:dyDescent="0.25">
      <c r="A6178" s="2"/>
      <c r="B6178" s="2"/>
      <c r="C6178" s="1"/>
      <c r="D6178" s="2"/>
      <c r="E6178" s="2"/>
      <c r="F6178" s="2"/>
      <c r="G6178" s="2"/>
      <c r="H6178" s="2"/>
      <c r="I6178" s="2"/>
      <c r="J6178" s="2"/>
      <c r="K6178" s="2"/>
      <c r="L6178" s="2"/>
      <c r="M6178" s="2"/>
      <c r="N6178" s="2"/>
      <c r="O6178" s="2"/>
      <c r="P6178" s="2"/>
      <c r="Q6178" s="2"/>
      <c r="R6178" s="2"/>
      <c r="S6178" s="2"/>
      <c r="T6178" s="2"/>
      <c r="U6178" s="2"/>
      <c r="V6178" s="2"/>
      <c r="W6178" s="2"/>
    </row>
    <row r="6179" spans="1:23" x14ac:dyDescent="0.25">
      <c r="A6179" s="2"/>
      <c r="B6179" s="2"/>
      <c r="C6179" s="1"/>
      <c r="D6179" s="2"/>
      <c r="E6179" s="2"/>
      <c r="F6179" s="2"/>
      <c r="G6179" s="2"/>
      <c r="H6179" s="2"/>
      <c r="I6179" s="2"/>
      <c r="J6179" s="2"/>
      <c r="K6179" s="2"/>
      <c r="L6179" s="2"/>
      <c r="M6179" s="2"/>
      <c r="N6179" s="2"/>
      <c r="O6179" s="2"/>
      <c r="P6179" s="2"/>
      <c r="Q6179" s="2"/>
      <c r="R6179" s="2"/>
      <c r="S6179" s="2"/>
      <c r="T6179" s="2"/>
      <c r="U6179" s="2"/>
      <c r="V6179" s="2"/>
      <c r="W6179" s="2"/>
    </row>
    <row r="6180" spans="1:23" x14ac:dyDescent="0.25">
      <c r="A6180" s="2"/>
      <c r="B6180" s="2"/>
      <c r="C6180" s="1"/>
      <c r="D6180" s="2"/>
      <c r="E6180" s="2"/>
      <c r="F6180" s="2"/>
      <c r="G6180" s="2"/>
      <c r="H6180" s="2"/>
      <c r="I6180" s="2"/>
      <c r="J6180" s="2"/>
      <c r="K6180" s="2"/>
      <c r="L6180" s="2"/>
      <c r="M6180" s="2"/>
      <c r="N6180" s="2"/>
      <c r="O6180" s="2"/>
      <c r="P6180" s="2"/>
      <c r="Q6180" s="2"/>
      <c r="R6180" s="2"/>
      <c r="S6180" s="2"/>
      <c r="T6180" s="2"/>
      <c r="U6180" s="2"/>
      <c r="V6180" s="2"/>
      <c r="W6180" s="2"/>
    </row>
    <row r="6181" spans="1:23" x14ac:dyDescent="0.25">
      <c r="A6181" s="2"/>
      <c r="B6181" s="2"/>
      <c r="C6181" s="1"/>
      <c r="D6181" s="2"/>
      <c r="E6181" s="2"/>
      <c r="F6181" s="2"/>
      <c r="G6181" s="2"/>
      <c r="H6181" s="2"/>
      <c r="I6181" s="2"/>
      <c r="J6181" s="2"/>
      <c r="K6181" s="2"/>
      <c r="L6181" s="2"/>
      <c r="M6181" s="2"/>
      <c r="N6181" s="2"/>
      <c r="O6181" s="2"/>
      <c r="P6181" s="2"/>
      <c r="Q6181" s="2"/>
      <c r="R6181" s="2"/>
      <c r="S6181" s="2"/>
      <c r="T6181" s="2"/>
      <c r="U6181" s="2"/>
      <c r="V6181" s="2"/>
      <c r="W6181" s="2"/>
    </row>
    <row r="6182" spans="1:23" x14ac:dyDescent="0.25">
      <c r="A6182" s="2"/>
      <c r="B6182" s="2"/>
      <c r="C6182" s="1"/>
      <c r="D6182" s="2"/>
      <c r="E6182" s="2"/>
      <c r="F6182" s="2"/>
      <c r="G6182" s="2"/>
      <c r="H6182" s="2"/>
      <c r="I6182" s="2"/>
      <c r="J6182" s="2"/>
      <c r="K6182" s="2"/>
      <c r="L6182" s="2"/>
      <c r="M6182" s="2"/>
      <c r="N6182" s="2"/>
      <c r="O6182" s="2"/>
      <c r="P6182" s="2"/>
      <c r="Q6182" s="2"/>
      <c r="R6182" s="2"/>
      <c r="S6182" s="2"/>
      <c r="T6182" s="2"/>
      <c r="U6182" s="2"/>
      <c r="V6182" s="2"/>
      <c r="W6182" s="2"/>
    </row>
    <row r="6183" spans="1:23" x14ac:dyDescent="0.25">
      <c r="A6183" s="2"/>
      <c r="B6183" s="2"/>
      <c r="C6183" s="1"/>
      <c r="D6183" s="2"/>
      <c r="E6183" s="2"/>
      <c r="F6183" s="2"/>
      <c r="G6183" s="2"/>
      <c r="H6183" s="2"/>
      <c r="I6183" s="2"/>
      <c r="J6183" s="2"/>
      <c r="K6183" s="2"/>
      <c r="L6183" s="2"/>
      <c r="M6183" s="2"/>
      <c r="N6183" s="2"/>
      <c r="O6183" s="2"/>
      <c r="P6183" s="2"/>
      <c r="Q6183" s="2"/>
      <c r="R6183" s="2"/>
      <c r="S6183" s="2"/>
      <c r="T6183" s="2"/>
      <c r="U6183" s="2"/>
      <c r="V6183" s="2"/>
      <c r="W6183" s="2"/>
    </row>
    <row r="6184" spans="1:23" x14ac:dyDescent="0.25">
      <c r="A6184" s="2"/>
      <c r="B6184" s="2"/>
      <c r="C6184" s="1"/>
      <c r="D6184" s="2"/>
      <c r="E6184" s="2"/>
      <c r="F6184" s="2"/>
      <c r="G6184" s="2"/>
      <c r="H6184" s="2"/>
      <c r="I6184" s="2"/>
      <c r="J6184" s="2"/>
      <c r="K6184" s="2"/>
      <c r="L6184" s="2"/>
      <c r="M6184" s="2"/>
      <c r="N6184" s="2"/>
      <c r="O6184" s="2"/>
      <c r="P6184" s="2"/>
      <c r="Q6184" s="2"/>
      <c r="R6184" s="2"/>
      <c r="S6184" s="2"/>
      <c r="T6184" s="2"/>
      <c r="U6184" s="2"/>
      <c r="V6184" s="2"/>
      <c r="W6184" s="2"/>
    </row>
    <row r="6185" spans="1:23" x14ac:dyDescent="0.25">
      <c r="A6185" s="2"/>
      <c r="B6185" s="2"/>
      <c r="C6185" s="1"/>
      <c r="D6185" s="2"/>
      <c r="E6185" s="2"/>
      <c r="F6185" s="2"/>
      <c r="G6185" s="2"/>
      <c r="H6185" s="2"/>
      <c r="I6185" s="2"/>
      <c r="J6185" s="2"/>
      <c r="K6185" s="2"/>
      <c r="L6185" s="2"/>
      <c r="M6185" s="2"/>
      <c r="N6185" s="2"/>
      <c r="O6185" s="2"/>
      <c r="P6185" s="2"/>
      <c r="Q6185" s="2"/>
      <c r="R6185" s="2"/>
      <c r="S6185" s="2"/>
      <c r="T6185" s="2"/>
      <c r="U6185" s="2"/>
      <c r="V6185" s="2"/>
      <c r="W6185" s="2"/>
    </row>
    <row r="6186" spans="1:23" x14ac:dyDescent="0.25">
      <c r="A6186" s="2"/>
      <c r="B6186" s="2"/>
      <c r="C6186" s="1"/>
      <c r="D6186" s="2"/>
      <c r="E6186" s="2"/>
      <c r="F6186" s="2"/>
      <c r="G6186" s="2"/>
      <c r="H6186" s="2"/>
      <c r="I6186" s="2"/>
      <c r="J6186" s="2"/>
      <c r="K6186" s="2"/>
      <c r="L6186" s="2"/>
      <c r="M6186" s="2"/>
      <c r="N6186" s="2"/>
      <c r="O6186" s="2"/>
      <c r="P6186" s="2"/>
      <c r="Q6186" s="2"/>
      <c r="R6186" s="2"/>
      <c r="S6186" s="2"/>
      <c r="T6186" s="2"/>
      <c r="U6186" s="2"/>
      <c r="V6186" s="2"/>
      <c r="W6186" s="2"/>
    </row>
    <row r="6187" spans="1:23" x14ac:dyDescent="0.25">
      <c r="A6187" s="2"/>
      <c r="B6187" s="2"/>
      <c r="C6187" s="1"/>
      <c r="D6187" s="2"/>
      <c r="E6187" s="2"/>
      <c r="F6187" s="2"/>
      <c r="G6187" s="2"/>
      <c r="H6187" s="2"/>
      <c r="I6187" s="2"/>
      <c r="J6187" s="2"/>
      <c r="K6187" s="2"/>
      <c r="L6187" s="2"/>
      <c r="M6187" s="2"/>
      <c r="N6187" s="2"/>
      <c r="O6187" s="2"/>
      <c r="P6187" s="2"/>
      <c r="Q6187" s="2"/>
      <c r="R6187" s="2"/>
      <c r="S6187" s="2"/>
      <c r="T6187" s="2"/>
      <c r="U6187" s="2"/>
      <c r="V6187" s="2"/>
      <c r="W6187" s="2"/>
    </row>
    <row r="6188" spans="1:23" x14ac:dyDescent="0.25">
      <c r="A6188" s="2"/>
      <c r="B6188" s="2"/>
      <c r="C6188" s="1"/>
      <c r="D6188" s="2"/>
      <c r="E6188" s="2"/>
      <c r="F6188" s="2"/>
      <c r="G6188" s="2"/>
      <c r="H6188" s="2"/>
      <c r="I6188" s="2"/>
      <c r="J6188" s="2"/>
      <c r="K6188" s="2"/>
      <c r="L6188" s="2"/>
      <c r="M6188" s="2"/>
      <c r="N6188" s="2"/>
      <c r="O6188" s="2"/>
      <c r="P6188" s="2"/>
      <c r="Q6188" s="2"/>
      <c r="R6188" s="2"/>
      <c r="S6188" s="2"/>
      <c r="T6188" s="2"/>
      <c r="U6188" s="2"/>
      <c r="V6188" s="2"/>
      <c r="W6188" s="2"/>
    </row>
    <row r="6189" spans="1:23" x14ac:dyDescent="0.25">
      <c r="A6189" s="2"/>
      <c r="B6189" s="2"/>
      <c r="C6189" s="1"/>
      <c r="D6189" s="2"/>
      <c r="E6189" s="2"/>
      <c r="F6189" s="2"/>
      <c r="G6189" s="2"/>
      <c r="H6189" s="2"/>
      <c r="I6189" s="2"/>
      <c r="J6189" s="2"/>
      <c r="K6189" s="2"/>
      <c r="L6189" s="2"/>
      <c r="M6189" s="2"/>
      <c r="N6189" s="2"/>
      <c r="O6189" s="2"/>
      <c r="P6189" s="2"/>
      <c r="Q6189" s="2"/>
      <c r="R6189" s="2"/>
      <c r="S6189" s="2"/>
      <c r="T6189" s="2"/>
      <c r="U6189" s="2"/>
      <c r="V6189" s="2"/>
      <c r="W6189" s="2"/>
    </row>
    <row r="6190" spans="1:23" x14ac:dyDescent="0.25">
      <c r="A6190" s="2"/>
      <c r="B6190" s="2"/>
      <c r="C6190" s="1"/>
      <c r="D6190" s="2"/>
      <c r="E6190" s="2"/>
      <c r="F6190" s="2"/>
      <c r="G6190" s="2"/>
      <c r="H6190" s="2"/>
      <c r="I6190" s="2"/>
      <c r="J6190" s="2"/>
      <c r="K6190" s="2"/>
      <c r="L6190" s="2"/>
      <c r="M6190" s="2"/>
      <c r="N6190" s="2"/>
      <c r="O6190" s="2"/>
      <c r="P6190" s="2"/>
      <c r="Q6190" s="2"/>
      <c r="R6190" s="2"/>
      <c r="S6190" s="2"/>
      <c r="T6190" s="2"/>
      <c r="U6190" s="2"/>
      <c r="V6190" s="2"/>
      <c r="W6190" s="2"/>
    </row>
    <row r="6191" spans="1:23" x14ac:dyDescent="0.25">
      <c r="A6191" s="2"/>
      <c r="B6191" s="2"/>
      <c r="C6191" s="1"/>
      <c r="D6191" s="2"/>
      <c r="E6191" s="2"/>
      <c r="F6191" s="2"/>
      <c r="G6191" s="2"/>
      <c r="H6191" s="2"/>
      <c r="I6191" s="2"/>
      <c r="J6191" s="2"/>
      <c r="K6191" s="2"/>
      <c r="L6191" s="2"/>
      <c r="M6191" s="2"/>
      <c r="N6191" s="2"/>
      <c r="O6191" s="2"/>
      <c r="P6191" s="2"/>
      <c r="Q6191" s="2"/>
      <c r="R6191" s="2"/>
      <c r="S6191" s="2"/>
      <c r="T6191" s="2"/>
      <c r="U6191" s="2"/>
      <c r="V6191" s="2"/>
      <c r="W6191" s="2"/>
    </row>
    <row r="6192" spans="1:23" x14ac:dyDescent="0.25">
      <c r="A6192" s="2"/>
      <c r="B6192" s="2"/>
      <c r="C6192" s="1"/>
      <c r="D6192" s="2"/>
      <c r="E6192" s="2"/>
      <c r="F6192" s="2"/>
      <c r="G6192" s="2"/>
      <c r="H6192" s="2"/>
      <c r="I6192" s="2"/>
      <c r="J6192" s="2"/>
      <c r="K6192" s="2"/>
      <c r="L6192" s="2"/>
      <c r="M6192" s="2"/>
      <c r="N6192" s="2"/>
      <c r="O6192" s="2"/>
      <c r="P6192" s="2"/>
      <c r="Q6192" s="2"/>
      <c r="R6192" s="2"/>
      <c r="S6192" s="2"/>
      <c r="T6192" s="2"/>
      <c r="U6192" s="2"/>
      <c r="V6192" s="2"/>
      <c r="W6192" s="2"/>
    </row>
    <row r="6193" spans="1:23" x14ac:dyDescent="0.25">
      <c r="A6193" s="2"/>
      <c r="B6193" s="2"/>
      <c r="C6193" s="1"/>
      <c r="D6193" s="2"/>
      <c r="E6193" s="2"/>
      <c r="F6193" s="2"/>
      <c r="G6193" s="2"/>
      <c r="H6193" s="2"/>
      <c r="I6193" s="2"/>
      <c r="J6193" s="2"/>
      <c r="K6193" s="2"/>
      <c r="L6193" s="2"/>
      <c r="M6193" s="2"/>
      <c r="N6193" s="2"/>
      <c r="O6193" s="2"/>
      <c r="P6193" s="2"/>
      <c r="Q6193" s="2"/>
      <c r="R6193" s="2"/>
      <c r="S6193" s="2"/>
      <c r="T6193" s="2"/>
      <c r="U6193" s="2"/>
      <c r="V6193" s="2"/>
      <c r="W6193" s="2"/>
    </row>
    <row r="6194" spans="1:23" x14ac:dyDescent="0.25">
      <c r="A6194" s="2"/>
      <c r="B6194" s="2"/>
      <c r="C6194" s="1"/>
      <c r="D6194" s="2"/>
      <c r="E6194" s="2"/>
      <c r="F6194" s="2"/>
      <c r="G6194" s="2"/>
      <c r="H6194" s="2"/>
      <c r="I6194" s="2"/>
      <c r="J6194" s="2"/>
      <c r="K6194" s="2"/>
      <c r="L6194" s="2"/>
      <c r="M6194" s="2"/>
      <c r="N6194" s="2"/>
      <c r="O6194" s="2"/>
      <c r="P6194" s="2"/>
      <c r="Q6194" s="2"/>
      <c r="R6194" s="2"/>
      <c r="S6194" s="2"/>
      <c r="T6194" s="2"/>
      <c r="U6194" s="2"/>
      <c r="V6194" s="2"/>
      <c r="W6194" s="2"/>
    </row>
    <row r="6195" spans="1:23" x14ac:dyDescent="0.25">
      <c r="A6195" s="2"/>
      <c r="B6195" s="2"/>
      <c r="C6195" s="1"/>
      <c r="D6195" s="2"/>
      <c r="E6195" s="2"/>
      <c r="F6195" s="2"/>
      <c r="G6195" s="2"/>
      <c r="H6195" s="2"/>
      <c r="I6195" s="2"/>
      <c r="J6195" s="2"/>
      <c r="K6195" s="2"/>
      <c r="L6195" s="2"/>
      <c r="M6195" s="2"/>
      <c r="N6195" s="2"/>
      <c r="O6195" s="2"/>
      <c r="P6195" s="2"/>
      <c r="Q6195" s="2"/>
      <c r="R6195" s="2"/>
      <c r="S6195" s="2"/>
      <c r="T6195" s="2"/>
      <c r="U6195" s="2"/>
      <c r="V6195" s="2"/>
      <c r="W6195" s="2"/>
    </row>
    <row r="6196" spans="1:23" x14ac:dyDescent="0.25">
      <c r="A6196" s="2"/>
      <c r="B6196" s="2"/>
      <c r="C6196" s="1"/>
      <c r="D6196" s="2"/>
      <c r="E6196" s="2"/>
      <c r="F6196" s="2"/>
      <c r="G6196" s="2"/>
      <c r="H6196" s="2"/>
      <c r="I6196" s="2"/>
      <c r="J6196" s="2"/>
      <c r="K6196" s="2"/>
      <c r="L6196" s="2"/>
      <c r="M6196" s="2"/>
      <c r="N6196" s="2"/>
      <c r="O6196" s="2"/>
      <c r="P6196" s="2"/>
      <c r="Q6196" s="2"/>
      <c r="R6196" s="2"/>
      <c r="S6196" s="2"/>
      <c r="T6196" s="2"/>
      <c r="U6196" s="2"/>
      <c r="V6196" s="2"/>
      <c r="W6196" s="2"/>
    </row>
    <row r="6197" spans="1:23" x14ac:dyDescent="0.25">
      <c r="A6197" s="2"/>
      <c r="B6197" s="2"/>
      <c r="C6197" s="1"/>
      <c r="D6197" s="2"/>
      <c r="E6197" s="2"/>
      <c r="F6197" s="2"/>
      <c r="G6197" s="2"/>
      <c r="H6197" s="2"/>
      <c r="I6197" s="2"/>
      <c r="J6197" s="2"/>
      <c r="K6197" s="2"/>
      <c r="L6197" s="2"/>
      <c r="M6197" s="2"/>
      <c r="N6197" s="2"/>
      <c r="O6197" s="2"/>
      <c r="P6197" s="2"/>
      <c r="Q6197" s="2"/>
      <c r="R6197" s="2"/>
      <c r="S6197" s="2"/>
      <c r="T6197" s="2"/>
      <c r="U6197" s="2"/>
      <c r="V6197" s="2"/>
      <c r="W6197" s="2"/>
    </row>
    <row r="6198" spans="1:23" x14ac:dyDescent="0.25">
      <c r="A6198" s="2"/>
      <c r="B6198" s="2"/>
      <c r="C6198" s="1"/>
      <c r="D6198" s="2"/>
      <c r="E6198" s="2"/>
      <c r="F6198" s="2"/>
      <c r="G6198" s="2"/>
      <c r="H6198" s="2"/>
      <c r="I6198" s="2"/>
      <c r="J6198" s="2"/>
      <c r="K6198" s="2"/>
      <c r="L6198" s="2"/>
      <c r="M6198" s="2"/>
      <c r="N6198" s="2"/>
      <c r="O6198" s="2"/>
      <c r="P6198" s="2"/>
      <c r="Q6198" s="2"/>
      <c r="R6198" s="2"/>
      <c r="S6198" s="2"/>
      <c r="T6198" s="2"/>
      <c r="U6198" s="2"/>
      <c r="V6198" s="2"/>
      <c r="W6198" s="2"/>
    </row>
    <row r="6199" spans="1:23" x14ac:dyDescent="0.25">
      <c r="A6199" s="2"/>
      <c r="B6199" s="2"/>
      <c r="C6199" s="1"/>
      <c r="D6199" s="2"/>
      <c r="E6199" s="2"/>
      <c r="F6199" s="2"/>
      <c r="G6199" s="2"/>
      <c r="H6199" s="2"/>
      <c r="I6199" s="2"/>
      <c r="J6199" s="2"/>
      <c r="K6199" s="2"/>
      <c r="L6199" s="2"/>
      <c r="M6199" s="2"/>
      <c r="N6199" s="2"/>
      <c r="O6199" s="2"/>
      <c r="P6199" s="2"/>
      <c r="Q6199" s="2"/>
      <c r="R6199" s="2"/>
      <c r="S6199" s="2"/>
      <c r="T6199" s="2"/>
      <c r="U6199" s="2"/>
      <c r="V6199" s="2"/>
      <c r="W6199" s="2"/>
    </row>
    <row r="6200" spans="1:23" x14ac:dyDescent="0.25">
      <c r="A6200" s="2"/>
      <c r="B6200" s="2"/>
      <c r="C6200" s="1"/>
      <c r="D6200" s="2"/>
      <c r="E6200" s="2"/>
      <c r="F6200" s="2"/>
      <c r="G6200" s="2"/>
      <c r="H6200" s="2"/>
      <c r="I6200" s="2"/>
      <c r="J6200" s="2"/>
      <c r="K6200" s="2"/>
      <c r="L6200" s="2"/>
      <c r="M6200" s="2"/>
      <c r="N6200" s="2"/>
      <c r="O6200" s="2"/>
      <c r="P6200" s="2"/>
      <c r="Q6200" s="2"/>
      <c r="R6200" s="2"/>
      <c r="S6200" s="2"/>
      <c r="T6200" s="2"/>
      <c r="U6200" s="2"/>
      <c r="V6200" s="2"/>
      <c r="W6200" s="2"/>
    </row>
    <row r="6201" spans="1:23" x14ac:dyDescent="0.25">
      <c r="A6201" s="2"/>
      <c r="B6201" s="2"/>
      <c r="C6201" s="1"/>
      <c r="D6201" s="2"/>
      <c r="E6201" s="2"/>
      <c r="F6201" s="2"/>
      <c r="G6201" s="2"/>
      <c r="H6201" s="2"/>
      <c r="I6201" s="2"/>
      <c r="J6201" s="2"/>
      <c r="K6201" s="2"/>
      <c r="L6201" s="2"/>
      <c r="M6201" s="2"/>
      <c r="N6201" s="2"/>
      <c r="O6201" s="2"/>
      <c r="P6201" s="2"/>
      <c r="Q6201" s="2"/>
      <c r="R6201" s="2"/>
      <c r="S6201" s="2"/>
      <c r="T6201" s="2"/>
      <c r="U6201" s="2"/>
      <c r="V6201" s="2"/>
      <c r="W6201" s="2"/>
    </row>
    <row r="6202" spans="1:23" x14ac:dyDescent="0.25">
      <c r="A6202" s="2"/>
      <c r="B6202" s="2"/>
      <c r="C6202" s="1"/>
      <c r="D6202" s="2"/>
      <c r="E6202" s="2"/>
      <c r="F6202" s="2"/>
      <c r="G6202" s="2"/>
      <c r="H6202" s="2"/>
      <c r="I6202" s="2"/>
      <c r="J6202" s="2"/>
      <c r="K6202" s="2"/>
      <c r="L6202" s="2"/>
      <c r="M6202" s="2"/>
      <c r="N6202" s="2"/>
      <c r="O6202" s="2"/>
      <c r="P6202" s="2"/>
      <c r="Q6202" s="2"/>
      <c r="R6202" s="2"/>
      <c r="S6202" s="2"/>
      <c r="T6202" s="2"/>
      <c r="U6202" s="2"/>
      <c r="V6202" s="2"/>
      <c r="W6202" s="2"/>
    </row>
    <row r="6203" spans="1:23" x14ac:dyDescent="0.25">
      <c r="A6203" s="2"/>
      <c r="B6203" s="2"/>
      <c r="C6203" s="1"/>
      <c r="D6203" s="2"/>
      <c r="E6203" s="2"/>
      <c r="F6203" s="2"/>
      <c r="G6203" s="2"/>
      <c r="H6203" s="2"/>
      <c r="I6203" s="2"/>
      <c r="J6203" s="2"/>
      <c r="K6203" s="2"/>
      <c r="L6203" s="2"/>
      <c r="M6203" s="2"/>
      <c r="N6203" s="2"/>
      <c r="O6203" s="2"/>
      <c r="P6203" s="2"/>
      <c r="Q6203" s="2"/>
      <c r="R6203" s="2"/>
      <c r="S6203" s="2"/>
      <c r="T6203" s="2"/>
      <c r="U6203" s="2"/>
      <c r="V6203" s="2"/>
      <c r="W6203" s="2"/>
    </row>
    <row r="6204" spans="1:23" x14ac:dyDescent="0.25">
      <c r="A6204" s="2"/>
      <c r="B6204" s="2"/>
      <c r="C6204" s="1"/>
      <c r="D6204" s="2"/>
      <c r="E6204" s="2"/>
      <c r="F6204" s="2"/>
      <c r="G6204" s="2"/>
      <c r="H6204" s="2"/>
      <c r="I6204" s="2"/>
      <c r="J6204" s="2"/>
      <c r="K6204" s="2"/>
      <c r="L6204" s="2"/>
      <c r="M6204" s="2"/>
      <c r="N6204" s="2"/>
      <c r="O6204" s="2"/>
      <c r="P6204" s="2"/>
      <c r="Q6204" s="2"/>
      <c r="R6204" s="2"/>
      <c r="S6204" s="2"/>
      <c r="T6204" s="2"/>
      <c r="U6204" s="2"/>
      <c r="V6204" s="2"/>
      <c r="W6204" s="2"/>
    </row>
    <row r="6205" spans="1:23" x14ac:dyDescent="0.25">
      <c r="A6205" s="2"/>
      <c r="B6205" s="2"/>
      <c r="C6205" s="1"/>
      <c r="D6205" s="2"/>
      <c r="E6205" s="2"/>
      <c r="F6205" s="2"/>
      <c r="G6205" s="2"/>
      <c r="H6205" s="2"/>
      <c r="I6205" s="2"/>
      <c r="J6205" s="2"/>
      <c r="K6205" s="2"/>
      <c r="L6205" s="2"/>
      <c r="M6205" s="2"/>
      <c r="N6205" s="2"/>
      <c r="O6205" s="2"/>
      <c r="P6205" s="2"/>
      <c r="Q6205" s="2"/>
      <c r="R6205" s="2"/>
      <c r="S6205" s="2"/>
      <c r="T6205" s="2"/>
      <c r="U6205" s="2"/>
      <c r="V6205" s="2"/>
      <c r="W6205" s="2"/>
    </row>
    <row r="6206" spans="1:23" x14ac:dyDescent="0.25">
      <c r="A6206" s="2"/>
      <c r="B6206" s="2"/>
      <c r="C6206" s="1"/>
      <c r="D6206" s="2"/>
      <c r="E6206" s="2"/>
      <c r="F6206" s="2"/>
      <c r="G6206" s="2"/>
      <c r="H6206" s="2"/>
      <c r="I6206" s="2"/>
      <c r="J6206" s="2"/>
      <c r="K6206" s="2"/>
      <c r="L6206" s="2"/>
      <c r="M6206" s="2"/>
      <c r="N6206" s="2"/>
      <c r="O6206" s="2"/>
      <c r="P6206" s="2"/>
      <c r="Q6206" s="2"/>
      <c r="R6206" s="2"/>
      <c r="S6206" s="2"/>
      <c r="T6206" s="2"/>
      <c r="U6206" s="2"/>
      <c r="V6206" s="2"/>
      <c r="W6206" s="2"/>
    </row>
    <row r="6207" spans="1:23" x14ac:dyDescent="0.25">
      <c r="A6207" s="2"/>
      <c r="B6207" s="2"/>
      <c r="C6207" s="1"/>
      <c r="D6207" s="2"/>
      <c r="E6207" s="2"/>
      <c r="F6207" s="2"/>
      <c r="G6207" s="2"/>
      <c r="H6207" s="2"/>
      <c r="I6207" s="2"/>
      <c r="J6207" s="2"/>
      <c r="K6207" s="2"/>
      <c r="L6207" s="2"/>
      <c r="M6207" s="2"/>
      <c r="N6207" s="2"/>
      <c r="O6207" s="2"/>
      <c r="P6207" s="2"/>
      <c r="Q6207" s="2"/>
      <c r="R6207" s="2"/>
      <c r="S6207" s="2"/>
      <c r="T6207" s="2"/>
      <c r="U6207" s="2"/>
      <c r="V6207" s="2"/>
      <c r="W6207" s="2"/>
    </row>
    <row r="6208" spans="1:23" x14ac:dyDescent="0.25">
      <c r="A6208" s="2"/>
      <c r="B6208" s="2"/>
      <c r="C6208" s="1"/>
      <c r="D6208" s="2"/>
      <c r="E6208" s="2"/>
      <c r="F6208" s="2"/>
      <c r="G6208" s="2"/>
      <c r="H6208" s="2"/>
      <c r="I6208" s="2"/>
      <c r="J6208" s="2"/>
      <c r="K6208" s="2"/>
      <c r="L6208" s="2"/>
      <c r="M6208" s="2"/>
      <c r="N6208" s="2"/>
      <c r="O6208" s="2"/>
      <c r="P6208" s="2"/>
      <c r="Q6208" s="2"/>
      <c r="R6208" s="2"/>
      <c r="S6208" s="2"/>
      <c r="T6208" s="2"/>
      <c r="U6208" s="2"/>
      <c r="V6208" s="2"/>
      <c r="W6208" s="2"/>
    </row>
    <row r="6209" spans="1:23" x14ac:dyDescent="0.25">
      <c r="A6209" s="2"/>
      <c r="B6209" s="2"/>
      <c r="C6209" s="1"/>
      <c r="D6209" s="2"/>
      <c r="E6209" s="2"/>
      <c r="F6209" s="2"/>
      <c r="G6209" s="2"/>
      <c r="H6209" s="2"/>
      <c r="I6209" s="2"/>
      <c r="J6209" s="2"/>
      <c r="K6209" s="2"/>
      <c r="L6209" s="2"/>
      <c r="M6209" s="2"/>
      <c r="N6209" s="2"/>
      <c r="O6209" s="2"/>
      <c r="P6209" s="2"/>
      <c r="Q6209" s="2"/>
      <c r="R6209" s="2"/>
      <c r="S6209" s="2"/>
      <c r="T6209" s="2"/>
      <c r="U6209" s="2"/>
      <c r="V6209" s="2"/>
      <c r="W6209" s="2"/>
    </row>
    <row r="6210" spans="1:23" x14ac:dyDescent="0.25">
      <c r="A6210" s="2"/>
      <c r="B6210" s="2"/>
      <c r="C6210" s="1"/>
      <c r="D6210" s="2"/>
      <c r="E6210" s="2"/>
      <c r="F6210" s="2"/>
      <c r="G6210" s="2"/>
      <c r="H6210" s="2"/>
      <c r="I6210" s="2"/>
      <c r="J6210" s="2"/>
      <c r="K6210" s="2"/>
      <c r="L6210" s="2"/>
      <c r="M6210" s="2"/>
      <c r="N6210" s="2"/>
      <c r="O6210" s="2"/>
      <c r="P6210" s="2"/>
      <c r="Q6210" s="2"/>
      <c r="R6210" s="2"/>
      <c r="S6210" s="2"/>
      <c r="T6210" s="2"/>
      <c r="U6210" s="2"/>
      <c r="V6210" s="2"/>
      <c r="W6210" s="2"/>
    </row>
    <row r="6211" spans="1:23" x14ac:dyDescent="0.25">
      <c r="A6211" s="2"/>
      <c r="B6211" s="2"/>
      <c r="C6211" s="1"/>
      <c r="D6211" s="2"/>
      <c r="E6211" s="2"/>
      <c r="F6211" s="2"/>
      <c r="G6211" s="2"/>
      <c r="H6211" s="2"/>
      <c r="I6211" s="2"/>
      <c r="J6211" s="2"/>
      <c r="K6211" s="2"/>
      <c r="L6211" s="2"/>
      <c r="M6211" s="2"/>
      <c r="N6211" s="2"/>
      <c r="O6211" s="2"/>
      <c r="P6211" s="2"/>
      <c r="Q6211" s="2"/>
      <c r="R6211" s="2"/>
      <c r="S6211" s="2"/>
      <c r="T6211" s="2"/>
      <c r="U6211" s="2"/>
      <c r="V6211" s="2"/>
      <c r="W6211" s="2"/>
    </row>
    <row r="6212" spans="1:23" x14ac:dyDescent="0.25">
      <c r="A6212" s="2"/>
      <c r="B6212" s="2"/>
      <c r="C6212" s="1"/>
      <c r="D6212" s="2"/>
      <c r="E6212" s="2"/>
      <c r="F6212" s="2"/>
      <c r="G6212" s="2"/>
      <c r="H6212" s="2"/>
      <c r="I6212" s="2"/>
      <c r="J6212" s="2"/>
      <c r="K6212" s="2"/>
      <c r="L6212" s="2"/>
      <c r="M6212" s="2"/>
      <c r="N6212" s="2"/>
      <c r="O6212" s="2"/>
      <c r="P6212" s="2"/>
      <c r="Q6212" s="2"/>
      <c r="R6212" s="2"/>
      <c r="S6212" s="2"/>
      <c r="T6212" s="2"/>
      <c r="U6212" s="2"/>
      <c r="V6212" s="2"/>
      <c r="W6212" s="2"/>
    </row>
    <row r="6213" spans="1:23" x14ac:dyDescent="0.25">
      <c r="A6213" s="2"/>
      <c r="B6213" s="2"/>
      <c r="C6213" s="1"/>
      <c r="D6213" s="2"/>
      <c r="E6213" s="2"/>
      <c r="F6213" s="2"/>
      <c r="G6213" s="2"/>
      <c r="H6213" s="2"/>
      <c r="I6213" s="2"/>
      <c r="J6213" s="2"/>
      <c r="K6213" s="2"/>
      <c r="L6213" s="2"/>
      <c r="M6213" s="2"/>
      <c r="N6213" s="2"/>
      <c r="O6213" s="2"/>
      <c r="P6213" s="2"/>
      <c r="Q6213" s="2"/>
      <c r="R6213" s="2"/>
      <c r="S6213" s="2"/>
      <c r="T6213" s="2"/>
      <c r="U6213" s="2"/>
      <c r="V6213" s="2"/>
      <c r="W6213" s="2"/>
    </row>
    <row r="6214" spans="1:23" x14ac:dyDescent="0.25">
      <c r="A6214" s="2"/>
      <c r="B6214" s="2"/>
      <c r="C6214" s="1"/>
      <c r="D6214" s="2"/>
      <c r="E6214" s="2"/>
      <c r="F6214" s="2"/>
      <c r="G6214" s="2"/>
      <c r="H6214" s="2"/>
      <c r="I6214" s="2"/>
      <c r="J6214" s="2"/>
      <c r="K6214" s="2"/>
      <c r="L6214" s="2"/>
      <c r="M6214" s="2"/>
      <c r="N6214" s="2"/>
      <c r="O6214" s="2"/>
      <c r="P6214" s="2"/>
      <c r="Q6214" s="2"/>
      <c r="R6214" s="2"/>
      <c r="S6214" s="2"/>
      <c r="T6214" s="2"/>
      <c r="U6214" s="2"/>
      <c r="V6214" s="2"/>
      <c r="W6214" s="2"/>
    </row>
    <row r="6215" spans="1:23" x14ac:dyDescent="0.25">
      <c r="A6215" s="2"/>
      <c r="B6215" s="2"/>
      <c r="C6215" s="1"/>
      <c r="D6215" s="2"/>
      <c r="E6215" s="2"/>
      <c r="F6215" s="2"/>
      <c r="G6215" s="2"/>
      <c r="H6215" s="2"/>
      <c r="I6215" s="2"/>
      <c r="J6215" s="2"/>
      <c r="K6215" s="2"/>
      <c r="L6215" s="2"/>
      <c r="M6215" s="2"/>
      <c r="N6215" s="2"/>
      <c r="O6215" s="2"/>
      <c r="P6215" s="2"/>
      <c r="Q6215" s="2"/>
      <c r="R6215" s="2"/>
      <c r="S6215" s="2"/>
      <c r="T6215" s="2"/>
      <c r="U6215" s="2"/>
      <c r="V6215" s="2"/>
      <c r="W6215" s="2"/>
    </row>
    <row r="6216" spans="1:23" x14ac:dyDescent="0.25">
      <c r="A6216" s="2"/>
      <c r="B6216" s="2"/>
      <c r="C6216" s="1"/>
      <c r="D6216" s="2"/>
      <c r="E6216" s="2"/>
      <c r="F6216" s="2"/>
      <c r="G6216" s="2"/>
      <c r="H6216" s="2"/>
      <c r="I6216" s="2"/>
      <c r="J6216" s="2"/>
      <c r="K6216" s="2"/>
      <c r="L6216" s="2"/>
      <c r="M6216" s="2"/>
      <c r="N6216" s="2"/>
      <c r="O6216" s="2"/>
      <c r="P6216" s="2"/>
      <c r="Q6216" s="2"/>
      <c r="R6216" s="2"/>
      <c r="S6216" s="2"/>
      <c r="T6216" s="2"/>
      <c r="U6216" s="2"/>
      <c r="V6216" s="2"/>
      <c r="W6216" s="2"/>
    </row>
    <row r="6217" spans="1:23" x14ac:dyDescent="0.25">
      <c r="A6217" s="2"/>
      <c r="B6217" s="2"/>
      <c r="C6217" s="1"/>
      <c r="D6217" s="2"/>
      <c r="E6217" s="2"/>
      <c r="F6217" s="2"/>
      <c r="G6217" s="2"/>
      <c r="H6217" s="2"/>
      <c r="I6217" s="2"/>
      <c r="J6217" s="2"/>
      <c r="K6217" s="2"/>
      <c r="L6217" s="2"/>
      <c r="M6217" s="2"/>
      <c r="N6217" s="2"/>
      <c r="O6217" s="2"/>
      <c r="P6217" s="2"/>
      <c r="Q6217" s="2"/>
      <c r="R6217" s="2"/>
      <c r="S6217" s="2"/>
      <c r="T6217" s="2"/>
      <c r="U6217" s="2"/>
      <c r="V6217" s="2"/>
      <c r="W6217" s="2"/>
    </row>
    <row r="6218" spans="1:23" x14ac:dyDescent="0.25">
      <c r="A6218" s="2"/>
      <c r="B6218" s="2"/>
      <c r="C6218" s="1"/>
      <c r="D6218" s="2"/>
      <c r="E6218" s="2"/>
      <c r="F6218" s="2"/>
      <c r="G6218" s="2"/>
      <c r="H6218" s="2"/>
      <c r="I6218" s="2"/>
      <c r="J6218" s="2"/>
      <c r="K6218" s="2"/>
      <c r="L6218" s="2"/>
      <c r="M6218" s="2"/>
      <c r="N6218" s="2"/>
      <c r="O6218" s="2"/>
      <c r="P6218" s="2"/>
      <c r="Q6218" s="2"/>
      <c r="R6218" s="2"/>
      <c r="S6218" s="2"/>
      <c r="T6218" s="2"/>
      <c r="U6218" s="2"/>
      <c r="V6218" s="2"/>
      <c r="W6218" s="2"/>
    </row>
    <row r="6219" spans="1:23" x14ac:dyDescent="0.25">
      <c r="A6219" s="2"/>
      <c r="B6219" s="2"/>
      <c r="C6219" s="1"/>
      <c r="D6219" s="2"/>
      <c r="E6219" s="2"/>
      <c r="F6219" s="2"/>
      <c r="G6219" s="2"/>
      <c r="H6219" s="2"/>
      <c r="I6219" s="2"/>
      <c r="J6219" s="2"/>
      <c r="K6219" s="2"/>
      <c r="L6219" s="2"/>
      <c r="M6219" s="2"/>
      <c r="N6219" s="2"/>
      <c r="O6219" s="2"/>
      <c r="P6219" s="2"/>
      <c r="Q6219" s="2"/>
      <c r="R6219" s="2"/>
      <c r="S6219" s="2"/>
      <c r="T6219" s="2"/>
      <c r="U6219" s="2"/>
      <c r="V6219" s="2"/>
      <c r="W6219" s="2"/>
    </row>
    <row r="6220" spans="1:23" x14ac:dyDescent="0.25">
      <c r="A6220" s="2"/>
      <c r="B6220" s="2"/>
      <c r="C6220" s="1"/>
      <c r="D6220" s="2"/>
      <c r="E6220" s="2"/>
      <c r="F6220" s="2"/>
      <c r="G6220" s="2"/>
      <c r="H6220" s="2"/>
      <c r="I6220" s="2"/>
      <c r="J6220" s="2"/>
      <c r="K6220" s="2"/>
      <c r="L6220" s="2"/>
      <c r="M6220" s="2"/>
      <c r="N6220" s="2"/>
      <c r="O6220" s="2"/>
      <c r="P6220" s="2"/>
      <c r="Q6220" s="2"/>
      <c r="R6220" s="2"/>
      <c r="S6220" s="2"/>
      <c r="T6220" s="2"/>
      <c r="U6220" s="2"/>
      <c r="V6220" s="2"/>
      <c r="W6220" s="2"/>
    </row>
    <row r="6221" spans="1:23" x14ac:dyDescent="0.25">
      <c r="A6221" s="2"/>
      <c r="B6221" s="2"/>
      <c r="C6221" s="1"/>
      <c r="D6221" s="2"/>
      <c r="E6221" s="2"/>
      <c r="F6221" s="2"/>
      <c r="G6221" s="2"/>
      <c r="H6221" s="2"/>
      <c r="I6221" s="2"/>
      <c r="J6221" s="2"/>
      <c r="K6221" s="2"/>
      <c r="L6221" s="2"/>
      <c r="M6221" s="2"/>
      <c r="N6221" s="2"/>
      <c r="O6221" s="2"/>
      <c r="P6221" s="2"/>
      <c r="Q6221" s="2"/>
      <c r="R6221" s="2"/>
      <c r="S6221" s="2"/>
      <c r="T6221" s="2"/>
      <c r="U6221" s="2"/>
      <c r="V6221" s="2"/>
      <c r="W6221" s="2"/>
    </row>
    <row r="6222" spans="1:23" x14ac:dyDescent="0.25">
      <c r="A6222" s="2"/>
      <c r="B6222" s="2"/>
      <c r="C6222" s="1"/>
      <c r="D6222" s="2"/>
      <c r="E6222" s="2"/>
      <c r="F6222" s="2"/>
      <c r="G6222" s="2"/>
      <c r="H6222" s="2"/>
      <c r="I6222" s="2"/>
      <c r="J6222" s="2"/>
      <c r="K6222" s="2"/>
      <c r="L6222" s="2"/>
      <c r="M6222" s="2"/>
      <c r="N6222" s="2"/>
      <c r="O6222" s="2"/>
      <c r="P6222" s="2"/>
      <c r="Q6222" s="2"/>
      <c r="R6222" s="2"/>
      <c r="S6222" s="2"/>
      <c r="T6222" s="2"/>
      <c r="U6222" s="2"/>
      <c r="V6222" s="2"/>
      <c r="W6222" s="2"/>
    </row>
    <row r="6223" spans="1:23" x14ac:dyDescent="0.25">
      <c r="A6223" s="2"/>
      <c r="B6223" s="2"/>
      <c r="C6223" s="1"/>
      <c r="D6223" s="2"/>
      <c r="E6223" s="2"/>
      <c r="F6223" s="2"/>
      <c r="G6223" s="2"/>
      <c r="H6223" s="2"/>
      <c r="I6223" s="2"/>
      <c r="J6223" s="2"/>
      <c r="K6223" s="2"/>
      <c r="L6223" s="2"/>
      <c r="M6223" s="2"/>
      <c r="N6223" s="2"/>
      <c r="O6223" s="2"/>
      <c r="P6223" s="2"/>
      <c r="Q6223" s="2"/>
      <c r="R6223" s="2"/>
      <c r="S6223" s="2"/>
      <c r="T6223" s="2"/>
      <c r="U6223" s="2"/>
      <c r="V6223" s="2"/>
      <c r="W6223" s="2"/>
    </row>
    <row r="6224" spans="1:23" x14ac:dyDescent="0.25">
      <c r="A6224" s="2"/>
      <c r="B6224" s="2"/>
      <c r="C6224" s="1"/>
      <c r="D6224" s="2"/>
      <c r="E6224" s="2"/>
      <c r="F6224" s="2"/>
      <c r="G6224" s="2"/>
      <c r="H6224" s="2"/>
      <c r="I6224" s="2"/>
      <c r="J6224" s="2"/>
      <c r="K6224" s="2"/>
      <c r="L6224" s="2"/>
      <c r="M6224" s="2"/>
      <c r="N6224" s="2"/>
      <c r="O6224" s="2"/>
      <c r="P6224" s="2"/>
      <c r="Q6224" s="2"/>
      <c r="R6224" s="2"/>
      <c r="S6224" s="2"/>
      <c r="T6224" s="2"/>
      <c r="U6224" s="2"/>
      <c r="V6224" s="2"/>
      <c r="W6224" s="2"/>
    </row>
    <row r="6225" spans="1:23" x14ac:dyDescent="0.25">
      <c r="A6225" s="2"/>
      <c r="B6225" s="2"/>
      <c r="C6225" s="1"/>
      <c r="D6225" s="2"/>
      <c r="E6225" s="2"/>
      <c r="F6225" s="2"/>
      <c r="G6225" s="2"/>
      <c r="H6225" s="2"/>
      <c r="I6225" s="2"/>
      <c r="J6225" s="2"/>
      <c r="K6225" s="2"/>
      <c r="L6225" s="2"/>
      <c r="M6225" s="2"/>
      <c r="N6225" s="2"/>
      <c r="O6225" s="2"/>
      <c r="P6225" s="2"/>
      <c r="Q6225" s="2"/>
      <c r="R6225" s="2"/>
      <c r="S6225" s="2"/>
      <c r="T6225" s="2"/>
      <c r="U6225" s="2"/>
      <c r="V6225" s="2"/>
      <c r="W6225" s="2"/>
    </row>
    <row r="6226" spans="1:23" x14ac:dyDescent="0.25">
      <c r="A6226" s="2"/>
      <c r="B6226" s="2"/>
      <c r="C6226" s="1"/>
      <c r="D6226" s="2"/>
      <c r="E6226" s="2"/>
      <c r="F6226" s="2"/>
      <c r="G6226" s="2"/>
      <c r="H6226" s="2"/>
      <c r="I6226" s="2"/>
      <c r="J6226" s="2"/>
      <c r="K6226" s="2"/>
      <c r="L6226" s="2"/>
      <c r="M6226" s="2"/>
      <c r="N6226" s="2"/>
      <c r="O6226" s="2"/>
      <c r="P6226" s="2"/>
      <c r="Q6226" s="2"/>
      <c r="R6226" s="2"/>
      <c r="S6226" s="2"/>
      <c r="T6226" s="2"/>
      <c r="U6226" s="2"/>
      <c r="V6226" s="2"/>
      <c r="W6226" s="2"/>
    </row>
    <row r="6227" spans="1:23" x14ac:dyDescent="0.25">
      <c r="A6227" s="2"/>
      <c r="B6227" s="2"/>
      <c r="C6227" s="1"/>
      <c r="D6227" s="2"/>
      <c r="E6227" s="2"/>
      <c r="F6227" s="2"/>
      <c r="G6227" s="2"/>
      <c r="H6227" s="2"/>
      <c r="I6227" s="2"/>
      <c r="J6227" s="2"/>
      <c r="K6227" s="2"/>
      <c r="L6227" s="2"/>
      <c r="M6227" s="2"/>
      <c r="N6227" s="2"/>
      <c r="O6227" s="2"/>
      <c r="P6227" s="2"/>
      <c r="Q6227" s="2"/>
      <c r="R6227" s="2"/>
      <c r="S6227" s="2"/>
      <c r="T6227" s="2"/>
      <c r="U6227" s="2"/>
      <c r="V6227" s="2"/>
      <c r="W6227" s="2"/>
    </row>
    <row r="6228" spans="1:23" x14ac:dyDescent="0.25">
      <c r="A6228" s="2"/>
      <c r="B6228" s="2"/>
      <c r="C6228" s="1"/>
      <c r="D6228" s="2"/>
      <c r="E6228" s="2"/>
      <c r="F6228" s="2"/>
      <c r="G6228" s="2"/>
      <c r="H6228" s="2"/>
      <c r="I6228" s="2"/>
      <c r="J6228" s="2"/>
      <c r="K6228" s="2"/>
      <c r="L6228" s="2"/>
      <c r="M6228" s="2"/>
      <c r="N6228" s="2"/>
      <c r="O6228" s="2"/>
      <c r="P6228" s="2"/>
      <c r="Q6228" s="2"/>
      <c r="R6228" s="2"/>
      <c r="S6228" s="2"/>
      <c r="T6228" s="2"/>
      <c r="U6228" s="2"/>
      <c r="V6228" s="2"/>
      <c r="W6228" s="2"/>
    </row>
    <row r="6229" spans="1:23" x14ac:dyDescent="0.25">
      <c r="A6229" s="2"/>
      <c r="B6229" s="2"/>
      <c r="C6229" s="1"/>
      <c r="D6229" s="2"/>
      <c r="E6229" s="2"/>
      <c r="F6229" s="2"/>
      <c r="G6229" s="2"/>
      <c r="H6229" s="2"/>
      <c r="I6229" s="2"/>
      <c r="J6229" s="2"/>
      <c r="K6229" s="2"/>
      <c r="L6229" s="2"/>
      <c r="M6229" s="2"/>
      <c r="N6229" s="2"/>
      <c r="O6229" s="2"/>
      <c r="P6229" s="2"/>
      <c r="Q6229" s="2"/>
      <c r="R6229" s="2"/>
      <c r="S6229" s="2"/>
      <c r="T6229" s="2"/>
      <c r="U6229" s="2"/>
      <c r="V6229" s="2"/>
      <c r="W6229" s="2"/>
    </row>
    <row r="6230" spans="1:23" x14ac:dyDescent="0.25">
      <c r="A6230" s="2"/>
      <c r="B6230" s="2"/>
      <c r="C6230" s="1"/>
      <c r="D6230" s="2"/>
      <c r="E6230" s="2"/>
      <c r="F6230" s="2"/>
      <c r="G6230" s="2"/>
      <c r="H6230" s="2"/>
      <c r="I6230" s="2"/>
      <c r="J6230" s="2"/>
      <c r="K6230" s="2"/>
      <c r="L6230" s="2"/>
      <c r="M6230" s="2"/>
      <c r="N6230" s="2"/>
      <c r="O6230" s="2"/>
      <c r="P6230" s="2"/>
      <c r="Q6230" s="2"/>
      <c r="R6230" s="2"/>
      <c r="S6230" s="2"/>
      <c r="T6230" s="2"/>
      <c r="U6230" s="2"/>
      <c r="V6230" s="2"/>
      <c r="W6230" s="2"/>
    </row>
    <row r="6231" spans="1:23" x14ac:dyDescent="0.25">
      <c r="A6231" s="2"/>
      <c r="B6231" s="2"/>
      <c r="C6231" s="1"/>
      <c r="D6231" s="2"/>
      <c r="E6231" s="2"/>
      <c r="F6231" s="2"/>
      <c r="G6231" s="2"/>
      <c r="H6231" s="2"/>
      <c r="I6231" s="2"/>
      <c r="J6231" s="2"/>
      <c r="K6231" s="2"/>
      <c r="L6231" s="2"/>
      <c r="M6231" s="2"/>
      <c r="N6231" s="2"/>
      <c r="O6231" s="2"/>
      <c r="P6231" s="2"/>
      <c r="Q6231" s="2"/>
      <c r="R6231" s="2"/>
      <c r="S6231" s="2"/>
      <c r="T6231" s="2"/>
      <c r="U6231" s="2"/>
      <c r="V6231" s="2"/>
      <c r="W6231" s="2"/>
    </row>
    <row r="6232" spans="1:23" x14ac:dyDescent="0.25">
      <c r="A6232" s="2"/>
      <c r="B6232" s="2"/>
      <c r="C6232" s="1"/>
      <c r="D6232" s="2"/>
      <c r="E6232" s="2"/>
      <c r="F6232" s="2"/>
      <c r="G6232" s="2"/>
      <c r="H6232" s="2"/>
      <c r="I6232" s="2"/>
      <c r="J6232" s="2"/>
      <c r="K6232" s="2"/>
      <c r="L6232" s="2"/>
      <c r="M6232" s="2"/>
      <c r="N6232" s="2"/>
      <c r="O6232" s="2"/>
      <c r="P6232" s="2"/>
      <c r="Q6232" s="2"/>
      <c r="R6232" s="2"/>
      <c r="S6232" s="2"/>
      <c r="T6232" s="2"/>
      <c r="U6232" s="2"/>
      <c r="V6232" s="2"/>
      <c r="W6232" s="2"/>
    </row>
    <row r="6233" spans="1:23" x14ac:dyDescent="0.25">
      <c r="A6233" s="2"/>
      <c r="B6233" s="2"/>
      <c r="C6233" s="1"/>
      <c r="D6233" s="2"/>
      <c r="E6233" s="2"/>
      <c r="F6233" s="2"/>
      <c r="G6233" s="2"/>
      <c r="H6233" s="2"/>
      <c r="I6233" s="2"/>
      <c r="J6233" s="2"/>
      <c r="K6233" s="2"/>
      <c r="L6233" s="2"/>
      <c r="M6233" s="2"/>
      <c r="N6233" s="2"/>
      <c r="O6233" s="2"/>
      <c r="P6233" s="2"/>
      <c r="Q6233" s="2"/>
      <c r="R6233" s="2"/>
      <c r="S6233" s="2"/>
      <c r="T6233" s="2"/>
      <c r="U6233" s="2"/>
      <c r="V6233" s="2"/>
      <c r="W6233" s="2"/>
    </row>
    <row r="6234" spans="1:23" x14ac:dyDescent="0.25">
      <c r="A6234" s="2"/>
      <c r="B6234" s="2"/>
      <c r="C6234" s="1"/>
      <c r="D6234" s="2"/>
      <c r="E6234" s="2"/>
      <c r="F6234" s="2"/>
      <c r="G6234" s="2"/>
      <c r="H6234" s="2"/>
      <c r="I6234" s="2"/>
      <c r="J6234" s="2"/>
      <c r="K6234" s="2"/>
      <c r="L6234" s="2"/>
      <c r="M6234" s="2"/>
      <c r="N6234" s="2"/>
      <c r="O6234" s="2"/>
      <c r="P6234" s="2"/>
      <c r="Q6234" s="2"/>
      <c r="R6234" s="2"/>
      <c r="S6234" s="2"/>
      <c r="T6234" s="2"/>
      <c r="U6234" s="2"/>
      <c r="V6234" s="2"/>
      <c r="W6234" s="2"/>
    </row>
    <row r="6235" spans="1:23" x14ac:dyDescent="0.25">
      <c r="A6235" s="2"/>
      <c r="B6235" s="2"/>
      <c r="C6235" s="1"/>
      <c r="D6235" s="2"/>
      <c r="E6235" s="2"/>
      <c r="F6235" s="2"/>
      <c r="G6235" s="2"/>
      <c r="H6235" s="2"/>
      <c r="I6235" s="2"/>
      <c r="J6235" s="2"/>
      <c r="K6235" s="2"/>
      <c r="L6235" s="2"/>
      <c r="M6235" s="2"/>
      <c r="N6235" s="2"/>
      <c r="O6235" s="2"/>
      <c r="P6235" s="2"/>
      <c r="Q6235" s="2"/>
      <c r="R6235" s="2"/>
      <c r="S6235" s="2"/>
      <c r="T6235" s="2"/>
      <c r="U6235" s="2"/>
      <c r="V6235" s="2"/>
      <c r="W6235" s="2"/>
    </row>
    <row r="6236" spans="1:23" x14ac:dyDescent="0.25">
      <c r="A6236" s="2"/>
      <c r="B6236" s="2"/>
      <c r="C6236" s="1"/>
      <c r="D6236" s="2"/>
      <c r="E6236" s="2"/>
      <c r="F6236" s="2"/>
      <c r="G6236" s="2"/>
      <c r="H6236" s="2"/>
      <c r="I6236" s="2"/>
      <c r="J6236" s="2"/>
      <c r="K6236" s="2"/>
      <c r="L6236" s="2"/>
      <c r="M6236" s="2"/>
      <c r="N6236" s="2"/>
      <c r="O6236" s="2"/>
      <c r="P6236" s="2"/>
      <c r="Q6236" s="2"/>
      <c r="R6236" s="2"/>
      <c r="S6236" s="2"/>
      <c r="T6236" s="2"/>
      <c r="U6236" s="2"/>
      <c r="V6236" s="2"/>
      <c r="W6236" s="2"/>
    </row>
    <row r="6237" spans="1:23" x14ac:dyDescent="0.25">
      <c r="A6237" s="2"/>
      <c r="B6237" s="2"/>
      <c r="C6237" s="1"/>
      <c r="D6237" s="2"/>
      <c r="E6237" s="2"/>
      <c r="F6237" s="2"/>
      <c r="G6237" s="2"/>
      <c r="H6237" s="2"/>
      <c r="I6237" s="2"/>
      <c r="J6237" s="2"/>
      <c r="K6237" s="2"/>
      <c r="L6237" s="2"/>
      <c r="M6237" s="2"/>
      <c r="N6237" s="2"/>
      <c r="O6237" s="2"/>
      <c r="P6237" s="2"/>
      <c r="Q6237" s="2"/>
      <c r="R6237" s="2"/>
      <c r="S6237" s="2"/>
      <c r="T6237" s="2"/>
      <c r="U6237" s="2"/>
      <c r="V6237" s="2"/>
      <c r="W6237" s="2"/>
    </row>
    <row r="6238" spans="1:23" x14ac:dyDescent="0.25">
      <c r="A6238" s="2"/>
      <c r="B6238" s="2"/>
      <c r="C6238" s="1"/>
      <c r="D6238" s="2"/>
      <c r="E6238" s="2"/>
      <c r="F6238" s="2"/>
      <c r="G6238" s="2"/>
      <c r="H6238" s="2"/>
      <c r="I6238" s="2"/>
      <c r="J6238" s="2"/>
      <c r="K6238" s="2"/>
      <c r="L6238" s="2"/>
      <c r="M6238" s="2"/>
      <c r="N6238" s="2"/>
      <c r="O6238" s="2"/>
      <c r="P6238" s="2"/>
      <c r="Q6238" s="2"/>
      <c r="R6238" s="2"/>
      <c r="S6238" s="2"/>
      <c r="T6238" s="2"/>
      <c r="U6238" s="2"/>
      <c r="V6238" s="2"/>
      <c r="W6238" s="2"/>
    </row>
    <row r="6239" spans="1:23" x14ac:dyDescent="0.25">
      <c r="A6239" s="2"/>
      <c r="B6239" s="2"/>
      <c r="C6239" s="1"/>
      <c r="D6239" s="2"/>
      <c r="E6239" s="2"/>
      <c r="F6239" s="2"/>
      <c r="G6239" s="2"/>
      <c r="H6239" s="2"/>
      <c r="I6239" s="2"/>
      <c r="J6239" s="2"/>
      <c r="K6239" s="2"/>
      <c r="L6239" s="2"/>
      <c r="M6239" s="2"/>
      <c r="N6239" s="2"/>
      <c r="O6239" s="2"/>
      <c r="P6239" s="2"/>
      <c r="Q6239" s="2"/>
      <c r="R6239" s="2"/>
      <c r="S6239" s="2"/>
      <c r="T6239" s="2"/>
      <c r="U6239" s="2"/>
      <c r="V6239" s="2"/>
      <c r="W6239" s="2"/>
    </row>
    <row r="6240" spans="1:23" x14ac:dyDescent="0.25">
      <c r="A6240" s="2"/>
      <c r="B6240" s="2"/>
      <c r="C6240" s="1"/>
      <c r="D6240" s="2"/>
      <c r="E6240" s="2"/>
      <c r="F6240" s="2"/>
      <c r="G6240" s="2"/>
      <c r="H6240" s="2"/>
      <c r="I6240" s="2"/>
      <c r="J6240" s="2"/>
      <c r="K6240" s="2"/>
      <c r="L6240" s="2"/>
      <c r="M6240" s="2"/>
      <c r="N6240" s="2"/>
      <c r="O6240" s="2"/>
      <c r="P6240" s="2"/>
      <c r="Q6240" s="2"/>
      <c r="R6240" s="2"/>
      <c r="S6240" s="2"/>
      <c r="T6240" s="2"/>
      <c r="U6240" s="2"/>
      <c r="V6240" s="2"/>
      <c r="W6240" s="2"/>
    </row>
    <row r="6241" spans="1:23" x14ac:dyDescent="0.25">
      <c r="A6241" s="2"/>
      <c r="B6241" s="2"/>
      <c r="C6241" s="1"/>
      <c r="D6241" s="2"/>
      <c r="E6241" s="2"/>
      <c r="F6241" s="2"/>
      <c r="G6241" s="2"/>
      <c r="H6241" s="2"/>
      <c r="I6241" s="2"/>
      <c r="J6241" s="2"/>
      <c r="K6241" s="2"/>
      <c r="L6241" s="2"/>
      <c r="M6241" s="2"/>
      <c r="N6241" s="2"/>
      <c r="O6241" s="2"/>
      <c r="P6241" s="2"/>
      <c r="Q6241" s="2"/>
      <c r="R6241" s="2"/>
      <c r="S6241" s="2"/>
      <c r="T6241" s="2"/>
      <c r="U6241" s="2"/>
      <c r="V6241" s="2"/>
      <c r="W6241" s="2"/>
    </row>
    <row r="6242" spans="1:23" x14ac:dyDescent="0.25">
      <c r="A6242" s="2"/>
      <c r="B6242" s="2"/>
      <c r="C6242" s="1"/>
      <c r="D6242" s="2"/>
      <c r="E6242" s="2"/>
      <c r="F6242" s="2"/>
      <c r="G6242" s="2"/>
      <c r="H6242" s="2"/>
      <c r="I6242" s="2"/>
      <c r="J6242" s="2"/>
      <c r="K6242" s="2"/>
      <c r="L6242" s="2"/>
      <c r="M6242" s="2"/>
      <c r="N6242" s="2"/>
      <c r="O6242" s="2"/>
      <c r="P6242" s="2"/>
      <c r="Q6242" s="2"/>
      <c r="R6242" s="2"/>
      <c r="S6242" s="2"/>
      <c r="T6242" s="2"/>
      <c r="U6242" s="2"/>
      <c r="V6242" s="2"/>
      <c r="W6242" s="2"/>
    </row>
    <row r="6243" spans="1:23" x14ac:dyDescent="0.25">
      <c r="A6243" s="2"/>
      <c r="B6243" s="2"/>
      <c r="C6243" s="1"/>
      <c r="D6243" s="2"/>
      <c r="E6243" s="2"/>
      <c r="F6243" s="2"/>
      <c r="G6243" s="2"/>
      <c r="H6243" s="2"/>
      <c r="I6243" s="2"/>
      <c r="J6243" s="2"/>
      <c r="K6243" s="2"/>
      <c r="L6243" s="2"/>
      <c r="M6243" s="2"/>
      <c r="N6243" s="2"/>
      <c r="O6243" s="2"/>
      <c r="P6243" s="2"/>
      <c r="Q6243" s="2"/>
      <c r="R6243" s="2"/>
      <c r="S6243" s="2"/>
      <c r="T6243" s="2"/>
      <c r="U6243" s="2"/>
      <c r="V6243" s="2"/>
      <c r="W6243" s="2"/>
    </row>
    <row r="6244" spans="1:23" x14ac:dyDescent="0.25">
      <c r="A6244" s="2"/>
      <c r="B6244" s="2"/>
      <c r="C6244" s="1"/>
      <c r="D6244" s="2"/>
      <c r="E6244" s="2"/>
      <c r="F6244" s="2"/>
      <c r="G6244" s="2"/>
      <c r="H6244" s="2"/>
      <c r="I6244" s="2"/>
      <c r="J6244" s="2"/>
      <c r="K6244" s="2"/>
      <c r="L6244" s="2"/>
      <c r="M6244" s="2"/>
      <c r="N6244" s="2"/>
      <c r="O6244" s="2"/>
      <c r="P6244" s="2"/>
      <c r="Q6244" s="2"/>
      <c r="R6244" s="2"/>
      <c r="S6244" s="2"/>
      <c r="T6244" s="2"/>
      <c r="U6244" s="2"/>
      <c r="V6244" s="2"/>
      <c r="W6244" s="2"/>
    </row>
    <row r="6245" spans="1:23" x14ac:dyDescent="0.25">
      <c r="A6245" s="2"/>
      <c r="B6245" s="2"/>
      <c r="C6245" s="1"/>
      <c r="D6245" s="2"/>
      <c r="E6245" s="2"/>
      <c r="F6245" s="2"/>
      <c r="G6245" s="2"/>
      <c r="H6245" s="2"/>
      <c r="I6245" s="2"/>
      <c r="J6245" s="2"/>
      <c r="K6245" s="2"/>
      <c r="L6245" s="2"/>
      <c r="M6245" s="2"/>
      <c r="N6245" s="2"/>
      <c r="O6245" s="2"/>
      <c r="P6245" s="2"/>
      <c r="Q6245" s="2"/>
      <c r="R6245" s="2"/>
      <c r="S6245" s="2"/>
      <c r="T6245" s="2"/>
      <c r="U6245" s="2"/>
      <c r="V6245" s="2"/>
      <c r="W6245" s="2"/>
    </row>
    <row r="6246" spans="1:23" x14ac:dyDescent="0.25">
      <c r="A6246" s="2"/>
      <c r="B6246" s="2"/>
      <c r="C6246" s="1"/>
      <c r="D6246" s="2"/>
      <c r="E6246" s="2"/>
      <c r="F6246" s="2"/>
      <c r="G6246" s="2"/>
      <c r="H6246" s="2"/>
      <c r="I6246" s="2"/>
      <c r="J6246" s="2"/>
      <c r="K6246" s="2"/>
      <c r="L6246" s="2"/>
      <c r="M6246" s="2"/>
      <c r="N6246" s="2"/>
      <c r="O6246" s="2"/>
      <c r="P6246" s="2"/>
      <c r="Q6246" s="2"/>
      <c r="R6246" s="2"/>
      <c r="S6246" s="2"/>
      <c r="T6246" s="2"/>
      <c r="U6246" s="2"/>
      <c r="V6246" s="2"/>
      <c r="W6246" s="2"/>
    </row>
    <row r="6247" spans="1:23" x14ac:dyDescent="0.25">
      <c r="A6247" s="2"/>
      <c r="B6247" s="2"/>
      <c r="C6247" s="1"/>
      <c r="D6247" s="2"/>
      <c r="E6247" s="2"/>
      <c r="F6247" s="2"/>
      <c r="G6247" s="2"/>
      <c r="H6247" s="2"/>
      <c r="I6247" s="2"/>
      <c r="J6247" s="2"/>
      <c r="K6247" s="2"/>
      <c r="L6247" s="2"/>
      <c r="M6247" s="2"/>
      <c r="N6247" s="2"/>
      <c r="O6247" s="2"/>
      <c r="P6247" s="2"/>
      <c r="Q6247" s="2"/>
      <c r="R6247" s="2"/>
      <c r="S6247" s="2"/>
      <c r="T6247" s="2"/>
      <c r="U6247" s="2"/>
      <c r="V6247" s="2"/>
      <c r="W6247" s="2"/>
    </row>
    <row r="6248" spans="1:23" x14ac:dyDescent="0.25">
      <c r="A6248" s="2"/>
      <c r="B6248" s="2"/>
      <c r="C6248" s="1"/>
      <c r="D6248" s="2"/>
      <c r="E6248" s="2"/>
      <c r="F6248" s="2"/>
      <c r="G6248" s="2"/>
      <c r="H6248" s="2"/>
      <c r="I6248" s="2"/>
      <c r="J6248" s="2"/>
      <c r="K6248" s="2"/>
      <c r="L6248" s="2"/>
      <c r="M6248" s="2"/>
      <c r="N6248" s="2"/>
      <c r="O6248" s="2"/>
      <c r="P6248" s="2"/>
      <c r="Q6248" s="2"/>
      <c r="R6248" s="2"/>
      <c r="S6248" s="2"/>
      <c r="T6248" s="2"/>
      <c r="U6248" s="2"/>
      <c r="V6248" s="2"/>
      <c r="W6248" s="2"/>
    </row>
    <row r="6249" spans="1:23" x14ac:dyDescent="0.25">
      <c r="A6249" s="2"/>
      <c r="B6249" s="2"/>
      <c r="C6249" s="1"/>
      <c r="D6249" s="2"/>
      <c r="E6249" s="2"/>
      <c r="F6249" s="2"/>
      <c r="G6249" s="2"/>
      <c r="H6249" s="2"/>
      <c r="I6249" s="2"/>
      <c r="J6249" s="2"/>
      <c r="K6249" s="2"/>
      <c r="L6249" s="2"/>
      <c r="M6249" s="2"/>
      <c r="N6249" s="2"/>
      <c r="O6249" s="2"/>
      <c r="P6249" s="2"/>
      <c r="Q6249" s="2"/>
      <c r="R6249" s="2"/>
      <c r="S6249" s="2"/>
      <c r="T6249" s="2"/>
      <c r="U6249" s="2"/>
      <c r="V6249" s="2"/>
      <c r="W6249" s="2"/>
    </row>
    <row r="6250" spans="1:23" x14ac:dyDescent="0.25">
      <c r="A6250" s="2"/>
      <c r="B6250" s="2"/>
      <c r="C6250" s="1"/>
      <c r="D6250" s="2"/>
      <c r="E6250" s="2"/>
      <c r="F6250" s="2"/>
      <c r="G6250" s="2"/>
      <c r="H6250" s="2"/>
      <c r="I6250" s="2"/>
      <c r="J6250" s="2"/>
      <c r="K6250" s="2"/>
      <c r="L6250" s="2"/>
      <c r="M6250" s="2"/>
      <c r="N6250" s="2"/>
      <c r="O6250" s="2"/>
      <c r="P6250" s="2"/>
      <c r="Q6250" s="2"/>
      <c r="R6250" s="2"/>
      <c r="S6250" s="2"/>
      <c r="T6250" s="2"/>
      <c r="U6250" s="2"/>
      <c r="V6250" s="2"/>
      <c r="W6250" s="2"/>
    </row>
    <row r="6251" spans="1:23" x14ac:dyDescent="0.25">
      <c r="A6251" s="2"/>
      <c r="B6251" s="2"/>
      <c r="C6251" s="1"/>
      <c r="D6251" s="2"/>
      <c r="E6251" s="2"/>
      <c r="F6251" s="2"/>
      <c r="G6251" s="2"/>
      <c r="H6251" s="2"/>
      <c r="I6251" s="2"/>
      <c r="J6251" s="2"/>
      <c r="K6251" s="2"/>
      <c r="L6251" s="2"/>
      <c r="M6251" s="2"/>
      <c r="N6251" s="2"/>
      <c r="O6251" s="2"/>
      <c r="P6251" s="2"/>
      <c r="Q6251" s="2"/>
      <c r="R6251" s="2"/>
      <c r="S6251" s="2"/>
      <c r="T6251" s="2"/>
      <c r="U6251" s="2"/>
      <c r="V6251" s="2"/>
      <c r="W6251" s="2"/>
    </row>
    <row r="6252" spans="1:23" x14ac:dyDescent="0.25">
      <c r="A6252" s="2"/>
      <c r="B6252" s="2"/>
      <c r="C6252" s="1"/>
      <c r="D6252" s="2"/>
      <c r="E6252" s="2"/>
      <c r="F6252" s="2"/>
      <c r="G6252" s="2"/>
      <c r="H6252" s="2"/>
      <c r="I6252" s="2"/>
      <c r="J6252" s="2"/>
      <c r="K6252" s="2"/>
      <c r="L6252" s="2"/>
      <c r="M6252" s="2"/>
      <c r="N6252" s="2"/>
      <c r="O6252" s="2"/>
      <c r="P6252" s="2"/>
      <c r="Q6252" s="2"/>
      <c r="R6252" s="2"/>
      <c r="S6252" s="2"/>
      <c r="T6252" s="2"/>
      <c r="U6252" s="2"/>
      <c r="V6252" s="2"/>
      <c r="W6252" s="2"/>
    </row>
    <row r="6253" spans="1:23" x14ac:dyDescent="0.25">
      <c r="A6253" s="2"/>
      <c r="B6253" s="2"/>
      <c r="C6253" s="1"/>
      <c r="D6253" s="2"/>
      <c r="E6253" s="2"/>
      <c r="F6253" s="2"/>
      <c r="G6253" s="2"/>
      <c r="H6253" s="2"/>
      <c r="I6253" s="2"/>
      <c r="J6253" s="2"/>
      <c r="K6253" s="2"/>
      <c r="L6253" s="2"/>
      <c r="M6253" s="2"/>
      <c r="N6253" s="2"/>
      <c r="O6253" s="2"/>
      <c r="P6253" s="2"/>
      <c r="Q6253" s="2"/>
      <c r="R6253" s="2"/>
      <c r="S6253" s="2"/>
      <c r="T6253" s="2"/>
      <c r="U6253" s="2"/>
      <c r="V6253" s="2"/>
      <c r="W6253" s="2"/>
    </row>
    <row r="6254" spans="1:23" x14ac:dyDescent="0.25">
      <c r="A6254" s="2"/>
      <c r="B6254" s="2"/>
      <c r="C6254" s="1"/>
      <c r="D6254" s="2"/>
      <c r="E6254" s="2"/>
      <c r="F6254" s="2"/>
      <c r="G6254" s="2"/>
      <c r="H6254" s="2"/>
      <c r="I6254" s="2"/>
      <c r="J6254" s="2"/>
      <c r="K6254" s="2"/>
      <c r="L6254" s="2"/>
      <c r="M6254" s="2"/>
      <c r="N6254" s="2"/>
      <c r="O6254" s="2"/>
      <c r="P6254" s="2"/>
      <c r="Q6254" s="2"/>
      <c r="R6254" s="2"/>
      <c r="S6254" s="2"/>
      <c r="T6254" s="2"/>
      <c r="U6254" s="2"/>
      <c r="V6254" s="2"/>
      <c r="W6254" s="2"/>
    </row>
    <row r="6255" spans="1:23" x14ac:dyDescent="0.25">
      <c r="A6255" s="2"/>
      <c r="B6255" s="2"/>
      <c r="C6255" s="1"/>
      <c r="D6255" s="2"/>
      <c r="E6255" s="2"/>
      <c r="F6255" s="2"/>
      <c r="G6255" s="2"/>
      <c r="H6255" s="2"/>
      <c r="I6255" s="2"/>
      <c r="J6255" s="2"/>
      <c r="K6255" s="2"/>
      <c r="L6255" s="2"/>
      <c r="M6255" s="2"/>
      <c r="N6255" s="2"/>
      <c r="O6255" s="2"/>
      <c r="P6255" s="2"/>
      <c r="Q6255" s="2"/>
      <c r="R6255" s="2"/>
      <c r="S6255" s="2"/>
      <c r="T6255" s="2"/>
      <c r="U6255" s="2"/>
      <c r="V6255" s="2"/>
      <c r="W6255" s="2"/>
    </row>
    <row r="6256" spans="1:23" x14ac:dyDescent="0.25">
      <c r="A6256" s="2"/>
      <c r="B6256" s="2"/>
      <c r="C6256" s="1"/>
      <c r="D6256" s="2"/>
      <c r="E6256" s="2"/>
      <c r="F6256" s="2"/>
      <c r="G6256" s="2"/>
      <c r="H6256" s="2"/>
      <c r="I6256" s="2"/>
      <c r="J6256" s="2"/>
      <c r="K6256" s="2"/>
      <c r="L6256" s="2"/>
      <c r="M6256" s="2"/>
      <c r="N6256" s="2"/>
      <c r="O6256" s="2"/>
      <c r="P6256" s="2"/>
      <c r="Q6256" s="2"/>
      <c r="R6256" s="2"/>
      <c r="S6256" s="2"/>
      <c r="T6256" s="2"/>
      <c r="U6256" s="2"/>
      <c r="V6256" s="2"/>
      <c r="W6256" s="2"/>
    </row>
    <row r="6257" spans="1:23" x14ac:dyDescent="0.25">
      <c r="A6257" s="2"/>
      <c r="B6257" s="2"/>
      <c r="C6257" s="1"/>
      <c r="D6257" s="2"/>
      <c r="E6257" s="2"/>
      <c r="F6257" s="2"/>
      <c r="G6257" s="2"/>
      <c r="H6257" s="2"/>
      <c r="I6257" s="2"/>
      <c r="J6257" s="2"/>
      <c r="K6257" s="2"/>
      <c r="L6257" s="2"/>
      <c r="M6257" s="2"/>
      <c r="N6257" s="2"/>
      <c r="O6257" s="2"/>
      <c r="P6257" s="2"/>
      <c r="Q6257" s="2"/>
      <c r="R6257" s="2"/>
      <c r="S6257" s="2"/>
      <c r="T6257" s="2"/>
      <c r="U6257" s="2"/>
      <c r="V6257" s="2"/>
      <c r="W6257" s="2"/>
    </row>
    <row r="6258" spans="1:23" x14ac:dyDescent="0.25">
      <c r="A6258" s="2"/>
      <c r="B6258" s="2"/>
      <c r="C6258" s="1"/>
      <c r="D6258" s="2"/>
      <c r="E6258" s="2"/>
      <c r="F6258" s="2"/>
      <c r="G6258" s="2"/>
      <c r="H6258" s="2"/>
      <c r="I6258" s="2"/>
      <c r="J6258" s="2"/>
      <c r="K6258" s="2"/>
      <c r="L6258" s="2"/>
      <c r="M6258" s="2"/>
      <c r="N6258" s="2"/>
      <c r="O6258" s="2"/>
      <c r="P6258" s="2"/>
      <c r="Q6258" s="2"/>
      <c r="R6258" s="2"/>
      <c r="S6258" s="2"/>
      <c r="T6258" s="2"/>
      <c r="U6258" s="2"/>
      <c r="V6258" s="2"/>
      <c r="W6258" s="2"/>
    </row>
    <row r="6259" spans="1:23" x14ac:dyDescent="0.25">
      <c r="A6259" s="2"/>
      <c r="B6259" s="2"/>
      <c r="C6259" s="1"/>
      <c r="D6259" s="2"/>
      <c r="E6259" s="2"/>
      <c r="F6259" s="2"/>
      <c r="G6259" s="2"/>
      <c r="H6259" s="2"/>
      <c r="I6259" s="2"/>
      <c r="J6259" s="2"/>
      <c r="K6259" s="2"/>
      <c r="L6259" s="2"/>
      <c r="M6259" s="2"/>
      <c r="N6259" s="2"/>
      <c r="O6259" s="2"/>
      <c r="P6259" s="2"/>
      <c r="Q6259" s="2"/>
      <c r="R6259" s="2"/>
      <c r="S6259" s="2"/>
      <c r="T6259" s="2"/>
      <c r="U6259" s="2"/>
      <c r="V6259" s="2"/>
      <c r="W6259" s="2"/>
    </row>
    <row r="6260" spans="1:23" x14ac:dyDescent="0.25">
      <c r="A6260" s="2"/>
      <c r="B6260" s="2"/>
      <c r="C6260" s="1"/>
      <c r="D6260" s="2"/>
      <c r="E6260" s="2"/>
      <c r="F6260" s="2"/>
      <c r="G6260" s="2"/>
      <c r="H6260" s="2"/>
      <c r="I6260" s="2"/>
      <c r="J6260" s="2"/>
      <c r="K6260" s="2"/>
      <c r="L6260" s="2"/>
      <c r="M6260" s="2"/>
      <c r="N6260" s="2"/>
      <c r="O6260" s="2"/>
      <c r="P6260" s="2"/>
      <c r="Q6260" s="2"/>
      <c r="R6260" s="2"/>
      <c r="S6260" s="2"/>
      <c r="T6260" s="2"/>
      <c r="U6260" s="2"/>
      <c r="V6260" s="2"/>
      <c r="W6260" s="2"/>
    </row>
    <row r="6261" spans="1:23" x14ac:dyDescent="0.25">
      <c r="A6261" s="2"/>
      <c r="B6261" s="2"/>
      <c r="C6261" s="1"/>
      <c r="D6261" s="2"/>
      <c r="E6261" s="2"/>
      <c r="F6261" s="2"/>
      <c r="G6261" s="2"/>
      <c r="H6261" s="2"/>
      <c r="I6261" s="2"/>
      <c r="J6261" s="2"/>
      <c r="K6261" s="2"/>
      <c r="L6261" s="2"/>
      <c r="M6261" s="2"/>
      <c r="N6261" s="2"/>
      <c r="O6261" s="2"/>
      <c r="P6261" s="2"/>
      <c r="Q6261" s="2"/>
      <c r="R6261" s="2"/>
      <c r="S6261" s="2"/>
      <c r="T6261" s="2"/>
      <c r="U6261" s="2"/>
      <c r="V6261" s="2"/>
      <c r="W6261" s="2"/>
    </row>
    <row r="6262" spans="1:23" x14ac:dyDescent="0.25">
      <c r="A6262" s="2"/>
      <c r="B6262" s="2"/>
      <c r="C6262" s="1"/>
      <c r="D6262" s="2"/>
      <c r="E6262" s="2"/>
      <c r="F6262" s="2"/>
      <c r="G6262" s="2"/>
      <c r="H6262" s="2"/>
      <c r="I6262" s="2"/>
      <c r="J6262" s="2"/>
      <c r="K6262" s="2"/>
      <c r="L6262" s="2"/>
      <c r="M6262" s="2"/>
      <c r="N6262" s="2"/>
      <c r="O6262" s="2"/>
      <c r="P6262" s="2"/>
      <c r="Q6262" s="2"/>
      <c r="R6262" s="2"/>
      <c r="S6262" s="2"/>
      <c r="T6262" s="2"/>
      <c r="U6262" s="2"/>
      <c r="V6262" s="2"/>
      <c r="W6262" s="2"/>
    </row>
    <row r="6263" spans="1:23" x14ac:dyDescent="0.25">
      <c r="A6263" s="2"/>
      <c r="B6263" s="2"/>
      <c r="C6263" s="1"/>
      <c r="D6263" s="2"/>
      <c r="E6263" s="2"/>
      <c r="F6263" s="2"/>
      <c r="G6263" s="2"/>
      <c r="H6263" s="2"/>
      <c r="I6263" s="2"/>
      <c r="J6263" s="2"/>
      <c r="K6263" s="2"/>
      <c r="L6263" s="2"/>
      <c r="M6263" s="2"/>
      <c r="N6263" s="2"/>
      <c r="O6263" s="2"/>
      <c r="P6263" s="2"/>
      <c r="Q6263" s="2"/>
      <c r="R6263" s="2"/>
      <c r="S6263" s="2"/>
      <c r="T6263" s="2"/>
      <c r="U6263" s="2"/>
      <c r="V6263" s="2"/>
      <c r="W6263" s="2"/>
    </row>
    <row r="6264" spans="1:23" x14ac:dyDescent="0.25">
      <c r="A6264" s="2"/>
      <c r="B6264" s="2"/>
      <c r="C6264" s="1"/>
      <c r="D6264" s="2"/>
      <c r="E6264" s="2"/>
      <c r="F6264" s="2"/>
      <c r="G6264" s="2"/>
      <c r="H6264" s="2"/>
      <c r="I6264" s="2"/>
      <c r="J6264" s="2"/>
      <c r="K6264" s="2"/>
      <c r="L6264" s="2"/>
      <c r="M6264" s="2"/>
      <c r="N6264" s="2"/>
      <c r="O6264" s="2"/>
      <c r="P6264" s="2"/>
      <c r="Q6264" s="2"/>
      <c r="R6264" s="2"/>
      <c r="S6264" s="2"/>
      <c r="T6264" s="2"/>
      <c r="U6264" s="2"/>
      <c r="V6264" s="2"/>
      <c r="W6264" s="2"/>
    </row>
    <row r="6265" spans="1:23" x14ac:dyDescent="0.25">
      <c r="A6265" s="2"/>
      <c r="B6265" s="2"/>
      <c r="C6265" s="1"/>
      <c r="D6265" s="2"/>
      <c r="E6265" s="2"/>
      <c r="F6265" s="2"/>
      <c r="G6265" s="2"/>
      <c r="H6265" s="2"/>
      <c r="I6265" s="2"/>
      <c r="J6265" s="2"/>
      <c r="K6265" s="2"/>
      <c r="L6265" s="2"/>
      <c r="M6265" s="2"/>
      <c r="N6265" s="2"/>
      <c r="O6265" s="2"/>
      <c r="P6265" s="2"/>
      <c r="Q6265" s="2"/>
      <c r="R6265" s="2"/>
      <c r="S6265" s="2"/>
      <c r="T6265" s="2"/>
      <c r="U6265" s="2"/>
      <c r="V6265" s="2"/>
      <c r="W6265" s="2"/>
    </row>
    <row r="6266" spans="1:23" x14ac:dyDescent="0.25">
      <c r="A6266" s="2"/>
      <c r="B6266" s="2"/>
      <c r="C6266" s="1"/>
      <c r="D6266" s="2"/>
      <c r="E6266" s="2"/>
      <c r="F6266" s="2"/>
      <c r="G6266" s="2"/>
      <c r="H6266" s="2"/>
      <c r="I6266" s="2"/>
      <c r="J6266" s="2"/>
      <c r="K6266" s="2"/>
      <c r="L6266" s="2"/>
      <c r="M6266" s="2"/>
      <c r="N6266" s="2"/>
      <c r="O6266" s="2"/>
      <c r="P6266" s="2"/>
      <c r="Q6266" s="2"/>
      <c r="R6266" s="2"/>
      <c r="S6266" s="2"/>
      <c r="T6266" s="2"/>
      <c r="U6266" s="2"/>
      <c r="V6266" s="2"/>
      <c r="W6266" s="2"/>
    </row>
    <row r="6267" spans="1:23" x14ac:dyDescent="0.25">
      <c r="A6267" s="2"/>
      <c r="B6267" s="2"/>
      <c r="C6267" s="1"/>
      <c r="D6267" s="2"/>
      <c r="E6267" s="2"/>
      <c r="F6267" s="2"/>
      <c r="G6267" s="2"/>
      <c r="H6267" s="2"/>
      <c r="I6267" s="2"/>
      <c r="J6267" s="2"/>
      <c r="K6267" s="2"/>
      <c r="L6267" s="2"/>
      <c r="M6267" s="2"/>
      <c r="N6267" s="2"/>
      <c r="O6267" s="2"/>
      <c r="P6267" s="2"/>
      <c r="Q6267" s="2"/>
      <c r="R6267" s="2"/>
      <c r="S6267" s="2"/>
      <c r="T6267" s="2"/>
      <c r="U6267" s="2"/>
      <c r="V6267" s="2"/>
      <c r="W6267" s="2"/>
    </row>
    <row r="6268" spans="1:23" x14ac:dyDescent="0.25">
      <c r="A6268" s="2"/>
      <c r="B6268" s="2"/>
      <c r="C6268" s="1"/>
      <c r="D6268" s="2"/>
      <c r="E6268" s="2"/>
      <c r="F6268" s="2"/>
      <c r="G6268" s="2"/>
      <c r="H6268" s="2"/>
      <c r="I6268" s="2"/>
      <c r="J6268" s="2"/>
      <c r="K6268" s="2"/>
      <c r="L6268" s="2"/>
      <c r="M6268" s="2"/>
      <c r="N6268" s="2"/>
      <c r="O6268" s="2"/>
      <c r="P6268" s="2"/>
      <c r="Q6268" s="2"/>
      <c r="R6268" s="2"/>
      <c r="S6268" s="2"/>
      <c r="T6268" s="2"/>
      <c r="U6268" s="2"/>
      <c r="V6268" s="2"/>
      <c r="W6268" s="2"/>
    </row>
    <row r="6269" spans="1:23" x14ac:dyDescent="0.25">
      <c r="A6269" s="2"/>
      <c r="B6269" s="2"/>
      <c r="C6269" s="1"/>
      <c r="D6269" s="2"/>
      <c r="E6269" s="2"/>
      <c r="F6269" s="2"/>
      <c r="G6269" s="2"/>
      <c r="H6269" s="2"/>
      <c r="I6269" s="2"/>
      <c r="J6269" s="2"/>
      <c r="K6269" s="2"/>
      <c r="L6269" s="2"/>
      <c r="M6269" s="2"/>
      <c r="N6269" s="2"/>
      <c r="O6269" s="2"/>
      <c r="P6269" s="2"/>
      <c r="Q6269" s="2"/>
      <c r="R6269" s="2"/>
      <c r="S6269" s="2"/>
      <c r="T6269" s="2"/>
      <c r="U6269" s="2"/>
      <c r="V6269" s="2"/>
      <c r="W6269" s="2"/>
    </row>
    <row r="6270" spans="1:23" x14ac:dyDescent="0.25">
      <c r="A6270" s="2"/>
      <c r="B6270" s="2"/>
      <c r="C6270" s="1"/>
      <c r="D6270" s="2"/>
      <c r="E6270" s="2"/>
      <c r="F6270" s="2"/>
      <c r="G6270" s="2"/>
      <c r="H6270" s="2"/>
      <c r="I6270" s="2"/>
      <c r="J6270" s="2"/>
      <c r="K6270" s="2"/>
      <c r="L6270" s="2"/>
      <c r="M6270" s="2"/>
      <c r="N6270" s="2"/>
      <c r="O6270" s="2"/>
      <c r="P6270" s="2"/>
      <c r="Q6270" s="2"/>
      <c r="R6270" s="2"/>
      <c r="S6270" s="2"/>
      <c r="T6270" s="2"/>
      <c r="U6270" s="2"/>
      <c r="V6270" s="2"/>
      <c r="W6270" s="2"/>
    </row>
    <row r="6271" spans="1:23" x14ac:dyDescent="0.25">
      <c r="A6271" s="2"/>
      <c r="B6271" s="2"/>
      <c r="C6271" s="1"/>
      <c r="D6271" s="2"/>
      <c r="E6271" s="2"/>
      <c r="F6271" s="2"/>
      <c r="G6271" s="2"/>
      <c r="H6271" s="2"/>
      <c r="I6271" s="2"/>
      <c r="J6271" s="2"/>
      <c r="K6271" s="2"/>
      <c r="L6271" s="2"/>
      <c r="M6271" s="2"/>
      <c r="N6271" s="2"/>
      <c r="O6271" s="2"/>
      <c r="P6271" s="2"/>
      <c r="Q6271" s="2"/>
      <c r="R6271" s="2"/>
      <c r="S6271" s="2"/>
      <c r="T6271" s="2"/>
      <c r="U6271" s="2"/>
      <c r="V6271" s="2"/>
      <c r="W6271" s="2"/>
    </row>
    <row r="6272" spans="1:23" x14ac:dyDescent="0.25">
      <c r="A6272" s="2"/>
      <c r="B6272" s="2"/>
      <c r="C6272" s="1"/>
      <c r="D6272" s="2"/>
      <c r="E6272" s="2"/>
      <c r="F6272" s="2"/>
      <c r="G6272" s="2"/>
      <c r="H6272" s="2"/>
      <c r="I6272" s="2"/>
      <c r="J6272" s="2"/>
      <c r="K6272" s="2"/>
      <c r="L6272" s="2"/>
      <c r="M6272" s="2"/>
      <c r="N6272" s="2"/>
      <c r="O6272" s="2"/>
      <c r="P6272" s="2"/>
      <c r="Q6272" s="2"/>
      <c r="R6272" s="2"/>
      <c r="S6272" s="2"/>
      <c r="T6272" s="2"/>
      <c r="U6272" s="2"/>
      <c r="V6272" s="2"/>
      <c r="W6272" s="2"/>
    </row>
    <row r="6273" spans="1:23" x14ac:dyDescent="0.25">
      <c r="A6273" s="2"/>
      <c r="B6273" s="2"/>
      <c r="C6273" s="1"/>
      <c r="D6273" s="2"/>
      <c r="E6273" s="2"/>
      <c r="F6273" s="2"/>
      <c r="G6273" s="2"/>
      <c r="H6273" s="2"/>
      <c r="I6273" s="2"/>
      <c r="J6273" s="2"/>
      <c r="K6273" s="2"/>
      <c r="L6273" s="2"/>
      <c r="M6273" s="2"/>
      <c r="N6273" s="2"/>
      <c r="O6273" s="2"/>
      <c r="P6273" s="2"/>
      <c r="Q6273" s="2"/>
      <c r="R6273" s="2"/>
      <c r="S6273" s="2"/>
      <c r="T6273" s="2"/>
      <c r="U6273" s="2"/>
      <c r="V6273" s="2"/>
      <c r="W6273" s="2"/>
    </row>
    <row r="6274" spans="1:23" x14ac:dyDescent="0.25">
      <c r="A6274" s="2"/>
      <c r="B6274" s="2"/>
      <c r="C6274" s="1"/>
      <c r="D6274" s="2"/>
      <c r="E6274" s="2"/>
      <c r="F6274" s="2"/>
      <c r="G6274" s="2"/>
      <c r="H6274" s="2"/>
      <c r="I6274" s="2"/>
      <c r="J6274" s="2"/>
      <c r="K6274" s="2"/>
      <c r="L6274" s="2"/>
      <c r="M6274" s="2"/>
      <c r="N6274" s="2"/>
      <c r="O6274" s="2"/>
      <c r="P6274" s="2"/>
      <c r="Q6274" s="2"/>
      <c r="R6274" s="2"/>
      <c r="S6274" s="2"/>
      <c r="T6274" s="2"/>
      <c r="U6274" s="2"/>
      <c r="V6274" s="2"/>
      <c r="W6274" s="2"/>
    </row>
    <row r="6275" spans="1:23" x14ac:dyDescent="0.25">
      <c r="A6275" s="2"/>
      <c r="B6275" s="2"/>
      <c r="C6275" s="1"/>
      <c r="D6275" s="2"/>
      <c r="E6275" s="2"/>
      <c r="F6275" s="2"/>
      <c r="G6275" s="2"/>
      <c r="H6275" s="2"/>
      <c r="I6275" s="2"/>
      <c r="J6275" s="2"/>
      <c r="K6275" s="2"/>
      <c r="L6275" s="2"/>
      <c r="M6275" s="2"/>
      <c r="N6275" s="2"/>
      <c r="O6275" s="2"/>
      <c r="P6275" s="2"/>
      <c r="Q6275" s="2"/>
      <c r="R6275" s="2"/>
      <c r="S6275" s="2"/>
      <c r="T6275" s="2"/>
      <c r="U6275" s="2"/>
      <c r="V6275" s="2"/>
      <c r="W6275" s="2"/>
    </row>
    <row r="6276" spans="1:23" x14ac:dyDescent="0.25">
      <c r="A6276" s="2"/>
      <c r="B6276" s="2"/>
      <c r="C6276" s="1"/>
      <c r="D6276" s="2"/>
      <c r="E6276" s="2"/>
      <c r="F6276" s="2"/>
      <c r="G6276" s="2"/>
      <c r="H6276" s="2"/>
      <c r="I6276" s="2"/>
      <c r="J6276" s="2"/>
      <c r="K6276" s="2"/>
      <c r="L6276" s="2"/>
      <c r="M6276" s="2"/>
      <c r="N6276" s="2"/>
      <c r="O6276" s="2"/>
      <c r="P6276" s="2"/>
      <c r="Q6276" s="2"/>
      <c r="R6276" s="2"/>
      <c r="S6276" s="2"/>
      <c r="T6276" s="2"/>
      <c r="U6276" s="2"/>
      <c r="V6276" s="2"/>
      <c r="W6276" s="2"/>
    </row>
    <row r="6277" spans="1:23" x14ac:dyDescent="0.25">
      <c r="A6277" s="2"/>
      <c r="B6277" s="2"/>
      <c r="C6277" s="1"/>
      <c r="D6277" s="2"/>
      <c r="E6277" s="2"/>
      <c r="F6277" s="2"/>
      <c r="G6277" s="2"/>
      <c r="H6277" s="2"/>
      <c r="I6277" s="2"/>
      <c r="J6277" s="2"/>
      <c r="K6277" s="2"/>
      <c r="L6277" s="2"/>
      <c r="M6277" s="2"/>
      <c r="N6277" s="2"/>
      <c r="O6277" s="2"/>
      <c r="P6277" s="2"/>
      <c r="Q6277" s="2"/>
      <c r="R6277" s="2"/>
      <c r="S6277" s="2"/>
      <c r="T6277" s="2"/>
      <c r="U6277" s="2"/>
      <c r="V6277" s="2"/>
      <c r="W6277" s="2"/>
    </row>
    <row r="6278" spans="1:23" x14ac:dyDescent="0.25">
      <c r="A6278" s="2"/>
      <c r="B6278" s="2"/>
      <c r="C6278" s="1"/>
      <c r="D6278" s="2"/>
      <c r="E6278" s="2"/>
      <c r="F6278" s="2"/>
      <c r="G6278" s="2"/>
      <c r="H6278" s="2"/>
      <c r="I6278" s="2"/>
      <c r="J6278" s="2"/>
      <c r="K6278" s="2"/>
      <c r="L6278" s="2"/>
      <c r="M6278" s="2"/>
      <c r="N6278" s="2"/>
      <c r="O6278" s="2"/>
      <c r="P6278" s="2"/>
      <c r="Q6278" s="2"/>
      <c r="R6278" s="2"/>
      <c r="S6278" s="2"/>
      <c r="T6278" s="2"/>
      <c r="U6278" s="2"/>
      <c r="V6278" s="2"/>
      <c r="W6278" s="2"/>
    </row>
    <row r="6279" spans="1:23" x14ac:dyDescent="0.25">
      <c r="A6279" s="2"/>
      <c r="B6279" s="2"/>
      <c r="C6279" s="1"/>
      <c r="D6279" s="2"/>
      <c r="E6279" s="2"/>
      <c r="F6279" s="2"/>
      <c r="G6279" s="2"/>
      <c r="H6279" s="2"/>
      <c r="I6279" s="2"/>
      <c r="J6279" s="2"/>
      <c r="K6279" s="2"/>
      <c r="L6279" s="2"/>
      <c r="M6279" s="2"/>
      <c r="N6279" s="2"/>
      <c r="O6279" s="2"/>
      <c r="P6279" s="2"/>
      <c r="Q6279" s="2"/>
      <c r="R6279" s="2"/>
      <c r="S6279" s="2"/>
      <c r="T6279" s="2"/>
      <c r="U6279" s="2"/>
      <c r="V6279" s="2"/>
      <c r="W6279" s="2"/>
    </row>
    <row r="6280" spans="1:23" x14ac:dyDescent="0.25">
      <c r="A6280" s="2"/>
      <c r="B6280" s="2"/>
      <c r="C6280" s="1"/>
      <c r="D6280" s="2"/>
      <c r="E6280" s="2"/>
      <c r="F6280" s="2"/>
      <c r="G6280" s="2"/>
      <c r="H6280" s="2"/>
      <c r="I6280" s="2"/>
      <c r="J6280" s="2"/>
      <c r="K6280" s="2"/>
      <c r="L6280" s="2"/>
      <c r="M6280" s="2"/>
      <c r="N6280" s="2"/>
      <c r="O6280" s="2"/>
      <c r="P6280" s="2"/>
      <c r="Q6280" s="2"/>
      <c r="R6280" s="2"/>
      <c r="S6280" s="2"/>
      <c r="T6280" s="2"/>
      <c r="U6280" s="2"/>
      <c r="V6280" s="2"/>
      <c r="W6280" s="2"/>
    </row>
    <row r="6281" spans="1:23" x14ac:dyDescent="0.25">
      <c r="A6281" s="2"/>
      <c r="B6281" s="2"/>
      <c r="C6281" s="1"/>
      <c r="D6281" s="2"/>
      <c r="E6281" s="2"/>
      <c r="F6281" s="2"/>
      <c r="G6281" s="2"/>
      <c r="H6281" s="2"/>
      <c r="I6281" s="2"/>
      <c r="J6281" s="2"/>
      <c r="K6281" s="2"/>
      <c r="L6281" s="2"/>
      <c r="M6281" s="2"/>
      <c r="N6281" s="2"/>
      <c r="O6281" s="2"/>
      <c r="P6281" s="2"/>
      <c r="Q6281" s="2"/>
      <c r="R6281" s="2"/>
      <c r="S6281" s="2"/>
      <c r="T6281" s="2"/>
      <c r="U6281" s="2"/>
      <c r="V6281" s="2"/>
      <c r="W6281" s="2"/>
    </row>
    <row r="6282" spans="1:23" x14ac:dyDescent="0.25">
      <c r="A6282" s="2"/>
      <c r="B6282" s="2"/>
      <c r="C6282" s="1"/>
      <c r="D6282" s="2"/>
      <c r="E6282" s="2"/>
      <c r="F6282" s="2"/>
      <c r="G6282" s="2"/>
      <c r="H6282" s="2"/>
      <c r="I6282" s="2"/>
      <c r="J6282" s="2"/>
      <c r="K6282" s="2"/>
      <c r="L6282" s="2"/>
      <c r="M6282" s="2"/>
      <c r="N6282" s="2"/>
      <c r="O6282" s="2"/>
      <c r="P6282" s="2"/>
      <c r="Q6282" s="2"/>
      <c r="R6282" s="2"/>
      <c r="S6282" s="2"/>
      <c r="T6282" s="2"/>
      <c r="U6282" s="2"/>
      <c r="V6282" s="2"/>
      <c r="W6282" s="2"/>
    </row>
    <row r="6283" spans="1:23" x14ac:dyDescent="0.25">
      <c r="A6283" s="2"/>
      <c r="B6283" s="2"/>
      <c r="C6283" s="1"/>
      <c r="D6283" s="2"/>
      <c r="E6283" s="2"/>
      <c r="F6283" s="2"/>
      <c r="G6283" s="2"/>
      <c r="H6283" s="2"/>
      <c r="I6283" s="2"/>
      <c r="J6283" s="2"/>
      <c r="K6283" s="2"/>
      <c r="L6283" s="2"/>
      <c r="M6283" s="2"/>
      <c r="N6283" s="2"/>
      <c r="O6283" s="2"/>
      <c r="P6283" s="2"/>
      <c r="Q6283" s="2"/>
      <c r="R6283" s="2"/>
      <c r="S6283" s="2"/>
      <c r="T6283" s="2"/>
      <c r="U6283" s="2"/>
      <c r="V6283" s="2"/>
      <c r="W6283" s="2"/>
    </row>
    <row r="6284" spans="1:23" x14ac:dyDescent="0.25">
      <c r="A6284" s="2"/>
      <c r="B6284" s="2"/>
      <c r="C6284" s="1"/>
      <c r="D6284" s="2"/>
      <c r="E6284" s="2"/>
      <c r="F6284" s="2"/>
      <c r="G6284" s="2"/>
      <c r="H6284" s="2"/>
      <c r="I6284" s="2"/>
      <c r="J6284" s="2"/>
      <c r="K6284" s="2"/>
      <c r="L6284" s="2"/>
      <c r="M6284" s="2"/>
      <c r="N6284" s="2"/>
      <c r="O6284" s="2"/>
      <c r="P6284" s="2"/>
      <c r="Q6284" s="2"/>
      <c r="R6284" s="2"/>
      <c r="S6284" s="2"/>
      <c r="T6284" s="2"/>
      <c r="U6284" s="2"/>
      <c r="V6284" s="2"/>
      <c r="W6284" s="2"/>
    </row>
    <row r="6285" spans="1:23" x14ac:dyDescent="0.25">
      <c r="A6285" s="2"/>
      <c r="B6285" s="2"/>
      <c r="C6285" s="1"/>
      <c r="D6285" s="2"/>
      <c r="E6285" s="2"/>
      <c r="F6285" s="2"/>
      <c r="G6285" s="2"/>
      <c r="H6285" s="2"/>
      <c r="I6285" s="2"/>
      <c r="J6285" s="2"/>
      <c r="K6285" s="2"/>
      <c r="L6285" s="2"/>
      <c r="M6285" s="2"/>
      <c r="N6285" s="2"/>
      <c r="O6285" s="2"/>
      <c r="P6285" s="2"/>
      <c r="Q6285" s="2"/>
      <c r="R6285" s="2"/>
      <c r="S6285" s="2"/>
      <c r="T6285" s="2"/>
      <c r="U6285" s="2"/>
      <c r="V6285" s="2"/>
      <c r="W6285" s="2"/>
    </row>
    <row r="6286" spans="1:23" x14ac:dyDescent="0.25">
      <c r="A6286" s="2"/>
      <c r="B6286" s="2"/>
      <c r="C6286" s="1"/>
      <c r="D6286" s="2"/>
      <c r="E6286" s="2"/>
      <c r="F6286" s="2"/>
      <c r="G6286" s="2"/>
      <c r="H6286" s="2"/>
      <c r="I6286" s="2"/>
      <c r="J6286" s="2"/>
      <c r="K6286" s="2"/>
      <c r="L6286" s="2"/>
      <c r="M6286" s="2"/>
      <c r="N6286" s="2"/>
      <c r="O6286" s="2"/>
      <c r="P6286" s="2"/>
      <c r="Q6286" s="2"/>
      <c r="R6286" s="2"/>
      <c r="S6286" s="2"/>
      <c r="T6286" s="2"/>
      <c r="U6286" s="2"/>
      <c r="V6286" s="2"/>
      <c r="W6286" s="2"/>
    </row>
    <row r="6287" spans="1:23" x14ac:dyDescent="0.25">
      <c r="A6287" s="2"/>
      <c r="B6287" s="2"/>
      <c r="C6287" s="1"/>
      <c r="D6287" s="2"/>
      <c r="E6287" s="2"/>
      <c r="F6287" s="2"/>
      <c r="G6287" s="2"/>
      <c r="H6287" s="2"/>
      <c r="I6287" s="2"/>
      <c r="J6287" s="2"/>
      <c r="K6287" s="2"/>
      <c r="L6287" s="2"/>
      <c r="M6287" s="2"/>
      <c r="N6287" s="2"/>
      <c r="O6287" s="2"/>
      <c r="P6287" s="2"/>
      <c r="Q6287" s="2"/>
      <c r="R6287" s="2"/>
      <c r="S6287" s="2"/>
      <c r="T6287" s="2"/>
      <c r="U6287" s="2"/>
      <c r="V6287" s="2"/>
      <c r="W6287" s="2"/>
    </row>
    <row r="6288" spans="1:23" x14ac:dyDescent="0.25">
      <c r="A6288" s="2"/>
      <c r="B6288" s="2"/>
      <c r="C6288" s="1"/>
      <c r="D6288" s="2"/>
      <c r="E6288" s="2"/>
      <c r="F6288" s="2"/>
      <c r="G6288" s="2"/>
      <c r="H6288" s="2"/>
      <c r="I6288" s="2"/>
      <c r="J6288" s="2"/>
      <c r="K6288" s="2"/>
      <c r="L6288" s="2"/>
      <c r="M6288" s="2"/>
      <c r="N6288" s="2"/>
      <c r="O6288" s="2"/>
      <c r="P6288" s="2"/>
      <c r="Q6288" s="2"/>
      <c r="R6288" s="2"/>
      <c r="S6288" s="2"/>
      <c r="T6288" s="2"/>
      <c r="U6288" s="2"/>
      <c r="V6288" s="2"/>
      <c r="W6288" s="2"/>
    </row>
    <row r="6289" spans="1:23" x14ac:dyDescent="0.25">
      <c r="A6289" s="2"/>
      <c r="B6289" s="2"/>
      <c r="C6289" s="1"/>
      <c r="D6289" s="2"/>
      <c r="E6289" s="2"/>
      <c r="F6289" s="2"/>
      <c r="G6289" s="2"/>
      <c r="H6289" s="2"/>
      <c r="I6289" s="2"/>
      <c r="J6289" s="2"/>
      <c r="K6289" s="2"/>
      <c r="L6289" s="2"/>
      <c r="M6289" s="2"/>
      <c r="N6289" s="2"/>
      <c r="O6289" s="2"/>
      <c r="P6289" s="2"/>
      <c r="Q6289" s="2"/>
      <c r="R6289" s="2"/>
      <c r="S6289" s="2"/>
      <c r="T6289" s="2"/>
      <c r="U6289" s="2"/>
      <c r="V6289" s="2"/>
      <c r="W6289" s="2"/>
    </row>
    <row r="6290" spans="1:23" x14ac:dyDescent="0.25">
      <c r="A6290" s="2"/>
      <c r="B6290" s="2"/>
      <c r="C6290" s="1"/>
      <c r="D6290" s="2"/>
      <c r="E6290" s="2"/>
      <c r="F6290" s="2"/>
      <c r="G6290" s="2"/>
      <c r="H6290" s="2"/>
      <c r="I6290" s="2"/>
      <c r="J6290" s="2"/>
      <c r="K6290" s="2"/>
      <c r="L6290" s="2"/>
      <c r="M6290" s="2"/>
      <c r="N6290" s="2"/>
      <c r="O6290" s="2"/>
      <c r="P6290" s="2"/>
      <c r="Q6290" s="2"/>
      <c r="R6290" s="2"/>
      <c r="S6290" s="2"/>
      <c r="T6290" s="2"/>
      <c r="U6290" s="2"/>
      <c r="V6290" s="2"/>
      <c r="W6290" s="2"/>
    </row>
    <row r="6291" spans="1:23" x14ac:dyDescent="0.25">
      <c r="A6291" s="2"/>
      <c r="B6291" s="2"/>
      <c r="C6291" s="1"/>
      <c r="D6291" s="2"/>
      <c r="E6291" s="2"/>
      <c r="F6291" s="2"/>
      <c r="G6291" s="2"/>
      <c r="H6291" s="2"/>
      <c r="I6291" s="2"/>
      <c r="J6291" s="2"/>
      <c r="K6291" s="2"/>
      <c r="L6291" s="2"/>
      <c r="M6291" s="2"/>
      <c r="N6291" s="2"/>
      <c r="O6291" s="2"/>
      <c r="P6291" s="2"/>
      <c r="Q6291" s="2"/>
      <c r="R6291" s="2"/>
      <c r="S6291" s="2"/>
      <c r="T6291" s="2"/>
      <c r="U6291" s="2"/>
      <c r="V6291" s="2"/>
      <c r="W6291" s="2"/>
    </row>
    <row r="6292" spans="1:23" x14ac:dyDescent="0.25">
      <c r="A6292" s="2"/>
      <c r="B6292" s="2"/>
      <c r="C6292" s="1"/>
      <c r="D6292" s="2"/>
      <c r="E6292" s="2"/>
      <c r="F6292" s="2"/>
      <c r="G6292" s="2"/>
      <c r="H6292" s="2"/>
      <c r="I6292" s="2"/>
      <c r="J6292" s="2"/>
      <c r="K6292" s="2"/>
      <c r="L6292" s="2"/>
      <c r="M6292" s="2"/>
      <c r="N6292" s="2"/>
      <c r="O6292" s="2"/>
      <c r="P6292" s="2"/>
      <c r="Q6292" s="2"/>
      <c r="R6292" s="2"/>
      <c r="S6292" s="2"/>
      <c r="T6292" s="2"/>
      <c r="U6292" s="2"/>
      <c r="V6292" s="2"/>
      <c r="W6292" s="2"/>
    </row>
    <row r="6293" spans="1:23" x14ac:dyDescent="0.25">
      <c r="A6293" s="2"/>
      <c r="B6293" s="2"/>
      <c r="C6293" s="1"/>
      <c r="D6293" s="2"/>
      <c r="E6293" s="2"/>
      <c r="F6293" s="2"/>
      <c r="G6293" s="2"/>
      <c r="H6293" s="2"/>
      <c r="I6293" s="2"/>
      <c r="J6293" s="2"/>
      <c r="K6293" s="2"/>
      <c r="L6293" s="2"/>
      <c r="M6293" s="2"/>
      <c r="N6293" s="2"/>
      <c r="O6293" s="2"/>
      <c r="P6293" s="2"/>
      <c r="Q6293" s="2"/>
      <c r="R6293" s="2"/>
      <c r="S6293" s="2"/>
      <c r="T6293" s="2"/>
      <c r="U6293" s="2"/>
      <c r="V6293" s="2"/>
      <c r="W6293" s="2"/>
    </row>
    <row r="6294" spans="1:23" x14ac:dyDescent="0.25">
      <c r="A6294" s="2"/>
      <c r="B6294" s="2"/>
      <c r="C6294" s="1"/>
      <c r="D6294" s="2"/>
      <c r="E6294" s="2"/>
      <c r="F6294" s="2"/>
      <c r="G6294" s="2"/>
      <c r="H6294" s="2"/>
      <c r="I6294" s="2"/>
      <c r="J6294" s="2"/>
      <c r="K6294" s="2"/>
      <c r="L6294" s="2"/>
      <c r="M6294" s="2"/>
      <c r="N6294" s="2"/>
      <c r="O6294" s="2"/>
      <c r="P6294" s="2"/>
      <c r="Q6294" s="2"/>
      <c r="R6294" s="2"/>
      <c r="S6294" s="2"/>
      <c r="T6294" s="2"/>
      <c r="U6294" s="2"/>
      <c r="V6294" s="2"/>
      <c r="W6294" s="2"/>
    </row>
    <row r="6295" spans="1:23" x14ac:dyDescent="0.25">
      <c r="A6295" s="2"/>
      <c r="B6295" s="2"/>
      <c r="C6295" s="1"/>
      <c r="D6295" s="2"/>
      <c r="E6295" s="2"/>
      <c r="F6295" s="2"/>
      <c r="G6295" s="2"/>
      <c r="H6295" s="2"/>
      <c r="I6295" s="2"/>
      <c r="J6295" s="2"/>
      <c r="K6295" s="2"/>
      <c r="L6295" s="2"/>
      <c r="M6295" s="2"/>
      <c r="N6295" s="2"/>
      <c r="O6295" s="2"/>
      <c r="P6295" s="2"/>
      <c r="Q6295" s="2"/>
      <c r="R6295" s="2"/>
      <c r="S6295" s="2"/>
      <c r="T6295" s="2"/>
      <c r="U6295" s="2"/>
      <c r="V6295" s="2"/>
      <c r="W6295" s="2"/>
    </row>
    <row r="6296" spans="1:23" x14ac:dyDescent="0.25">
      <c r="A6296" s="2"/>
      <c r="B6296" s="2"/>
      <c r="C6296" s="1"/>
      <c r="D6296" s="2"/>
      <c r="E6296" s="2"/>
      <c r="F6296" s="2"/>
      <c r="G6296" s="2"/>
      <c r="H6296" s="2"/>
      <c r="I6296" s="2"/>
      <c r="J6296" s="2"/>
      <c r="K6296" s="2"/>
      <c r="L6296" s="2"/>
      <c r="M6296" s="2"/>
      <c r="N6296" s="2"/>
      <c r="O6296" s="2"/>
      <c r="P6296" s="2"/>
      <c r="Q6296" s="2"/>
      <c r="R6296" s="2"/>
      <c r="S6296" s="2"/>
      <c r="T6296" s="2"/>
      <c r="U6296" s="2"/>
      <c r="V6296" s="2"/>
      <c r="W6296" s="2"/>
    </row>
    <row r="6297" spans="1:23" x14ac:dyDescent="0.25">
      <c r="A6297" s="2"/>
      <c r="B6297" s="2"/>
      <c r="C6297" s="1"/>
      <c r="D6297" s="2"/>
      <c r="E6297" s="2"/>
      <c r="F6297" s="2"/>
      <c r="G6297" s="2"/>
      <c r="H6297" s="2"/>
      <c r="I6297" s="2"/>
      <c r="J6297" s="2"/>
      <c r="K6297" s="2"/>
      <c r="L6297" s="2"/>
      <c r="M6297" s="2"/>
      <c r="N6297" s="2"/>
      <c r="O6297" s="2"/>
      <c r="P6297" s="2"/>
      <c r="Q6297" s="2"/>
      <c r="R6297" s="2"/>
      <c r="S6297" s="2"/>
      <c r="T6297" s="2"/>
      <c r="U6297" s="2"/>
      <c r="V6297" s="2"/>
      <c r="W6297" s="2"/>
    </row>
    <row r="6298" spans="1:23" x14ac:dyDescent="0.25">
      <c r="A6298" s="2"/>
      <c r="B6298" s="2"/>
      <c r="C6298" s="1"/>
      <c r="D6298" s="2"/>
      <c r="E6298" s="2"/>
      <c r="F6298" s="2"/>
      <c r="G6298" s="2"/>
      <c r="H6298" s="2"/>
      <c r="I6298" s="2"/>
      <c r="J6298" s="2"/>
      <c r="K6298" s="2"/>
      <c r="L6298" s="2"/>
      <c r="M6298" s="2"/>
      <c r="N6298" s="2"/>
      <c r="O6298" s="2"/>
      <c r="P6298" s="2"/>
      <c r="Q6298" s="2"/>
      <c r="R6298" s="2"/>
      <c r="S6298" s="2"/>
      <c r="T6298" s="2"/>
      <c r="U6298" s="2"/>
      <c r="V6298" s="2"/>
      <c r="W6298" s="2"/>
    </row>
    <row r="6299" spans="1:23" x14ac:dyDescent="0.25">
      <c r="A6299" s="2"/>
      <c r="B6299" s="2"/>
      <c r="C6299" s="1"/>
      <c r="D6299" s="2"/>
      <c r="E6299" s="2"/>
      <c r="F6299" s="2"/>
      <c r="G6299" s="2"/>
      <c r="H6299" s="2"/>
      <c r="I6299" s="2"/>
      <c r="J6299" s="2"/>
      <c r="K6299" s="2"/>
      <c r="L6299" s="2"/>
      <c r="M6299" s="2"/>
      <c r="N6299" s="2"/>
      <c r="O6299" s="2"/>
      <c r="P6299" s="2"/>
      <c r="Q6299" s="2"/>
      <c r="R6299" s="2"/>
      <c r="S6299" s="2"/>
      <c r="T6299" s="2"/>
      <c r="U6299" s="2"/>
      <c r="V6299" s="2"/>
      <c r="W6299" s="2"/>
    </row>
    <row r="6300" spans="1:23" x14ac:dyDescent="0.25">
      <c r="A6300" s="2"/>
      <c r="B6300" s="2"/>
      <c r="C6300" s="1"/>
      <c r="D6300" s="2"/>
      <c r="E6300" s="2"/>
      <c r="F6300" s="2"/>
      <c r="G6300" s="2"/>
      <c r="H6300" s="2"/>
      <c r="I6300" s="2"/>
      <c r="J6300" s="2"/>
      <c r="K6300" s="2"/>
      <c r="L6300" s="2"/>
      <c r="M6300" s="2"/>
      <c r="N6300" s="2"/>
      <c r="O6300" s="2"/>
      <c r="P6300" s="2"/>
      <c r="Q6300" s="2"/>
      <c r="R6300" s="2"/>
      <c r="S6300" s="2"/>
      <c r="T6300" s="2"/>
      <c r="U6300" s="2"/>
      <c r="V6300" s="2"/>
      <c r="W6300" s="2"/>
    </row>
    <row r="6301" spans="1:23" x14ac:dyDescent="0.25">
      <c r="A6301" s="2"/>
      <c r="B6301" s="2"/>
      <c r="C6301" s="1"/>
      <c r="D6301" s="2"/>
      <c r="E6301" s="2"/>
      <c r="F6301" s="2"/>
      <c r="G6301" s="2"/>
      <c r="H6301" s="2"/>
      <c r="I6301" s="2"/>
      <c r="J6301" s="2"/>
      <c r="K6301" s="2"/>
      <c r="L6301" s="2"/>
      <c r="M6301" s="2"/>
      <c r="N6301" s="2"/>
      <c r="O6301" s="2"/>
      <c r="P6301" s="2"/>
      <c r="Q6301" s="2"/>
      <c r="R6301" s="2"/>
      <c r="S6301" s="2"/>
      <c r="T6301" s="2"/>
      <c r="U6301" s="2"/>
      <c r="V6301" s="2"/>
      <c r="W6301" s="2"/>
    </row>
    <row r="6302" spans="1:23" x14ac:dyDescent="0.25">
      <c r="A6302" s="2"/>
      <c r="B6302" s="2"/>
      <c r="C6302" s="1"/>
      <c r="D6302" s="2"/>
      <c r="E6302" s="2"/>
      <c r="F6302" s="2"/>
      <c r="G6302" s="2"/>
      <c r="H6302" s="2"/>
      <c r="I6302" s="2"/>
      <c r="J6302" s="2"/>
      <c r="K6302" s="2"/>
      <c r="L6302" s="2"/>
      <c r="M6302" s="2"/>
      <c r="N6302" s="2"/>
      <c r="O6302" s="2"/>
      <c r="P6302" s="2"/>
      <c r="Q6302" s="2"/>
      <c r="R6302" s="2"/>
      <c r="S6302" s="2"/>
      <c r="T6302" s="2"/>
      <c r="U6302" s="2"/>
      <c r="V6302" s="2"/>
      <c r="W6302" s="2"/>
    </row>
    <row r="6303" spans="1:23" x14ac:dyDescent="0.25">
      <c r="A6303" s="2"/>
      <c r="B6303" s="2"/>
      <c r="C6303" s="1"/>
      <c r="D6303" s="2"/>
      <c r="E6303" s="2"/>
      <c r="F6303" s="2"/>
      <c r="G6303" s="2"/>
      <c r="H6303" s="2"/>
      <c r="I6303" s="2"/>
      <c r="J6303" s="2"/>
      <c r="K6303" s="2"/>
      <c r="L6303" s="2"/>
      <c r="M6303" s="2"/>
      <c r="N6303" s="2"/>
      <c r="O6303" s="2"/>
      <c r="P6303" s="2"/>
      <c r="Q6303" s="2"/>
      <c r="R6303" s="2"/>
      <c r="S6303" s="2"/>
      <c r="T6303" s="2"/>
      <c r="U6303" s="2"/>
      <c r="V6303" s="2"/>
      <c r="W6303" s="2"/>
    </row>
    <row r="6304" spans="1:23" x14ac:dyDescent="0.25">
      <c r="A6304" s="2"/>
      <c r="B6304" s="2"/>
      <c r="C6304" s="1"/>
      <c r="D6304" s="2"/>
      <c r="E6304" s="2"/>
      <c r="F6304" s="2"/>
      <c r="G6304" s="2"/>
      <c r="H6304" s="2"/>
      <c r="I6304" s="2"/>
      <c r="J6304" s="2"/>
      <c r="K6304" s="2"/>
      <c r="L6304" s="2"/>
      <c r="M6304" s="2"/>
      <c r="N6304" s="2"/>
      <c r="O6304" s="2"/>
      <c r="P6304" s="2"/>
      <c r="Q6304" s="2"/>
      <c r="R6304" s="2"/>
      <c r="S6304" s="2"/>
      <c r="T6304" s="2"/>
      <c r="U6304" s="2"/>
      <c r="V6304" s="2"/>
      <c r="W6304" s="2"/>
    </row>
    <row r="6305" spans="1:23" x14ac:dyDescent="0.25">
      <c r="A6305" s="2"/>
      <c r="B6305" s="2"/>
      <c r="C6305" s="1"/>
      <c r="D6305" s="2"/>
      <c r="E6305" s="2"/>
      <c r="F6305" s="2"/>
      <c r="G6305" s="2"/>
      <c r="H6305" s="2"/>
      <c r="I6305" s="2"/>
      <c r="J6305" s="2"/>
      <c r="K6305" s="2"/>
      <c r="L6305" s="2"/>
      <c r="M6305" s="2"/>
      <c r="N6305" s="2"/>
      <c r="O6305" s="2"/>
      <c r="P6305" s="2"/>
      <c r="Q6305" s="2"/>
      <c r="R6305" s="2"/>
      <c r="S6305" s="2"/>
      <c r="T6305" s="2"/>
      <c r="U6305" s="2"/>
      <c r="V6305" s="2"/>
      <c r="W6305" s="2"/>
    </row>
    <row r="6306" spans="1:23" x14ac:dyDescent="0.25">
      <c r="A6306" s="2"/>
      <c r="B6306" s="2"/>
      <c r="C6306" s="1"/>
      <c r="D6306" s="2"/>
      <c r="E6306" s="2"/>
      <c r="F6306" s="2"/>
      <c r="G6306" s="2"/>
      <c r="H6306" s="2"/>
      <c r="I6306" s="2"/>
      <c r="J6306" s="2"/>
      <c r="K6306" s="2"/>
      <c r="L6306" s="2"/>
      <c r="M6306" s="2"/>
      <c r="N6306" s="2"/>
      <c r="O6306" s="2"/>
      <c r="P6306" s="2"/>
      <c r="Q6306" s="2"/>
      <c r="R6306" s="2"/>
      <c r="S6306" s="2"/>
      <c r="T6306" s="2"/>
      <c r="U6306" s="2"/>
      <c r="V6306" s="2"/>
      <c r="W6306" s="2"/>
    </row>
    <row r="6307" spans="1:23" x14ac:dyDescent="0.25">
      <c r="A6307" s="2"/>
      <c r="B6307" s="2"/>
      <c r="C6307" s="1"/>
      <c r="D6307" s="2"/>
      <c r="E6307" s="2"/>
      <c r="F6307" s="2"/>
      <c r="G6307" s="2"/>
      <c r="H6307" s="2"/>
      <c r="I6307" s="2"/>
      <c r="J6307" s="2"/>
      <c r="K6307" s="2"/>
      <c r="L6307" s="2"/>
      <c r="M6307" s="2"/>
      <c r="N6307" s="2"/>
      <c r="O6307" s="2"/>
      <c r="P6307" s="2"/>
      <c r="Q6307" s="2"/>
      <c r="R6307" s="2"/>
      <c r="S6307" s="2"/>
      <c r="T6307" s="2"/>
      <c r="U6307" s="2"/>
      <c r="V6307" s="2"/>
      <c r="W6307" s="2"/>
    </row>
    <row r="6308" spans="1:23" x14ac:dyDescent="0.25">
      <c r="A6308" s="2"/>
      <c r="B6308" s="2"/>
      <c r="C6308" s="1"/>
      <c r="D6308" s="2"/>
      <c r="E6308" s="2"/>
      <c r="F6308" s="2"/>
      <c r="G6308" s="2"/>
      <c r="H6308" s="2"/>
      <c r="I6308" s="2"/>
      <c r="J6308" s="2"/>
      <c r="K6308" s="2"/>
      <c r="L6308" s="2"/>
      <c r="M6308" s="2"/>
      <c r="N6308" s="2"/>
      <c r="O6308" s="2"/>
      <c r="P6308" s="2"/>
      <c r="Q6308" s="2"/>
      <c r="R6308" s="2"/>
      <c r="S6308" s="2"/>
      <c r="T6308" s="2"/>
      <c r="U6308" s="2"/>
      <c r="V6308" s="2"/>
      <c r="W6308" s="2"/>
    </row>
    <row r="6309" spans="1:23" x14ac:dyDescent="0.25">
      <c r="A6309" s="2"/>
      <c r="B6309" s="2"/>
      <c r="C6309" s="1"/>
      <c r="D6309" s="2"/>
      <c r="E6309" s="2"/>
      <c r="F6309" s="2"/>
      <c r="G6309" s="2"/>
      <c r="H6309" s="2"/>
      <c r="I6309" s="2"/>
      <c r="J6309" s="2"/>
      <c r="K6309" s="2"/>
      <c r="L6309" s="2"/>
      <c r="M6309" s="2"/>
      <c r="N6309" s="2"/>
      <c r="O6309" s="2"/>
      <c r="P6309" s="2"/>
      <c r="Q6309" s="2"/>
      <c r="R6309" s="2"/>
      <c r="S6309" s="2"/>
      <c r="T6309" s="2"/>
      <c r="U6309" s="2"/>
      <c r="V6309" s="2"/>
      <c r="W6309" s="2"/>
    </row>
    <row r="6310" spans="1:23" x14ac:dyDescent="0.25">
      <c r="A6310" s="2"/>
      <c r="B6310" s="2"/>
      <c r="C6310" s="1"/>
      <c r="D6310" s="2"/>
      <c r="E6310" s="2"/>
      <c r="F6310" s="2"/>
      <c r="G6310" s="2"/>
      <c r="H6310" s="2"/>
      <c r="I6310" s="2"/>
      <c r="J6310" s="2"/>
      <c r="K6310" s="2"/>
      <c r="L6310" s="2"/>
      <c r="M6310" s="2"/>
      <c r="N6310" s="2"/>
      <c r="O6310" s="2"/>
      <c r="P6310" s="2"/>
      <c r="Q6310" s="2"/>
      <c r="R6310" s="2"/>
      <c r="S6310" s="2"/>
      <c r="T6310" s="2"/>
      <c r="U6310" s="2"/>
      <c r="V6310" s="2"/>
      <c r="W6310" s="2"/>
    </row>
    <row r="6311" spans="1:23" x14ac:dyDescent="0.25">
      <c r="A6311" s="2"/>
      <c r="B6311" s="2"/>
      <c r="C6311" s="1"/>
      <c r="D6311" s="2"/>
      <c r="E6311" s="2"/>
      <c r="F6311" s="2"/>
      <c r="G6311" s="2"/>
      <c r="H6311" s="2"/>
      <c r="I6311" s="2"/>
      <c r="J6311" s="2"/>
      <c r="K6311" s="2"/>
      <c r="L6311" s="2"/>
      <c r="M6311" s="2"/>
      <c r="N6311" s="2"/>
      <c r="O6311" s="2"/>
      <c r="P6311" s="2"/>
      <c r="Q6311" s="2"/>
      <c r="R6311" s="2"/>
      <c r="S6311" s="2"/>
      <c r="T6311" s="2"/>
      <c r="U6311" s="2"/>
      <c r="V6311" s="2"/>
      <c r="W6311" s="2"/>
    </row>
    <row r="6312" spans="1:23" x14ac:dyDescent="0.25">
      <c r="A6312" s="2"/>
      <c r="B6312" s="2"/>
      <c r="C6312" s="1"/>
      <c r="D6312" s="2"/>
      <c r="E6312" s="2"/>
      <c r="F6312" s="2"/>
      <c r="G6312" s="2"/>
      <c r="H6312" s="2"/>
      <c r="I6312" s="2"/>
      <c r="J6312" s="2"/>
      <c r="K6312" s="2"/>
      <c r="L6312" s="2"/>
      <c r="M6312" s="2"/>
      <c r="N6312" s="2"/>
      <c r="O6312" s="2"/>
      <c r="P6312" s="2"/>
      <c r="Q6312" s="2"/>
      <c r="R6312" s="2"/>
      <c r="S6312" s="2"/>
      <c r="T6312" s="2"/>
      <c r="U6312" s="2"/>
      <c r="V6312" s="2"/>
      <c r="W6312" s="2"/>
    </row>
    <row r="6313" spans="1:23" x14ac:dyDescent="0.25">
      <c r="A6313" s="2"/>
      <c r="B6313" s="2"/>
      <c r="C6313" s="1"/>
      <c r="D6313" s="2"/>
      <c r="E6313" s="2"/>
      <c r="F6313" s="2"/>
      <c r="G6313" s="2"/>
      <c r="H6313" s="2"/>
      <c r="I6313" s="2"/>
      <c r="J6313" s="2"/>
      <c r="K6313" s="2"/>
      <c r="L6313" s="2"/>
      <c r="M6313" s="2"/>
      <c r="N6313" s="2"/>
      <c r="O6313" s="2"/>
      <c r="P6313" s="2"/>
      <c r="Q6313" s="2"/>
      <c r="R6313" s="2"/>
      <c r="S6313" s="2"/>
      <c r="T6313" s="2"/>
      <c r="U6313" s="2"/>
      <c r="V6313" s="2"/>
      <c r="W6313" s="2"/>
    </row>
    <row r="6314" spans="1:23" x14ac:dyDescent="0.25">
      <c r="A6314" s="2"/>
      <c r="B6314" s="2"/>
      <c r="C6314" s="1"/>
      <c r="D6314" s="2"/>
      <c r="E6314" s="2"/>
      <c r="F6314" s="2"/>
      <c r="G6314" s="2"/>
      <c r="H6314" s="2"/>
      <c r="I6314" s="2"/>
      <c r="J6314" s="2"/>
      <c r="K6314" s="2"/>
      <c r="L6314" s="2"/>
      <c r="M6314" s="2"/>
      <c r="N6314" s="2"/>
      <c r="O6314" s="2"/>
      <c r="P6314" s="2"/>
      <c r="Q6314" s="2"/>
      <c r="R6314" s="2"/>
      <c r="S6314" s="2"/>
      <c r="T6314" s="2"/>
      <c r="U6314" s="2"/>
      <c r="V6314" s="2"/>
      <c r="W6314" s="2"/>
    </row>
    <row r="6315" spans="1:23" x14ac:dyDescent="0.25">
      <c r="A6315" s="2"/>
      <c r="B6315" s="2"/>
      <c r="C6315" s="1"/>
      <c r="D6315" s="2"/>
      <c r="E6315" s="2"/>
      <c r="F6315" s="2"/>
      <c r="G6315" s="2"/>
      <c r="H6315" s="2"/>
      <c r="I6315" s="2"/>
      <c r="J6315" s="2"/>
      <c r="K6315" s="2"/>
      <c r="L6315" s="2"/>
      <c r="M6315" s="2"/>
      <c r="N6315" s="2"/>
      <c r="O6315" s="2"/>
      <c r="P6315" s="2"/>
      <c r="Q6315" s="2"/>
      <c r="R6315" s="2"/>
      <c r="S6315" s="2"/>
      <c r="T6315" s="2"/>
      <c r="U6315" s="2"/>
      <c r="V6315" s="2"/>
      <c r="W6315" s="2"/>
    </row>
    <row r="6316" spans="1:23" x14ac:dyDescent="0.25">
      <c r="A6316" s="2"/>
      <c r="B6316" s="2"/>
      <c r="C6316" s="1"/>
      <c r="D6316" s="2"/>
      <c r="E6316" s="2"/>
      <c r="F6316" s="2"/>
      <c r="G6316" s="2"/>
      <c r="H6316" s="2"/>
      <c r="I6316" s="2"/>
      <c r="J6316" s="2"/>
      <c r="K6316" s="2"/>
      <c r="L6316" s="2"/>
      <c r="M6316" s="2"/>
      <c r="N6316" s="2"/>
      <c r="O6316" s="2"/>
      <c r="P6316" s="2"/>
      <c r="Q6316" s="2"/>
      <c r="R6316" s="2"/>
      <c r="S6316" s="2"/>
      <c r="T6316" s="2"/>
      <c r="U6316" s="2"/>
      <c r="V6316" s="2"/>
      <c r="W6316" s="2"/>
    </row>
    <row r="6317" spans="1:23" x14ac:dyDescent="0.25">
      <c r="A6317" s="2"/>
      <c r="B6317" s="2"/>
      <c r="C6317" s="1"/>
      <c r="D6317" s="2"/>
      <c r="E6317" s="2"/>
      <c r="F6317" s="2"/>
      <c r="G6317" s="2"/>
      <c r="H6317" s="2"/>
      <c r="I6317" s="2"/>
      <c r="J6317" s="2"/>
      <c r="K6317" s="2"/>
      <c r="L6317" s="2"/>
      <c r="M6317" s="2"/>
      <c r="N6317" s="2"/>
      <c r="O6317" s="2"/>
      <c r="P6317" s="2"/>
      <c r="Q6317" s="2"/>
      <c r="R6317" s="2"/>
      <c r="S6317" s="2"/>
      <c r="T6317" s="2"/>
      <c r="U6317" s="2"/>
      <c r="V6317" s="2"/>
      <c r="W6317" s="2"/>
    </row>
    <row r="6318" spans="1:23" x14ac:dyDescent="0.25">
      <c r="A6318" s="2"/>
      <c r="B6318" s="2"/>
      <c r="C6318" s="1"/>
      <c r="D6318" s="2"/>
      <c r="E6318" s="2"/>
      <c r="F6318" s="2"/>
      <c r="G6318" s="2"/>
      <c r="H6318" s="2"/>
      <c r="I6318" s="2"/>
      <c r="J6318" s="2"/>
      <c r="K6318" s="2"/>
      <c r="L6318" s="2"/>
      <c r="M6318" s="2"/>
      <c r="N6318" s="2"/>
      <c r="O6318" s="2"/>
      <c r="P6318" s="2"/>
      <c r="Q6318" s="2"/>
      <c r="R6318" s="2"/>
      <c r="S6318" s="2"/>
      <c r="T6318" s="2"/>
      <c r="U6318" s="2"/>
      <c r="V6318" s="2"/>
      <c r="W6318" s="2"/>
    </row>
    <row r="6319" spans="1:23" x14ac:dyDescent="0.25">
      <c r="A6319" s="2"/>
      <c r="B6319" s="2"/>
      <c r="C6319" s="1"/>
      <c r="D6319" s="2"/>
      <c r="E6319" s="2"/>
      <c r="F6319" s="2"/>
      <c r="G6319" s="2"/>
      <c r="H6319" s="2"/>
      <c r="I6319" s="2"/>
      <c r="J6319" s="2"/>
      <c r="K6319" s="2"/>
      <c r="L6319" s="2"/>
      <c r="M6319" s="2"/>
      <c r="N6319" s="2"/>
      <c r="O6319" s="2"/>
      <c r="P6319" s="2"/>
      <c r="Q6319" s="2"/>
      <c r="R6319" s="2"/>
      <c r="S6319" s="2"/>
      <c r="T6319" s="2"/>
      <c r="U6319" s="2"/>
      <c r="V6319" s="2"/>
      <c r="W6319" s="2"/>
    </row>
    <row r="6320" spans="1:23" x14ac:dyDescent="0.25">
      <c r="A6320" s="2"/>
      <c r="B6320" s="2"/>
      <c r="C6320" s="1"/>
      <c r="D6320" s="2"/>
      <c r="E6320" s="2"/>
      <c r="F6320" s="2"/>
      <c r="G6320" s="2"/>
      <c r="H6320" s="2"/>
      <c r="I6320" s="2"/>
      <c r="J6320" s="2"/>
      <c r="K6320" s="2"/>
      <c r="L6320" s="2"/>
      <c r="M6320" s="2"/>
      <c r="N6320" s="2"/>
      <c r="O6320" s="2"/>
      <c r="P6320" s="2"/>
      <c r="Q6320" s="2"/>
      <c r="R6320" s="2"/>
      <c r="S6320" s="2"/>
      <c r="T6320" s="2"/>
      <c r="U6320" s="2"/>
      <c r="V6320" s="2"/>
      <c r="W6320" s="2"/>
    </row>
    <row r="6321" spans="1:23" x14ac:dyDescent="0.25">
      <c r="A6321" s="2"/>
      <c r="B6321" s="2"/>
      <c r="C6321" s="1"/>
      <c r="D6321" s="2"/>
      <c r="E6321" s="2"/>
      <c r="F6321" s="2"/>
      <c r="G6321" s="2"/>
      <c r="H6321" s="2"/>
      <c r="I6321" s="2"/>
      <c r="J6321" s="2"/>
      <c r="K6321" s="2"/>
      <c r="L6321" s="2"/>
      <c r="M6321" s="2"/>
      <c r="N6321" s="2"/>
      <c r="O6321" s="2"/>
      <c r="P6321" s="2"/>
      <c r="Q6321" s="2"/>
      <c r="R6321" s="2"/>
      <c r="S6321" s="2"/>
      <c r="T6321" s="2"/>
      <c r="U6321" s="2"/>
      <c r="V6321" s="2"/>
      <c r="W6321" s="2"/>
    </row>
    <row r="6322" spans="1:23" x14ac:dyDescent="0.25">
      <c r="A6322" s="2"/>
      <c r="B6322" s="2"/>
      <c r="C6322" s="1"/>
      <c r="D6322" s="2"/>
      <c r="E6322" s="2"/>
      <c r="F6322" s="2"/>
      <c r="G6322" s="2"/>
      <c r="H6322" s="2"/>
      <c r="I6322" s="2"/>
      <c r="J6322" s="2"/>
      <c r="K6322" s="2"/>
      <c r="L6322" s="2"/>
      <c r="M6322" s="2"/>
      <c r="N6322" s="2"/>
      <c r="O6322" s="2"/>
      <c r="P6322" s="2"/>
      <c r="Q6322" s="2"/>
      <c r="R6322" s="2"/>
      <c r="S6322" s="2"/>
      <c r="T6322" s="2"/>
      <c r="U6322" s="2"/>
      <c r="V6322" s="2"/>
      <c r="W6322" s="2"/>
    </row>
    <row r="6323" spans="1:23" x14ac:dyDescent="0.25">
      <c r="A6323" s="2"/>
      <c r="B6323" s="2"/>
      <c r="C6323" s="1"/>
      <c r="D6323" s="2"/>
      <c r="E6323" s="2"/>
      <c r="F6323" s="2"/>
      <c r="G6323" s="2"/>
      <c r="H6323" s="2"/>
      <c r="I6323" s="2"/>
      <c r="J6323" s="2"/>
      <c r="K6323" s="2"/>
      <c r="L6323" s="2"/>
      <c r="M6323" s="2"/>
      <c r="N6323" s="2"/>
      <c r="O6323" s="2"/>
      <c r="P6323" s="2"/>
      <c r="Q6323" s="2"/>
      <c r="R6323" s="2"/>
      <c r="S6323" s="2"/>
      <c r="T6323" s="2"/>
      <c r="U6323" s="2"/>
      <c r="V6323" s="2"/>
      <c r="W6323" s="2"/>
    </row>
    <row r="6324" spans="1:23" x14ac:dyDescent="0.25">
      <c r="A6324" s="2"/>
      <c r="B6324" s="2"/>
      <c r="C6324" s="1"/>
      <c r="D6324" s="2"/>
      <c r="E6324" s="2"/>
      <c r="F6324" s="2"/>
      <c r="G6324" s="2"/>
      <c r="H6324" s="2"/>
      <c r="I6324" s="2"/>
      <c r="J6324" s="2"/>
      <c r="K6324" s="2"/>
      <c r="L6324" s="2"/>
      <c r="M6324" s="2"/>
      <c r="N6324" s="2"/>
      <c r="O6324" s="2"/>
      <c r="P6324" s="2"/>
      <c r="Q6324" s="2"/>
      <c r="R6324" s="2"/>
      <c r="S6324" s="2"/>
      <c r="T6324" s="2"/>
      <c r="U6324" s="2"/>
      <c r="V6324" s="2"/>
      <c r="W6324" s="2"/>
    </row>
    <row r="6325" spans="1:23" x14ac:dyDescent="0.25">
      <c r="A6325" s="2"/>
      <c r="B6325" s="2"/>
      <c r="C6325" s="1"/>
      <c r="D6325" s="2"/>
      <c r="E6325" s="2"/>
      <c r="F6325" s="2"/>
      <c r="G6325" s="2"/>
      <c r="H6325" s="2"/>
      <c r="I6325" s="2"/>
      <c r="J6325" s="2"/>
      <c r="K6325" s="2"/>
      <c r="L6325" s="2"/>
      <c r="M6325" s="2"/>
      <c r="N6325" s="2"/>
      <c r="O6325" s="2"/>
      <c r="P6325" s="2"/>
      <c r="Q6325" s="2"/>
      <c r="R6325" s="2"/>
      <c r="S6325" s="2"/>
      <c r="T6325" s="2"/>
      <c r="U6325" s="2"/>
      <c r="V6325" s="2"/>
      <c r="W6325" s="2"/>
    </row>
    <row r="6326" spans="1:23" x14ac:dyDescent="0.25">
      <c r="A6326" s="2"/>
      <c r="B6326" s="2"/>
      <c r="C6326" s="1"/>
      <c r="D6326" s="2"/>
      <c r="E6326" s="2"/>
      <c r="F6326" s="2"/>
      <c r="G6326" s="2"/>
      <c r="H6326" s="2"/>
      <c r="I6326" s="2"/>
      <c r="J6326" s="2"/>
      <c r="K6326" s="2"/>
      <c r="L6326" s="2"/>
      <c r="M6326" s="2"/>
      <c r="N6326" s="2"/>
      <c r="O6326" s="2"/>
      <c r="P6326" s="2"/>
      <c r="Q6326" s="2"/>
      <c r="R6326" s="2"/>
      <c r="S6326" s="2"/>
      <c r="T6326" s="2"/>
      <c r="U6326" s="2"/>
      <c r="V6326" s="2"/>
      <c r="W6326" s="2"/>
    </row>
    <row r="6327" spans="1:23" x14ac:dyDescent="0.25">
      <c r="A6327" s="2"/>
      <c r="B6327" s="2"/>
      <c r="C6327" s="1"/>
      <c r="D6327" s="2"/>
      <c r="E6327" s="2"/>
      <c r="F6327" s="2"/>
      <c r="G6327" s="2"/>
      <c r="H6327" s="2"/>
      <c r="I6327" s="2"/>
      <c r="J6327" s="2"/>
      <c r="K6327" s="2"/>
      <c r="L6327" s="2"/>
      <c r="M6327" s="2"/>
      <c r="N6327" s="2"/>
      <c r="O6327" s="2"/>
      <c r="P6327" s="2"/>
      <c r="Q6327" s="2"/>
      <c r="R6327" s="2"/>
      <c r="S6327" s="2"/>
      <c r="T6327" s="2"/>
      <c r="U6327" s="2"/>
      <c r="V6327" s="2"/>
      <c r="W6327" s="2"/>
    </row>
    <row r="6328" spans="1:23" x14ac:dyDescent="0.25">
      <c r="A6328" s="2"/>
      <c r="B6328" s="2"/>
      <c r="C6328" s="1"/>
      <c r="D6328" s="2"/>
      <c r="E6328" s="2"/>
      <c r="F6328" s="2"/>
      <c r="G6328" s="2"/>
      <c r="H6328" s="2"/>
      <c r="I6328" s="2"/>
      <c r="J6328" s="2"/>
      <c r="K6328" s="2"/>
      <c r="L6328" s="2"/>
      <c r="M6328" s="2"/>
      <c r="N6328" s="2"/>
      <c r="O6328" s="2"/>
      <c r="P6328" s="2"/>
      <c r="Q6328" s="2"/>
      <c r="R6328" s="2"/>
      <c r="S6328" s="2"/>
      <c r="T6328" s="2"/>
      <c r="U6328" s="2"/>
      <c r="V6328" s="2"/>
      <c r="W6328" s="2"/>
    </row>
    <row r="6329" spans="1:23" x14ac:dyDescent="0.25">
      <c r="A6329" s="2"/>
      <c r="B6329" s="2"/>
      <c r="C6329" s="1"/>
      <c r="D6329" s="2"/>
      <c r="E6329" s="2"/>
      <c r="F6329" s="2"/>
      <c r="G6329" s="2"/>
      <c r="H6329" s="2"/>
      <c r="I6329" s="2"/>
      <c r="J6329" s="2"/>
      <c r="K6329" s="2"/>
      <c r="L6329" s="2"/>
      <c r="M6329" s="2"/>
      <c r="N6329" s="2"/>
      <c r="O6329" s="2"/>
      <c r="P6329" s="2"/>
      <c r="Q6329" s="2"/>
      <c r="R6329" s="2"/>
      <c r="S6329" s="2"/>
      <c r="T6329" s="2"/>
      <c r="U6329" s="2"/>
      <c r="V6329" s="2"/>
      <c r="W6329" s="2"/>
    </row>
    <row r="6330" spans="1:23" x14ac:dyDescent="0.25">
      <c r="A6330" s="2"/>
      <c r="B6330" s="2"/>
      <c r="C6330" s="1"/>
      <c r="D6330" s="2"/>
      <c r="E6330" s="2"/>
      <c r="F6330" s="2"/>
      <c r="G6330" s="2"/>
      <c r="H6330" s="2"/>
      <c r="I6330" s="2"/>
      <c r="J6330" s="2"/>
      <c r="K6330" s="2"/>
      <c r="L6330" s="2"/>
      <c r="M6330" s="2"/>
      <c r="N6330" s="2"/>
      <c r="O6330" s="2"/>
      <c r="P6330" s="2"/>
      <c r="Q6330" s="2"/>
      <c r="R6330" s="2"/>
      <c r="S6330" s="2"/>
      <c r="T6330" s="2"/>
      <c r="U6330" s="2"/>
      <c r="V6330" s="2"/>
      <c r="W6330" s="2"/>
    </row>
    <row r="6331" spans="1:23" x14ac:dyDescent="0.25">
      <c r="A6331" s="2"/>
      <c r="B6331" s="2"/>
      <c r="C6331" s="1"/>
      <c r="D6331" s="2"/>
      <c r="E6331" s="2"/>
      <c r="F6331" s="2"/>
      <c r="G6331" s="2"/>
      <c r="H6331" s="2"/>
      <c r="I6331" s="2"/>
      <c r="J6331" s="2"/>
      <c r="K6331" s="2"/>
      <c r="L6331" s="2"/>
      <c r="M6331" s="2"/>
      <c r="N6331" s="2"/>
      <c r="O6331" s="2"/>
      <c r="P6331" s="2"/>
      <c r="Q6331" s="2"/>
      <c r="R6331" s="2"/>
      <c r="S6331" s="2"/>
      <c r="T6331" s="2"/>
      <c r="U6331" s="2"/>
      <c r="V6331" s="2"/>
      <c r="W6331" s="2"/>
    </row>
    <row r="6332" spans="1:23" x14ac:dyDescent="0.25">
      <c r="A6332" s="2"/>
      <c r="B6332" s="2"/>
      <c r="C6332" s="1"/>
      <c r="D6332" s="2"/>
      <c r="E6332" s="2"/>
      <c r="F6332" s="2"/>
      <c r="G6332" s="2"/>
      <c r="H6332" s="2"/>
      <c r="I6332" s="2"/>
      <c r="J6332" s="2"/>
      <c r="K6332" s="2"/>
      <c r="L6332" s="2"/>
      <c r="M6332" s="2"/>
      <c r="N6332" s="2"/>
      <c r="O6332" s="2"/>
      <c r="P6332" s="2"/>
      <c r="Q6332" s="2"/>
      <c r="R6332" s="2"/>
      <c r="S6332" s="2"/>
      <c r="T6332" s="2"/>
      <c r="U6332" s="2"/>
      <c r="V6332" s="2"/>
      <c r="W6332" s="2"/>
    </row>
    <row r="6333" spans="1:23" x14ac:dyDescent="0.25">
      <c r="A6333" s="2"/>
      <c r="B6333" s="2"/>
      <c r="C6333" s="1"/>
      <c r="D6333" s="2"/>
      <c r="E6333" s="2"/>
      <c r="F6333" s="2"/>
      <c r="G6333" s="2"/>
      <c r="H6333" s="2"/>
      <c r="I6333" s="2"/>
      <c r="J6333" s="2"/>
      <c r="K6333" s="2"/>
      <c r="L6333" s="2"/>
      <c r="M6333" s="2"/>
      <c r="N6333" s="2"/>
      <c r="O6333" s="2"/>
      <c r="P6333" s="2"/>
      <c r="Q6333" s="2"/>
      <c r="R6333" s="2"/>
      <c r="S6333" s="2"/>
      <c r="T6333" s="2"/>
      <c r="U6333" s="2"/>
      <c r="V6333" s="2"/>
      <c r="W6333" s="2"/>
    </row>
    <row r="6334" spans="1:23" x14ac:dyDescent="0.25">
      <c r="A6334" s="2"/>
      <c r="B6334" s="2"/>
      <c r="C6334" s="1"/>
      <c r="D6334" s="2"/>
      <c r="E6334" s="2"/>
      <c r="F6334" s="2"/>
      <c r="G6334" s="2"/>
      <c r="H6334" s="2"/>
      <c r="I6334" s="2"/>
      <c r="J6334" s="2"/>
      <c r="K6334" s="2"/>
      <c r="L6334" s="2"/>
      <c r="M6334" s="2"/>
      <c r="N6334" s="2"/>
      <c r="O6334" s="2"/>
      <c r="P6334" s="2"/>
      <c r="Q6334" s="2"/>
      <c r="R6334" s="2"/>
      <c r="S6334" s="2"/>
      <c r="T6334" s="2"/>
      <c r="U6334" s="2"/>
      <c r="V6334" s="2"/>
      <c r="W6334" s="2"/>
    </row>
    <row r="6335" spans="1:23" x14ac:dyDescent="0.25">
      <c r="A6335" s="2"/>
      <c r="B6335" s="2"/>
      <c r="C6335" s="1"/>
      <c r="D6335" s="2"/>
      <c r="E6335" s="2"/>
      <c r="F6335" s="2"/>
      <c r="G6335" s="2"/>
      <c r="H6335" s="2"/>
      <c r="I6335" s="2"/>
      <c r="J6335" s="2"/>
      <c r="K6335" s="2"/>
      <c r="L6335" s="2"/>
      <c r="M6335" s="2"/>
      <c r="N6335" s="2"/>
      <c r="O6335" s="2"/>
      <c r="P6335" s="2"/>
      <c r="Q6335" s="2"/>
      <c r="R6335" s="2"/>
      <c r="S6335" s="2"/>
      <c r="T6335" s="2"/>
      <c r="U6335" s="2"/>
      <c r="V6335" s="2"/>
      <c r="W6335" s="2"/>
    </row>
    <row r="6336" spans="1:23" x14ac:dyDescent="0.25">
      <c r="A6336" s="2"/>
      <c r="B6336" s="2"/>
      <c r="C6336" s="1"/>
      <c r="D6336" s="2"/>
      <c r="E6336" s="2"/>
      <c r="F6336" s="2"/>
      <c r="G6336" s="2"/>
      <c r="H6336" s="2"/>
      <c r="I6336" s="2"/>
      <c r="J6336" s="2"/>
      <c r="K6336" s="2"/>
      <c r="L6336" s="2"/>
      <c r="M6336" s="2"/>
      <c r="N6336" s="2"/>
      <c r="O6336" s="2"/>
      <c r="P6336" s="2"/>
      <c r="Q6336" s="2"/>
      <c r="R6336" s="2"/>
      <c r="S6336" s="2"/>
      <c r="T6336" s="2"/>
      <c r="U6336" s="2"/>
      <c r="V6336" s="2"/>
      <c r="W6336" s="2"/>
    </row>
    <row r="6337" spans="1:23" x14ac:dyDescent="0.25">
      <c r="A6337" s="2"/>
      <c r="B6337" s="2"/>
      <c r="C6337" s="1"/>
      <c r="D6337" s="2"/>
      <c r="E6337" s="2"/>
      <c r="F6337" s="2"/>
      <c r="G6337" s="2"/>
      <c r="H6337" s="2"/>
      <c r="I6337" s="2"/>
      <c r="J6337" s="2"/>
      <c r="K6337" s="2"/>
      <c r="L6337" s="2"/>
      <c r="M6337" s="2"/>
      <c r="N6337" s="2"/>
      <c r="O6337" s="2"/>
      <c r="P6337" s="2"/>
      <c r="Q6337" s="2"/>
      <c r="R6337" s="2"/>
      <c r="S6337" s="2"/>
      <c r="T6337" s="2"/>
      <c r="U6337" s="2"/>
      <c r="V6337" s="2"/>
      <c r="W6337" s="2"/>
    </row>
    <row r="6338" spans="1:23" x14ac:dyDescent="0.25">
      <c r="A6338" s="2"/>
      <c r="B6338" s="2"/>
      <c r="C6338" s="1"/>
      <c r="D6338" s="2"/>
      <c r="E6338" s="2"/>
      <c r="F6338" s="2"/>
      <c r="G6338" s="2"/>
      <c r="H6338" s="2"/>
      <c r="I6338" s="2"/>
      <c r="J6338" s="2"/>
      <c r="K6338" s="2"/>
      <c r="L6338" s="2"/>
      <c r="M6338" s="2"/>
      <c r="N6338" s="2"/>
      <c r="O6338" s="2"/>
      <c r="P6338" s="2"/>
      <c r="Q6338" s="2"/>
      <c r="R6338" s="2"/>
      <c r="S6338" s="2"/>
      <c r="T6338" s="2"/>
      <c r="U6338" s="2"/>
      <c r="V6338" s="2"/>
      <c r="W6338" s="2"/>
    </row>
    <row r="6339" spans="1:23" x14ac:dyDescent="0.25">
      <c r="A6339" s="2"/>
      <c r="B6339" s="2"/>
      <c r="C6339" s="1"/>
      <c r="D6339" s="2"/>
      <c r="E6339" s="2"/>
      <c r="F6339" s="2"/>
      <c r="G6339" s="2"/>
      <c r="H6339" s="2"/>
      <c r="I6339" s="2"/>
      <c r="J6339" s="2"/>
      <c r="K6339" s="2"/>
      <c r="L6339" s="2"/>
      <c r="M6339" s="2"/>
      <c r="N6339" s="2"/>
      <c r="O6339" s="2"/>
      <c r="P6339" s="2"/>
      <c r="Q6339" s="2"/>
      <c r="R6339" s="2"/>
      <c r="S6339" s="2"/>
      <c r="T6339" s="2"/>
      <c r="U6339" s="2"/>
      <c r="V6339" s="2"/>
      <c r="W6339" s="2"/>
    </row>
    <row r="6340" spans="1:23" x14ac:dyDescent="0.25">
      <c r="A6340" s="2"/>
      <c r="B6340" s="2"/>
      <c r="C6340" s="1"/>
      <c r="D6340" s="2"/>
      <c r="E6340" s="2"/>
      <c r="F6340" s="2"/>
      <c r="G6340" s="2"/>
      <c r="H6340" s="2"/>
      <c r="I6340" s="2"/>
      <c r="J6340" s="2"/>
      <c r="K6340" s="2"/>
      <c r="L6340" s="2"/>
      <c r="M6340" s="2"/>
      <c r="N6340" s="2"/>
      <c r="O6340" s="2"/>
      <c r="P6340" s="2"/>
      <c r="Q6340" s="2"/>
      <c r="R6340" s="2"/>
      <c r="S6340" s="2"/>
      <c r="T6340" s="2"/>
      <c r="U6340" s="2"/>
      <c r="V6340" s="2"/>
      <c r="W6340" s="2"/>
    </row>
    <row r="6341" spans="1:23" x14ac:dyDescent="0.25">
      <c r="A6341" s="2"/>
      <c r="B6341" s="2"/>
      <c r="C6341" s="1"/>
      <c r="D6341" s="2"/>
      <c r="E6341" s="2"/>
      <c r="F6341" s="2"/>
      <c r="G6341" s="2"/>
      <c r="H6341" s="2"/>
      <c r="I6341" s="2"/>
      <c r="J6341" s="2"/>
      <c r="K6341" s="2"/>
      <c r="L6341" s="2"/>
      <c r="M6341" s="2"/>
      <c r="N6341" s="2"/>
      <c r="O6341" s="2"/>
      <c r="P6341" s="2"/>
      <c r="Q6341" s="2"/>
      <c r="R6341" s="2"/>
      <c r="S6341" s="2"/>
      <c r="T6341" s="2"/>
      <c r="U6341" s="2"/>
      <c r="V6341" s="2"/>
      <c r="W6341" s="2"/>
    </row>
    <row r="6342" spans="1:23" x14ac:dyDescent="0.25">
      <c r="A6342" s="2"/>
      <c r="B6342" s="2"/>
      <c r="C6342" s="1"/>
      <c r="D6342" s="2"/>
      <c r="E6342" s="2"/>
      <c r="F6342" s="2"/>
      <c r="G6342" s="2"/>
      <c r="H6342" s="2"/>
      <c r="I6342" s="2"/>
      <c r="J6342" s="2"/>
      <c r="K6342" s="2"/>
      <c r="L6342" s="2"/>
      <c r="M6342" s="2"/>
      <c r="N6342" s="2"/>
      <c r="O6342" s="2"/>
      <c r="P6342" s="2"/>
      <c r="Q6342" s="2"/>
      <c r="R6342" s="2"/>
      <c r="S6342" s="2"/>
      <c r="T6342" s="2"/>
      <c r="U6342" s="2"/>
      <c r="V6342" s="2"/>
      <c r="W6342" s="2"/>
    </row>
    <row r="6343" spans="1:23" x14ac:dyDescent="0.25">
      <c r="A6343" s="2"/>
      <c r="B6343" s="2"/>
      <c r="C6343" s="1"/>
      <c r="D6343" s="2"/>
      <c r="E6343" s="2"/>
      <c r="F6343" s="2"/>
      <c r="G6343" s="2"/>
      <c r="H6343" s="2"/>
      <c r="I6343" s="2"/>
      <c r="J6343" s="2"/>
      <c r="K6343" s="2"/>
      <c r="L6343" s="2"/>
      <c r="M6343" s="2"/>
      <c r="N6343" s="2"/>
      <c r="O6343" s="2"/>
      <c r="P6343" s="2"/>
      <c r="Q6343" s="2"/>
      <c r="R6343" s="2"/>
      <c r="S6343" s="2"/>
      <c r="T6343" s="2"/>
      <c r="U6343" s="2"/>
      <c r="V6343" s="2"/>
      <c r="W6343" s="2"/>
    </row>
    <row r="6344" spans="1:23" x14ac:dyDescent="0.25">
      <c r="A6344" s="2"/>
      <c r="B6344" s="2"/>
      <c r="C6344" s="1"/>
      <c r="D6344" s="2"/>
      <c r="E6344" s="2"/>
      <c r="F6344" s="2"/>
      <c r="G6344" s="2"/>
      <c r="H6344" s="2"/>
      <c r="I6344" s="2"/>
      <c r="J6344" s="2"/>
      <c r="K6344" s="2"/>
      <c r="L6344" s="2"/>
      <c r="M6344" s="2"/>
      <c r="N6344" s="2"/>
      <c r="O6344" s="2"/>
      <c r="P6344" s="2"/>
      <c r="Q6344" s="2"/>
      <c r="R6344" s="2"/>
      <c r="S6344" s="2"/>
      <c r="T6344" s="2"/>
      <c r="U6344" s="2"/>
      <c r="V6344" s="2"/>
      <c r="W6344" s="2"/>
    </row>
    <row r="6345" spans="1:23" x14ac:dyDescent="0.25">
      <c r="A6345" s="2"/>
      <c r="B6345" s="2"/>
      <c r="C6345" s="1"/>
      <c r="D6345" s="2"/>
      <c r="E6345" s="2"/>
      <c r="F6345" s="2"/>
      <c r="G6345" s="2"/>
      <c r="H6345" s="2"/>
      <c r="I6345" s="2"/>
      <c r="J6345" s="2"/>
      <c r="K6345" s="2"/>
      <c r="L6345" s="2"/>
      <c r="M6345" s="2"/>
      <c r="N6345" s="2"/>
      <c r="O6345" s="2"/>
      <c r="P6345" s="2"/>
      <c r="Q6345" s="2"/>
      <c r="R6345" s="2"/>
      <c r="S6345" s="2"/>
      <c r="T6345" s="2"/>
      <c r="U6345" s="2"/>
      <c r="V6345" s="2"/>
      <c r="W6345" s="2"/>
    </row>
    <row r="6346" spans="1:23" x14ac:dyDescent="0.25">
      <c r="A6346" s="2"/>
      <c r="B6346" s="2"/>
      <c r="C6346" s="1"/>
      <c r="D6346" s="2"/>
      <c r="E6346" s="2"/>
      <c r="F6346" s="2"/>
      <c r="G6346" s="2"/>
      <c r="H6346" s="2"/>
      <c r="I6346" s="2"/>
      <c r="J6346" s="2"/>
      <c r="K6346" s="2"/>
      <c r="L6346" s="2"/>
      <c r="M6346" s="2"/>
      <c r="N6346" s="2"/>
      <c r="O6346" s="2"/>
      <c r="P6346" s="2"/>
      <c r="Q6346" s="2"/>
      <c r="R6346" s="2"/>
      <c r="S6346" s="2"/>
      <c r="T6346" s="2"/>
      <c r="U6346" s="2"/>
      <c r="V6346" s="2"/>
      <c r="W6346" s="2"/>
    </row>
    <row r="6347" spans="1:23" x14ac:dyDescent="0.25">
      <c r="A6347" s="2"/>
      <c r="B6347" s="2"/>
      <c r="C6347" s="1"/>
      <c r="D6347" s="2"/>
      <c r="E6347" s="2"/>
      <c r="F6347" s="2"/>
      <c r="G6347" s="2"/>
      <c r="H6347" s="2"/>
      <c r="I6347" s="2"/>
      <c r="J6347" s="2"/>
      <c r="K6347" s="2"/>
      <c r="L6347" s="2"/>
      <c r="M6347" s="2"/>
      <c r="N6347" s="2"/>
      <c r="O6347" s="2"/>
      <c r="P6347" s="2"/>
      <c r="Q6347" s="2"/>
      <c r="R6347" s="2"/>
      <c r="S6347" s="2"/>
      <c r="T6347" s="2"/>
      <c r="U6347" s="2"/>
      <c r="V6347" s="2"/>
      <c r="W6347" s="2"/>
    </row>
    <row r="6348" spans="1:23" x14ac:dyDescent="0.25">
      <c r="A6348" s="2"/>
      <c r="B6348" s="2"/>
      <c r="C6348" s="1"/>
      <c r="D6348" s="2"/>
      <c r="E6348" s="2"/>
      <c r="F6348" s="2"/>
      <c r="G6348" s="2"/>
      <c r="H6348" s="2"/>
      <c r="I6348" s="2"/>
      <c r="J6348" s="2"/>
      <c r="K6348" s="2"/>
      <c r="L6348" s="2"/>
      <c r="M6348" s="2"/>
      <c r="N6348" s="2"/>
      <c r="O6348" s="2"/>
      <c r="P6348" s="2"/>
      <c r="Q6348" s="2"/>
      <c r="R6348" s="2"/>
      <c r="S6348" s="2"/>
      <c r="T6348" s="2"/>
      <c r="U6348" s="2"/>
      <c r="V6348" s="2"/>
      <c r="W6348" s="2"/>
    </row>
    <row r="6349" spans="1:23" x14ac:dyDescent="0.25">
      <c r="A6349" s="2"/>
      <c r="B6349" s="2"/>
      <c r="C6349" s="1"/>
      <c r="D6349" s="2"/>
      <c r="E6349" s="2"/>
      <c r="F6349" s="2"/>
      <c r="G6349" s="2"/>
      <c r="H6349" s="2"/>
      <c r="I6349" s="2"/>
      <c r="J6349" s="2"/>
      <c r="K6349" s="2"/>
      <c r="L6349" s="2"/>
      <c r="M6349" s="2"/>
      <c r="N6349" s="2"/>
      <c r="O6349" s="2"/>
      <c r="P6349" s="2"/>
      <c r="Q6349" s="2"/>
      <c r="R6349" s="2"/>
      <c r="S6349" s="2"/>
      <c r="T6349" s="2"/>
      <c r="U6349" s="2"/>
      <c r="V6349" s="2"/>
      <c r="W6349" s="2"/>
    </row>
    <row r="6350" spans="1:23" x14ac:dyDescent="0.25">
      <c r="A6350" s="2"/>
      <c r="B6350" s="2"/>
      <c r="C6350" s="1"/>
      <c r="D6350" s="2"/>
      <c r="E6350" s="2"/>
      <c r="F6350" s="2"/>
      <c r="G6350" s="2"/>
      <c r="H6350" s="2"/>
      <c r="I6350" s="2"/>
      <c r="J6350" s="2"/>
      <c r="K6350" s="2"/>
      <c r="L6350" s="2"/>
      <c r="M6350" s="2"/>
      <c r="N6350" s="2"/>
      <c r="O6350" s="2"/>
      <c r="P6350" s="2"/>
      <c r="Q6350" s="2"/>
      <c r="R6350" s="2"/>
      <c r="S6350" s="2"/>
      <c r="T6350" s="2"/>
      <c r="U6350" s="2"/>
      <c r="V6350" s="2"/>
      <c r="W6350" s="2"/>
    </row>
    <row r="6351" spans="1:23" x14ac:dyDescent="0.25">
      <c r="A6351" s="2"/>
      <c r="B6351" s="2"/>
      <c r="C6351" s="1"/>
      <c r="D6351" s="2"/>
      <c r="E6351" s="2"/>
      <c r="F6351" s="2"/>
      <c r="G6351" s="2"/>
      <c r="H6351" s="2"/>
      <c r="I6351" s="2"/>
      <c r="J6351" s="2"/>
      <c r="K6351" s="2"/>
      <c r="L6351" s="2"/>
      <c r="M6351" s="2"/>
      <c r="N6351" s="2"/>
      <c r="O6351" s="2"/>
      <c r="P6351" s="2"/>
      <c r="Q6351" s="2"/>
      <c r="R6351" s="2"/>
      <c r="S6351" s="2"/>
      <c r="T6351" s="2"/>
      <c r="U6351" s="2"/>
      <c r="V6351" s="2"/>
      <c r="W6351" s="2"/>
    </row>
    <row r="6352" spans="1:23" x14ac:dyDescent="0.25">
      <c r="A6352" s="2"/>
      <c r="B6352" s="2"/>
      <c r="C6352" s="1"/>
      <c r="D6352" s="2"/>
      <c r="E6352" s="2"/>
      <c r="F6352" s="2"/>
      <c r="G6352" s="2"/>
      <c r="H6352" s="2"/>
      <c r="I6352" s="2"/>
      <c r="J6352" s="2"/>
      <c r="K6352" s="2"/>
      <c r="L6352" s="2"/>
      <c r="M6352" s="2"/>
      <c r="N6352" s="2"/>
      <c r="O6352" s="2"/>
      <c r="P6352" s="2"/>
      <c r="Q6352" s="2"/>
      <c r="R6352" s="2"/>
      <c r="S6352" s="2"/>
      <c r="T6352" s="2"/>
      <c r="U6352" s="2"/>
      <c r="V6352" s="2"/>
      <c r="W6352" s="2"/>
    </row>
    <row r="6353" spans="1:23" x14ac:dyDescent="0.25">
      <c r="A6353" s="2"/>
      <c r="B6353" s="2"/>
      <c r="C6353" s="1"/>
      <c r="D6353" s="2"/>
      <c r="E6353" s="2"/>
      <c r="F6353" s="2"/>
      <c r="G6353" s="2"/>
      <c r="H6353" s="2"/>
      <c r="I6353" s="2"/>
      <c r="J6353" s="2"/>
      <c r="K6353" s="2"/>
      <c r="L6353" s="2"/>
      <c r="M6353" s="2"/>
      <c r="N6353" s="2"/>
      <c r="O6353" s="2"/>
      <c r="P6353" s="2"/>
      <c r="Q6353" s="2"/>
      <c r="R6353" s="2"/>
      <c r="S6353" s="2"/>
      <c r="T6353" s="2"/>
      <c r="U6353" s="2"/>
      <c r="V6353" s="2"/>
      <c r="W6353" s="2"/>
    </row>
    <row r="6354" spans="1:23" x14ac:dyDescent="0.25">
      <c r="A6354" s="2"/>
      <c r="B6354" s="2"/>
      <c r="C6354" s="1"/>
      <c r="D6354" s="2"/>
      <c r="E6354" s="2"/>
      <c r="F6354" s="2"/>
      <c r="G6354" s="2"/>
      <c r="H6354" s="2"/>
      <c r="I6354" s="2"/>
      <c r="J6354" s="2"/>
      <c r="K6354" s="2"/>
      <c r="L6354" s="2"/>
      <c r="M6354" s="2"/>
      <c r="N6354" s="2"/>
      <c r="O6354" s="2"/>
      <c r="P6354" s="2"/>
      <c r="Q6354" s="2"/>
      <c r="R6354" s="2"/>
      <c r="S6354" s="2"/>
      <c r="T6354" s="2"/>
      <c r="U6354" s="2"/>
      <c r="V6354" s="2"/>
      <c r="W6354" s="2"/>
    </row>
    <row r="6355" spans="1:23" x14ac:dyDescent="0.25">
      <c r="A6355" s="2"/>
      <c r="B6355" s="2"/>
      <c r="C6355" s="1"/>
      <c r="D6355" s="2"/>
      <c r="E6355" s="2"/>
      <c r="F6355" s="2"/>
      <c r="G6355" s="2"/>
      <c r="H6355" s="2"/>
      <c r="I6355" s="2"/>
      <c r="J6355" s="2"/>
      <c r="K6355" s="2"/>
      <c r="L6355" s="2"/>
      <c r="M6355" s="2"/>
      <c r="N6355" s="2"/>
      <c r="O6355" s="2"/>
      <c r="P6355" s="2"/>
      <c r="Q6355" s="2"/>
      <c r="R6355" s="2"/>
      <c r="S6355" s="2"/>
      <c r="T6355" s="2"/>
      <c r="U6355" s="2"/>
      <c r="V6355" s="2"/>
      <c r="W6355" s="2"/>
    </row>
    <row r="6356" spans="1:23" x14ac:dyDescent="0.25">
      <c r="A6356" s="2"/>
      <c r="B6356" s="2"/>
      <c r="C6356" s="1"/>
      <c r="D6356" s="2"/>
      <c r="E6356" s="2"/>
      <c r="F6356" s="2"/>
      <c r="G6356" s="2"/>
      <c r="H6356" s="2"/>
      <c r="I6356" s="2"/>
      <c r="J6356" s="2"/>
      <c r="K6356" s="2"/>
      <c r="L6356" s="2"/>
      <c r="M6356" s="2"/>
      <c r="N6356" s="2"/>
      <c r="O6356" s="2"/>
      <c r="P6356" s="2"/>
      <c r="Q6356" s="2"/>
      <c r="R6356" s="2"/>
      <c r="S6356" s="2"/>
      <c r="T6356" s="2"/>
      <c r="U6356" s="2"/>
      <c r="V6356" s="2"/>
      <c r="W6356" s="2"/>
    </row>
    <row r="6357" spans="1:23" x14ac:dyDescent="0.25">
      <c r="A6357" s="2"/>
      <c r="B6357" s="2"/>
      <c r="C6357" s="1"/>
      <c r="D6357" s="2"/>
      <c r="E6357" s="2"/>
      <c r="F6357" s="2"/>
      <c r="G6357" s="2"/>
      <c r="H6357" s="2"/>
      <c r="I6357" s="2"/>
      <c r="J6357" s="2"/>
      <c r="K6357" s="2"/>
      <c r="L6357" s="2"/>
      <c r="M6357" s="2"/>
      <c r="N6357" s="2"/>
      <c r="O6357" s="2"/>
      <c r="P6357" s="2"/>
      <c r="Q6357" s="2"/>
      <c r="R6357" s="2"/>
      <c r="S6357" s="2"/>
      <c r="T6357" s="2"/>
      <c r="U6357" s="2"/>
      <c r="V6357" s="2"/>
      <c r="W6357" s="2"/>
    </row>
    <row r="6358" spans="1:23" x14ac:dyDescent="0.25">
      <c r="A6358" s="2"/>
      <c r="B6358" s="2"/>
      <c r="C6358" s="1"/>
      <c r="D6358" s="2"/>
      <c r="E6358" s="2"/>
      <c r="F6358" s="2"/>
      <c r="G6358" s="2"/>
      <c r="H6358" s="2"/>
      <c r="I6358" s="2"/>
      <c r="J6358" s="2"/>
      <c r="K6358" s="2"/>
      <c r="L6358" s="2"/>
      <c r="M6358" s="2"/>
      <c r="N6358" s="2"/>
      <c r="O6358" s="2"/>
      <c r="P6358" s="2"/>
      <c r="Q6358" s="2"/>
      <c r="R6358" s="2"/>
      <c r="S6358" s="2"/>
      <c r="T6358" s="2"/>
      <c r="U6358" s="2"/>
      <c r="V6358" s="2"/>
      <c r="W6358" s="2"/>
    </row>
    <row r="6359" spans="1:23" x14ac:dyDescent="0.25">
      <c r="A6359" s="2"/>
      <c r="B6359" s="2"/>
      <c r="C6359" s="1"/>
      <c r="D6359" s="2"/>
      <c r="E6359" s="2"/>
      <c r="F6359" s="2"/>
      <c r="G6359" s="2"/>
      <c r="H6359" s="2"/>
      <c r="I6359" s="2"/>
      <c r="J6359" s="2"/>
      <c r="K6359" s="2"/>
      <c r="L6359" s="2"/>
      <c r="M6359" s="2"/>
      <c r="N6359" s="2"/>
      <c r="O6359" s="2"/>
      <c r="P6359" s="2"/>
      <c r="Q6359" s="2"/>
      <c r="R6359" s="2"/>
      <c r="S6359" s="2"/>
      <c r="T6359" s="2"/>
      <c r="U6359" s="2"/>
      <c r="V6359" s="2"/>
      <c r="W6359" s="2"/>
    </row>
    <row r="6360" spans="1:23" x14ac:dyDescent="0.25">
      <c r="A6360" s="2"/>
      <c r="B6360" s="2"/>
      <c r="C6360" s="1"/>
      <c r="D6360" s="2"/>
      <c r="E6360" s="2"/>
      <c r="F6360" s="2"/>
      <c r="G6360" s="2"/>
      <c r="H6360" s="2"/>
      <c r="I6360" s="2"/>
      <c r="J6360" s="2"/>
      <c r="K6360" s="2"/>
      <c r="L6360" s="2"/>
      <c r="M6360" s="2"/>
      <c r="N6360" s="2"/>
      <c r="O6360" s="2"/>
      <c r="P6360" s="2"/>
      <c r="Q6360" s="2"/>
      <c r="R6360" s="2"/>
      <c r="S6360" s="2"/>
      <c r="T6360" s="2"/>
      <c r="U6360" s="2"/>
      <c r="V6360" s="2"/>
      <c r="W6360" s="2"/>
    </row>
    <row r="6361" spans="1:23" x14ac:dyDescent="0.25">
      <c r="A6361" s="2"/>
      <c r="B6361" s="2"/>
      <c r="C6361" s="1"/>
      <c r="D6361" s="2"/>
      <c r="E6361" s="2"/>
      <c r="F6361" s="2"/>
      <c r="G6361" s="2"/>
      <c r="H6361" s="2"/>
      <c r="I6361" s="2"/>
      <c r="J6361" s="2"/>
      <c r="K6361" s="2"/>
      <c r="L6361" s="2"/>
      <c r="M6361" s="2"/>
      <c r="N6361" s="2"/>
      <c r="O6361" s="2"/>
      <c r="P6361" s="2"/>
      <c r="Q6361" s="2"/>
      <c r="R6361" s="2"/>
      <c r="S6361" s="2"/>
      <c r="T6361" s="2"/>
      <c r="U6361" s="2"/>
      <c r="V6361" s="2"/>
      <c r="W6361" s="2"/>
    </row>
    <row r="6362" spans="1:23" x14ac:dyDescent="0.25">
      <c r="A6362" s="2"/>
      <c r="B6362" s="2"/>
      <c r="C6362" s="1"/>
      <c r="D6362" s="2"/>
      <c r="E6362" s="2"/>
      <c r="F6362" s="2"/>
      <c r="G6362" s="2"/>
      <c r="H6362" s="2"/>
      <c r="I6362" s="2"/>
      <c r="J6362" s="2"/>
      <c r="K6362" s="2"/>
      <c r="L6362" s="2"/>
      <c r="M6362" s="2"/>
      <c r="N6362" s="2"/>
      <c r="O6362" s="2"/>
      <c r="P6362" s="2"/>
      <c r="Q6362" s="2"/>
      <c r="R6362" s="2"/>
      <c r="S6362" s="2"/>
      <c r="T6362" s="2"/>
      <c r="U6362" s="2"/>
      <c r="V6362" s="2"/>
      <c r="W6362" s="2"/>
    </row>
    <row r="6363" spans="1:23" x14ac:dyDescent="0.25">
      <c r="A6363" s="2"/>
      <c r="B6363" s="2"/>
      <c r="C6363" s="1"/>
      <c r="D6363" s="2"/>
      <c r="E6363" s="2"/>
      <c r="F6363" s="2"/>
      <c r="G6363" s="2"/>
      <c r="H6363" s="2"/>
      <c r="I6363" s="2"/>
      <c r="J6363" s="2"/>
      <c r="K6363" s="2"/>
      <c r="L6363" s="2"/>
      <c r="M6363" s="2"/>
      <c r="N6363" s="2"/>
      <c r="O6363" s="2"/>
      <c r="P6363" s="2"/>
      <c r="Q6363" s="2"/>
      <c r="R6363" s="2"/>
      <c r="S6363" s="2"/>
      <c r="T6363" s="2"/>
      <c r="U6363" s="2"/>
      <c r="V6363" s="2"/>
      <c r="W6363" s="2"/>
    </row>
    <row r="6364" spans="1:23" x14ac:dyDescent="0.25">
      <c r="A6364" s="2"/>
      <c r="B6364" s="2"/>
      <c r="C6364" s="1"/>
      <c r="D6364" s="2"/>
      <c r="E6364" s="2"/>
      <c r="F6364" s="2"/>
      <c r="G6364" s="2"/>
      <c r="H6364" s="2"/>
      <c r="I6364" s="2"/>
      <c r="J6364" s="2"/>
      <c r="K6364" s="2"/>
      <c r="L6364" s="2"/>
      <c r="M6364" s="2"/>
      <c r="N6364" s="2"/>
      <c r="O6364" s="2"/>
      <c r="P6364" s="2"/>
      <c r="Q6364" s="2"/>
      <c r="R6364" s="2"/>
      <c r="S6364" s="2"/>
      <c r="T6364" s="2"/>
      <c r="U6364" s="2"/>
      <c r="V6364" s="2"/>
      <c r="W6364" s="2"/>
    </row>
    <row r="6365" spans="1:23" x14ac:dyDescent="0.25">
      <c r="A6365" s="2"/>
      <c r="B6365" s="2"/>
      <c r="C6365" s="1"/>
      <c r="D6365" s="2"/>
      <c r="E6365" s="2"/>
      <c r="F6365" s="2"/>
      <c r="G6365" s="2"/>
      <c r="H6365" s="2"/>
      <c r="I6365" s="2"/>
      <c r="J6365" s="2"/>
      <c r="K6365" s="2"/>
      <c r="L6365" s="2"/>
      <c r="M6365" s="2"/>
      <c r="N6365" s="2"/>
      <c r="O6365" s="2"/>
      <c r="P6365" s="2"/>
      <c r="Q6365" s="2"/>
      <c r="R6365" s="2"/>
      <c r="S6365" s="2"/>
      <c r="T6365" s="2"/>
      <c r="U6365" s="2"/>
      <c r="V6365" s="2"/>
      <c r="W6365" s="2"/>
    </row>
    <row r="6366" spans="1:23" x14ac:dyDescent="0.25">
      <c r="A6366" s="2"/>
      <c r="B6366" s="2"/>
      <c r="C6366" s="1"/>
      <c r="D6366" s="2"/>
      <c r="E6366" s="2"/>
      <c r="F6366" s="2"/>
      <c r="G6366" s="2"/>
      <c r="H6366" s="2"/>
      <c r="I6366" s="2"/>
      <c r="J6366" s="2"/>
      <c r="K6366" s="2"/>
      <c r="L6366" s="2"/>
      <c r="M6366" s="2"/>
      <c r="N6366" s="2"/>
      <c r="O6366" s="2"/>
      <c r="P6366" s="2"/>
      <c r="Q6366" s="2"/>
      <c r="R6366" s="2"/>
      <c r="S6366" s="2"/>
      <c r="T6366" s="2"/>
      <c r="U6366" s="2"/>
      <c r="V6366" s="2"/>
      <c r="W6366" s="2"/>
    </row>
    <row r="6367" spans="1:23" x14ac:dyDescent="0.25">
      <c r="A6367" s="2"/>
      <c r="B6367" s="2"/>
      <c r="C6367" s="1"/>
      <c r="D6367" s="2"/>
      <c r="E6367" s="2"/>
      <c r="F6367" s="2"/>
      <c r="G6367" s="2"/>
      <c r="H6367" s="2"/>
      <c r="I6367" s="2"/>
      <c r="J6367" s="2"/>
      <c r="K6367" s="2"/>
      <c r="L6367" s="2"/>
      <c r="M6367" s="2"/>
      <c r="N6367" s="2"/>
      <c r="O6367" s="2"/>
      <c r="P6367" s="2"/>
      <c r="Q6367" s="2"/>
      <c r="R6367" s="2"/>
      <c r="S6367" s="2"/>
      <c r="T6367" s="2"/>
      <c r="U6367" s="2"/>
      <c r="V6367" s="2"/>
      <c r="W6367" s="2"/>
    </row>
    <row r="6368" spans="1:23" x14ac:dyDescent="0.25">
      <c r="A6368" s="2"/>
      <c r="B6368" s="2"/>
      <c r="C6368" s="1"/>
      <c r="D6368" s="2"/>
      <c r="E6368" s="2"/>
      <c r="F6368" s="2"/>
      <c r="G6368" s="2"/>
      <c r="H6368" s="2"/>
      <c r="I6368" s="2"/>
      <c r="J6368" s="2"/>
      <c r="K6368" s="2"/>
      <c r="L6368" s="2"/>
      <c r="M6368" s="2"/>
      <c r="N6368" s="2"/>
      <c r="O6368" s="2"/>
      <c r="P6368" s="2"/>
      <c r="Q6368" s="2"/>
      <c r="R6368" s="2"/>
      <c r="S6368" s="2"/>
      <c r="T6368" s="2"/>
      <c r="U6368" s="2"/>
      <c r="V6368" s="2"/>
      <c r="W6368" s="2"/>
    </row>
    <row r="6369" spans="1:23" x14ac:dyDescent="0.25">
      <c r="A6369" s="2"/>
      <c r="B6369" s="2"/>
      <c r="C6369" s="1"/>
      <c r="D6369" s="2"/>
      <c r="E6369" s="2"/>
      <c r="F6369" s="2"/>
      <c r="G6369" s="2"/>
      <c r="H6369" s="2"/>
      <c r="I6369" s="2"/>
      <c r="J6369" s="2"/>
      <c r="K6369" s="2"/>
      <c r="L6369" s="2"/>
      <c r="M6369" s="2"/>
      <c r="N6369" s="2"/>
      <c r="O6369" s="2"/>
      <c r="P6369" s="2"/>
      <c r="Q6369" s="2"/>
      <c r="R6369" s="2"/>
      <c r="S6369" s="2"/>
      <c r="T6369" s="2"/>
      <c r="U6369" s="2"/>
      <c r="V6369" s="2"/>
      <c r="W6369" s="2"/>
    </row>
    <row r="6370" spans="1:23" x14ac:dyDescent="0.25">
      <c r="A6370" s="2"/>
      <c r="B6370" s="2"/>
      <c r="C6370" s="1"/>
      <c r="D6370" s="2"/>
      <c r="E6370" s="2"/>
      <c r="F6370" s="2"/>
      <c r="G6370" s="2"/>
      <c r="H6370" s="2"/>
      <c r="I6370" s="2"/>
      <c r="J6370" s="2"/>
      <c r="K6370" s="2"/>
      <c r="L6370" s="2"/>
      <c r="M6370" s="2"/>
      <c r="N6370" s="2"/>
      <c r="O6370" s="2"/>
      <c r="P6370" s="2"/>
      <c r="Q6370" s="2"/>
      <c r="R6370" s="2"/>
      <c r="S6370" s="2"/>
      <c r="T6370" s="2"/>
      <c r="U6370" s="2"/>
      <c r="V6370" s="2"/>
      <c r="W6370" s="2"/>
    </row>
    <row r="6371" spans="1:23" x14ac:dyDescent="0.25">
      <c r="A6371" s="2"/>
      <c r="B6371" s="2"/>
      <c r="C6371" s="1"/>
      <c r="D6371" s="2"/>
      <c r="E6371" s="2"/>
      <c r="F6371" s="2"/>
      <c r="G6371" s="2"/>
      <c r="H6371" s="2"/>
      <c r="I6371" s="2"/>
      <c r="J6371" s="2"/>
      <c r="K6371" s="2"/>
      <c r="L6371" s="2"/>
      <c r="M6371" s="2"/>
      <c r="N6371" s="2"/>
      <c r="O6371" s="2"/>
      <c r="P6371" s="2"/>
      <c r="Q6371" s="2"/>
      <c r="R6371" s="2"/>
      <c r="S6371" s="2"/>
      <c r="T6371" s="2"/>
      <c r="U6371" s="2"/>
      <c r="V6371" s="2"/>
      <c r="W6371" s="2"/>
    </row>
    <row r="6372" spans="1:23" x14ac:dyDescent="0.25">
      <c r="A6372" s="2"/>
      <c r="B6372" s="2"/>
      <c r="C6372" s="1"/>
      <c r="D6372" s="2"/>
      <c r="E6372" s="2"/>
      <c r="F6372" s="2"/>
      <c r="G6372" s="2"/>
      <c r="H6372" s="2"/>
      <c r="I6372" s="2"/>
      <c r="J6372" s="2"/>
      <c r="K6372" s="2"/>
      <c r="L6372" s="2"/>
      <c r="M6372" s="2"/>
      <c r="N6372" s="2"/>
      <c r="O6372" s="2"/>
      <c r="P6372" s="2"/>
      <c r="Q6372" s="2"/>
      <c r="R6372" s="2"/>
      <c r="S6372" s="2"/>
      <c r="T6372" s="2"/>
      <c r="U6372" s="2"/>
      <c r="V6372" s="2"/>
      <c r="W6372" s="2"/>
    </row>
    <row r="6373" spans="1:23" x14ac:dyDescent="0.25">
      <c r="A6373" s="2"/>
      <c r="B6373" s="2"/>
      <c r="C6373" s="1"/>
      <c r="D6373" s="2"/>
      <c r="E6373" s="2"/>
      <c r="F6373" s="2"/>
      <c r="G6373" s="2"/>
      <c r="H6373" s="2"/>
      <c r="I6373" s="2"/>
      <c r="J6373" s="2"/>
      <c r="K6373" s="2"/>
      <c r="L6373" s="2"/>
      <c r="M6373" s="2"/>
      <c r="N6373" s="2"/>
      <c r="O6373" s="2"/>
      <c r="P6373" s="2"/>
      <c r="Q6373" s="2"/>
      <c r="R6373" s="2"/>
      <c r="S6373" s="2"/>
      <c r="T6373" s="2"/>
      <c r="U6373" s="2"/>
      <c r="V6373" s="2"/>
      <c r="W6373" s="2"/>
    </row>
    <row r="6374" spans="1:23" x14ac:dyDescent="0.25">
      <c r="A6374" s="2"/>
      <c r="B6374" s="2"/>
      <c r="C6374" s="1"/>
      <c r="D6374" s="2"/>
      <c r="E6374" s="2"/>
      <c r="F6374" s="2"/>
      <c r="G6374" s="2"/>
      <c r="H6374" s="2"/>
      <c r="I6374" s="2"/>
      <c r="J6374" s="2"/>
      <c r="K6374" s="2"/>
      <c r="L6374" s="2"/>
      <c r="M6374" s="2"/>
      <c r="N6374" s="2"/>
      <c r="O6374" s="2"/>
      <c r="P6374" s="2"/>
      <c r="Q6374" s="2"/>
      <c r="R6374" s="2"/>
      <c r="S6374" s="2"/>
      <c r="T6374" s="2"/>
      <c r="U6374" s="2"/>
      <c r="V6374" s="2"/>
      <c r="W6374" s="2"/>
    </row>
    <row r="6375" spans="1:23" x14ac:dyDescent="0.25">
      <c r="A6375" s="2"/>
      <c r="B6375" s="2"/>
      <c r="C6375" s="1"/>
      <c r="D6375" s="2"/>
      <c r="E6375" s="2"/>
      <c r="F6375" s="2"/>
      <c r="G6375" s="2"/>
      <c r="H6375" s="2"/>
      <c r="I6375" s="2"/>
      <c r="J6375" s="2"/>
      <c r="K6375" s="2"/>
      <c r="L6375" s="2"/>
      <c r="M6375" s="2"/>
      <c r="N6375" s="2"/>
      <c r="O6375" s="2"/>
      <c r="P6375" s="2"/>
      <c r="Q6375" s="2"/>
      <c r="R6375" s="2"/>
      <c r="S6375" s="2"/>
      <c r="T6375" s="2"/>
      <c r="U6375" s="2"/>
      <c r="V6375" s="2"/>
      <c r="W6375" s="2"/>
    </row>
    <row r="6376" spans="1:23" x14ac:dyDescent="0.25">
      <c r="A6376" s="2"/>
      <c r="B6376" s="2"/>
      <c r="C6376" s="1"/>
      <c r="D6376" s="2"/>
      <c r="E6376" s="2"/>
      <c r="F6376" s="2"/>
      <c r="G6376" s="2"/>
      <c r="H6376" s="2"/>
      <c r="I6376" s="2"/>
      <c r="J6376" s="2"/>
      <c r="K6376" s="2"/>
      <c r="L6376" s="2"/>
      <c r="M6376" s="2"/>
      <c r="N6376" s="2"/>
      <c r="O6376" s="2"/>
      <c r="P6376" s="2"/>
      <c r="Q6376" s="2"/>
      <c r="R6376" s="2"/>
      <c r="S6376" s="2"/>
      <c r="T6376" s="2"/>
      <c r="U6376" s="2"/>
      <c r="V6376" s="2"/>
      <c r="W6376" s="2"/>
    </row>
    <row r="6377" spans="1:23" x14ac:dyDescent="0.25">
      <c r="A6377" s="2"/>
      <c r="B6377" s="2"/>
      <c r="C6377" s="1"/>
      <c r="D6377" s="2"/>
      <c r="E6377" s="2"/>
      <c r="F6377" s="2"/>
      <c r="G6377" s="2"/>
      <c r="H6377" s="2"/>
      <c r="I6377" s="2"/>
      <c r="J6377" s="2"/>
      <c r="K6377" s="2"/>
      <c r="L6377" s="2"/>
      <c r="M6377" s="2"/>
      <c r="N6377" s="2"/>
      <c r="O6377" s="2"/>
      <c r="P6377" s="2"/>
      <c r="Q6377" s="2"/>
      <c r="R6377" s="2"/>
      <c r="S6377" s="2"/>
      <c r="T6377" s="2"/>
      <c r="U6377" s="2"/>
      <c r="V6377" s="2"/>
      <c r="W6377" s="2"/>
    </row>
    <row r="6378" spans="1:23" x14ac:dyDescent="0.25">
      <c r="A6378" s="2"/>
      <c r="B6378" s="2"/>
      <c r="C6378" s="1"/>
      <c r="D6378" s="2"/>
      <c r="E6378" s="2"/>
      <c r="F6378" s="2"/>
      <c r="G6378" s="2"/>
      <c r="H6378" s="2"/>
      <c r="I6378" s="2"/>
      <c r="J6378" s="2"/>
      <c r="K6378" s="2"/>
      <c r="L6378" s="2"/>
      <c r="M6378" s="2"/>
      <c r="N6378" s="2"/>
      <c r="O6378" s="2"/>
      <c r="P6378" s="2"/>
      <c r="Q6378" s="2"/>
      <c r="R6378" s="2"/>
      <c r="S6378" s="2"/>
      <c r="T6378" s="2"/>
      <c r="U6378" s="2"/>
      <c r="V6378" s="2"/>
      <c r="W6378" s="2"/>
    </row>
    <row r="6379" spans="1:23" x14ac:dyDescent="0.25">
      <c r="A6379" s="2"/>
      <c r="B6379" s="2"/>
      <c r="C6379" s="1"/>
      <c r="D6379" s="2"/>
      <c r="E6379" s="2"/>
      <c r="F6379" s="2"/>
      <c r="G6379" s="2"/>
      <c r="H6379" s="2"/>
      <c r="I6379" s="2"/>
      <c r="J6379" s="2"/>
      <c r="K6379" s="2"/>
      <c r="L6379" s="2"/>
      <c r="M6379" s="2"/>
      <c r="N6379" s="2"/>
      <c r="O6379" s="2"/>
      <c r="P6379" s="2"/>
      <c r="Q6379" s="2"/>
      <c r="R6379" s="2"/>
      <c r="S6379" s="2"/>
      <c r="T6379" s="2"/>
      <c r="U6379" s="2"/>
      <c r="V6379" s="2"/>
      <c r="W6379" s="2"/>
    </row>
    <row r="6380" spans="1:23" x14ac:dyDescent="0.25">
      <c r="A6380" s="2"/>
      <c r="B6380" s="2"/>
      <c r="C6380" s="1"/>
      <c r="D6380" s="2"/>
      <c r="E6380" s="2"/>
      <c r="F6380" s="2"/>
      <c r="G6380" s="2"/>
      <c r="H6380" s="2"/>
      <c r="I6380" s="2"/>
      <c r="J6380" s="2"/>
      <c r="K6380" s="2"/>
      <c r="L6380" s="2"/>
      <c r="M6380" s="2"/>
      <c r="N6380" s="2"/>
      <c r="O6380" s="2"/>
      <c r="P6380" s="2"/>
      <c r="Q6380" s="2"/>
      <c r="R6380" s="2"/>
      <c r="S6380" s="2"/>
      <c r="T6380" s="2"/>
      <c r="U6380" s="2"/>
      <c r="V6380" s="2"/>
      <c r="W6380" s="2"/>
    </row>
    <row r="6381" spans="1:23" x14ac:dyDescent="0.25">
      <c r="A6381" s="2"/>
      <c r="B6381" s="2"/>
      <c r="C6381" s="1"/>
      <c r="D6381" s="2"/>
      <c r="E6381" s="2"/>
      <c r="F6381" s="2"/>
      <c r="G6381" s="2"/>
      <c r="H6381" s="2"/>
      <c r="I6381" s="2"/>
      <c r="J6381" s="2"/>
      <c r="K6381" s="2"/>
      <c r="L6381" s="2"/>
      <c r="M6381" s="2"/>
      <c r="N6381" s="2"/>
      <c r="O6381" s="2"/>
      <c r="P6381" s="2"/>
      <c r="Q6381" s="2"/>
      <c r="R6381" s="2"/>
      <c r="S6381" s="2"/>
      <c r="T6381" s="2"/>
      <c r="U6381" s="2"/>
      <c r="V6381" s="2"/>
      <c r="W6381" s="2"/>
    </row>
    <row r="6382" spans="1:23" x14ac:dyDescent="0.25">
      <c r="A6382" s="2"/>
      <c r="B6382" s="2"/>
      <c r="C6382" s="1"/>
      <c r="D6382" s="2"/>
      <c r="E6382" s="2"/>
      <c r="F6382" s="2"/>
      <c r="G6382" s="2"/>
      <c r="H6382" s="2"/>
      <c r="I6382" s="2"/>
      <c r="J6382" s="2"/>
      <c r="K6382" s="2"/>
      <c r="L6382" s="2"/>
      <c r="M6382" s="2"/>
      <c r="N6382" s="2"/>
      <c r="O6382" s="2"/>
      <c r="P6382" s="2"/>
      <c r="Q6382" s="2"/>
      <c r="R6382" s="2"/>
      <c r="S6382" s="2"/>
      <c r="T6382" s="2"/>
      <c r="U6382" s="2"/>
      <c r="V6382" s="2"/>
      <c r="W6382" s="2"/>
    </row>
    <row r="6383" spans="1:23" x14ac:dyDescent="0.25">
      <c r="A6383" s="2"/>
      <c r="B6383" s="2"/>
      <c r="C6383" s="1"/>
      <c r="D6383" s="2"/>
      <c r="E6383" s="2"/>
      <c r="F6383" s="2"/>
      <c r="G6383" s="2"/>
      <c r="H6383" s="2"/>
      <c r="I6383" s="2"/>
      <c r="J6383" s="2"/>
      <c r="K6383" s="2"/>
      <c r="L6383" s="2"/>
      <c r="M6383" s="2"/>
      <c r="N6383" s="2"/>
      <c r="O6383" s="2"/>
      <c r="P6383" s="2"/>
      <c r="Q6383" s="2"/>
      <c r="R6383" s="2"/>
      <c r="S6383" s="2"/>
      <c r="T6383" s="2"/>
      <c r="U6383" s="2"/>
      <c r="V6383" s="2"/>
      <c r="W6383" s="2"/>
    </row>
    <row r="6384" spans="1:23" x14ac:dyDescent="0.25">
      <c r="A6384" s="2"/>
      <c r="B6384" s="2"/>
      <c r="C6384" s="1"/>
      <c r="D6384" s="2"/>
      <c r="E6384" s="2"/>
      <c r="F6384" s="2"/>
      <c r="G6384" s="2"/>
      <c r="H6384" s="2"/>
      <c r="I6384" s="2"/>
      <c r="J6384" s="2"/>
      <c r="K6384" s="2"/>
      <c r="L6384" s="2"/>
      <c r="M6384" s="2"/>
      <c r="N6384" s="2"/>
      <c r="O6384" s="2"/>
      <c r="P6384" s="2"/>
      <c r="Q6384" s="2"/>
      <c r="R6384" s="2"/>
      <c r="S6384" s="2"/>
      <c r="T6384" s="2"/>
      <c r="U6384" s="2"/>
      <c r="V6384" s="2"/>
      <c r="W6384" s="2"/>
    </row>
    <row r="6385" spans="1:23" x14ac:dyDescent="0.25">
      <c r="A6385" s="2"/>
      <c r="B6385" s="2"/>
      <c r="C6385" s="1"/>
      <c r="D6385" s="2"/>
      <c r="E6385" s="2"/>
      <c r="F6385" s="2"/>
      <c r="G6385" s="2"/>
      <c r="H6385" s="2"/>
      <c r="I6385" s="2"/>
      <c r="J6385" s="2"/>
      <c r="K6385" s="2"/>
      <c r="L6385" s="2"/>
      <c r="M6385" s="2"/>
      <c r="N6385" s="2"/>
      <c r="O6385" s="2"/>
      <c r="P6385" s="2"/>
      <c r="Q6385" s="2"/>
      <c r="R6385" s="2"/>
      <c r="S6385" s="2"/>
      <c r="T6385" s="2"/>
      <c r="U6385" s="2"/>
      <c r="V6385" s="2"/>
      <c r="W6385" s="2"/>
    </row>
    <row r="6386" spans="1:23" x14ac:dyDescent="0.25">
      <c r="A6386" s="2"/>
      <c r="B6386" s="2"/>
      <c r="C6386" s="1"/>
      <c r="D6386" s="2"/>
      <c r="E6386" s="2"/>
      <c r="F6386" s="2"/>
      <c r="G6386" s="2"/>
      <c r="H6386" s="2"/>
      <c r="I6386" s="2"/>
      <c r="J6386" s="2"/>
      <c r="K6386" s="2"/>
      <c r="L6386" s="2"/>
      <c r="M6386" s="2"/>
      <c r="N6386" s="2"/>
      <c r="O6386" s="2"/>
      <c r="P6386" s="2"/>
      <c r="Q6386" s="2"/>
      <c r="R6386" s="2"/>
      <c r="S6386" s="2"/>
      <c r="T6386" s="2"/>
      <c r="U6386" s="2"/>
      <c r="V6386" s="2"/>
      <c r="W6386" s="2"/>
    </row>
    <row r="6387" spans="1:23" x14ac:dyDescent="0.25">
      <c r="A6387" s="2"/>
      <c r="B6387" s="2"/>
      <c r="C6387" s="1"/>
      <c r="D6387" s="2"/>
      <c r="E6387" s="2"/>
      <c r="F6387" s="2"/>
      <c r="G6387" s="2"/>
      <c r="H6387" s="2"/>
      <c r="I6387" s="2"/>
      <c r="J6387" s="2"/>
      <c r="K6387" s="2"/>
      <c r="L6387" s="2"/>
      <c r="M6387" s="2"/>
      <c r="N6387" s="2"/>
      <c r="O6387" s="2"/>
      <c r="P6387" s="2"/>
      <c r="Q6387" s="2"/>
      <c r="R6387" s="2"/>
      <c r="S6387" s="2"/>
      <c r="T6387" s="2"/>
      <c r="U6387" s="2"/>
      <c r="V6387" s="2"/>
      <c r="W6387" s="2"/>
    </row>
    <row r="6388" spans="1:23" x14ac:dyDescent="0.25">
      <c r="A6388" s="2"/>
      <c r="B6388" s="2"/>
      <c r="C6388" s="1"/>
      <c r="D6388" s="2"/>
      <c r="E6388" s="2"/>
      <c r="F6388" s="2"/>
      <c r="G6388" s="2"/>
      <c r="H6388" s="2"/>
      <c r="I6388" s="2"/>
      <c r="J6388" s="2"/>
      <c r="K6388" s="2"/>
      <c r="L6388" s="2"/>
      <c r="M6388" s="2"/>
      <c r="N6388" s="2"/>
      <c r="O6388" s="2"/>
      <c r="P6388" s="2"/>
      <c r="Q6388" s="2"/>
      <c r="R6388" s="2"/>
      <c r="S6388" s="2"/>
      <c r="T6388" s="2"/>
      <c r="U6388" s="2"/>
      <c r="V6388" s="2"/>
      <c r="W6388" s="2"/>
    </row>
    <row r="6389" spans="1:23" x14ac:dyDescent="0.25">
      <c r="A6389" s="2"/>
      <c r="B6389" s="2"/>
      <c r="C6389" s="1"/>
      <c r="D6389" s="2"/>
      <c r="E6389" s="2"/>
      <c r="F6389" s="2"/>
      <c r="G6389" s="2"/>
      <c r="H6389" s="2"/>
      <c r="I6389" s="2"/>
      <c r="J6389" s="2"/>
      <c r="K6389" s="2"/>
      <c r="L6389" s="2"/>
      <c r="M6389" s="2"/>
      <c r="N6389" s="2"/>
      <c r="O6389" s="2"/>
      <c r="P6389" s="2"/>
      <c r="Q6389" s="2"/>
      <c r="R6389" s="2"/>
      <c r="S6389" s="2"/>
      <c r="T6389" s="2"/>
      <c r="U6389" s="2"/>
      <c r="V6389" s="2"/>
      <c r="W6389" s="2"/>
    </row>
    <row r="6390" spans="1:23" x14ac:dyDescent="0.25">
      <c r="A6390" s="2"/>
      <c r="B6390" s="2"/>
      <c r="C6390" s="1"/>
      <c r="D6390" s="2"/>
      <c r="E6390" s="2"/>
      <c r="F6390" s="2"/>
      <c r="G6390" s="2"/>
      <c r="H6390" s="2"/>
      <c r="I6390" s="2"/>
      <c r="J6390" s="2"/>
      <c r="K6390" s="2"/>
      <c r="L6390" s="2"/>
      <c r="M6390" s="2"/>
      <c r="N6390" s="2"/>
      <c r="O6390" s="2"/>
      <c r="P6390" s="2"/>
      <c r="Q6390" s="2"/>
      <c r="R6390" s="2"/>
      <c r="S6390" s="2"/>
      <c r="T6390" s="2"/>
      <c r="U6390" s="2"/>
      <c r="V6390" s="2"/>
      <c r="W6390" s="2"/>
    </row>
    <row r="6391" spans="1:23" x14ac:dyDescent="0.25">
      <c r="A6391" s="2"/>
      <c r="B6391" s="2"/>
      <c r="C6391" s="1"/>
      <c r="D6391" s="2"/>
      <c r="E6391" s="2"/>
      <c r="F6391" s="2"/>
      <c r="G6391" s="2"/>
      <c r="H6391" s="2"/>
      <c r="I6391" s="2"/>
      <c r="J6391" s="2"/>
      <c r="K6391" s="2"/>
      <c r="L6391" s="2"/>
      <c r="M6391" s="2"/>
      <c r="N6391" s="2"/>
      <c r="O6391" s="2"/>
      <c r="P6391" s="2"/>
      <c r="Q6391" s="2"/>
      <c r="R6391" s="2"/>
      <c r="S6391" s="2"/>
      <c r="T6391" s="2"/>
      <c r="U6391" s="2"/>
      <c r="V6391" s="2"/>
      <c r="W6391" s="2"/>
    </row>
    <row r="6392" spans="1:23" x14ac:dyDescent="0.25">
      <c r="A6392" s="2"/>
      <c r="B6392" s="2"/>
      <c r="C6392" s="1"/>
      <c r="D6392" s="2"/>
      <c r="E6392" s="2"/>
      <c r="F6392" s="2"/>
      <c r="G6392" s="2"/>
      <c r="H6392" s="2"/>
      <c r="I6392" s="2"/>
      <c r="J6392" s="2"/>
      <c r="K6392" s="2"/>
      <c r="L6392" s="2"/>
      <c r="M6392" s="2"/>
      <c r="N6392" s="2"/>
      <c r="O6392" s="2"/>
      <c r="P6392" s="2"/>
      <c r="Q6392" s="2"/>
      <c r="R6392" s="2"/>
      <c r="S6392" s="2"/>
      <c r="T6392" s="2"/>
      <c r="U6392" s="2"/>
      <c r="V6392" s="2"/>
      <c r="W6392" s="2"/>
    </row>
    <row r="6393" spans="1:23" x14ac:dyDescent="0.25">
      <c r="A6393" s="2"/>
      <c r="B6393" s="2"/>
      <c r="C6393" s="1"/>
      <c r="D6393" s="2"/>
      <c r="E6393" s="2"/>
      <c r="F6393" s="2"/>
      <c r="G6393" s="2"/>
      <c r="H6393" s="2"/>
      <c r="I6393" s="2"/>
      <c r="J6393" s="2"/>
      <c r="K6393" s="2"/>
      <c r="L6393" s="2"/>
      <c r="M6393" s="2"/>
      <c r="N6393" s="2"/>
      <c r="O6393" s="2"/>
      <c r="P6393" s="2"/>
      <c r="Q6393" s="2"/>
      <c r="R6393" s="2"/>
      <c r="S6393" s="2"/>
      <c r="T6393" s="2"/>
      <c r="U6393" s="2"/>
      <c r="V6393" s="2"/>
      <c r="W6393" s="2"/>
    </row>
    <row r="6394" spans="1:23" x14ac:dyDescent="0.25">
      <c r="A6394" s="2"/>
      <c r="B6394" s="2"/>
      <c r="C6394" s="1"/>
      <c r="D6394" s="2"/>
      <c r="E6394" s="2"/>
      <c r="F6394" s="2"/>
      <c r="G6394" s="2"/>
      <c r="H6394" s="2"/>
      <c r="I6394" s="2"/>
      <c r="J6394" s="2"/>
      <c r="K6394" s="2"/>
      <c r="L6394" s="2"/>
      <c r="M6394" s="2"/>
      <c r="N6394" s="2"/>
      <c r="O6394" s="2"/>
      <c r="P6394" s="2"/>
      <c r="Q6394" s="2"/>
      <c r="R6394" s="2"/>
      <c r="S6394" s="2"/>
      <c r="T6394" s="2"/>
      <c r="U6394" s="2"/>
      <c r="V6394" s="2"/>
      <c r="W6394" s="2"/>
    </row>
    <row r="6395" spans="1:23" x14ac:dyDescent="0.25">
      <c r="A6395" s="2"/>
      <c r="B6395" s="2"/>
      <c r="C6395" s="1"/>
      <c r="D6395" s="2"/>
      <c r="E6395" s="2"/>
      <c r="F6395" s="2"/>
      <c r="G6395" s="2"/>
      <c r="H6395" s="2"/>
      <c r="I6395" s="2"/>
      <c r="J6395" s="2"/>
      <c r="K6395" s="2"/>
      <c r="L6395" s="2"/>
      <c r="M6395" s="2"/>
      <c r="N6395" s="2"/>
      <c r="O6395" s="2"/>
      <c r="P6395" s="2"/>
      <c r="Q6395" s="2"/>
      <c r="R6395" s="2"/>
      <c r="S6395" s="2"/>
      <c r="T6395" s="2"/>
      <c r="U6395" s="2"/>
      <c r="V6395" s="2"/>
      <c r="W6395" s="2"/>
    </row>
    <row r="6396" spans="1:23" x14ac:dyDescent="0.25">
      <c r="A6396" s="2"/>
      <c r="B6396" s="2"/>
      <c r="C6396" s="1"/>
      <c r="D6396" s="2"/>
      <c r="E6396" s="2"/>
      <c r="F6396" s="2"/>
      <c r="G6396" s="2"/>
      <c r="H6396" s="2"/>
      <c r="I6396" s="2"/>
      <c r="J6396" s="2"/>
      <c r="K6396" s="2"/>
      <c r="L6396" s="2"/>
      <c r="M6396" s="2"/>
      <c r="N6396" s="2"/>
      <c r="O6396" s="2"/>
      <c r="P6396" s="2"/>
      <c r="Q6396" s="2"/>
      <c r="R6396" s="2"/>
      <c r="S6396" s="2"/>
      <c r="T6396" s="2"/>
      <c r="U6396" s="2"/>
      <c r="V6396" s="2"/>
      <c r="W6396" s="2"/>
    </row>
    <row r="6397" spans="1:23" x14ac:dyDescent="0.25">
      <c r="A6397" s="2"/>
      <c r="B6397" s="2"/>
      <c r="C6397" s="1"/>
      <c r="D6397" s="2"/>
      <c r="E6397" s="2"/>
      <c r="F6397" s="2"/>
      <c r="G6397" s="2"/>
      <c r="H6397" s="2"/>
      <c r="I6397" s="2"/>
      <c r="J6397" s="2"/>
      <c r="K6397" s="2"/>
      <c r="L6397" s="2"/>
      <c r="M6397" s="2"/>
      <c r="N6397" s="2"/>
      <c r="O6397" s="2"/>
      <c r="P6397" s="2"/>
      <c r="Q6397" s="2"/>
      <c r="R6397" s="2"/>
      <c r="S6397" s="2"/>
      <c r="T6397" s="2"/>
      <c r="U6397" s="2"/>
      <c r="V6397" s="2"/>
      <c r="W6397" s="2"/>
    </row>
    <row r="6398" spans="1:23" x14ac:dyDescent="0.25">
      <c r="A6398" s="2"/>
      <c r="B6398" s="2"/>
      <c r="C6398" s="1"/>
      <c r="D6398" s="2"/>
      <c r="E6398" s="2"/>
      <c r="F6398" s="2"/>
      <c r="G6398" s="2"/>
      <c r="H6398" s="2"/>
      <c r="I6398" s="2"/>
      <c r="J6398" s="2"/>
      <c r="K6398" s="2"/>
      <c r="L6398" s="2"/>
      <c r="M6398" s="2"/>
      <c r="N6398" s="2"/>
      <c r="O6398" s="2"/>
      <c r="P6398" s="2"/>
      <c r="Q6398" s="2"/>
      <c r="R6398" s="2"/>
      <c r="S6398" s="2"/>
      <c r="T6398" s="2"/>
      <c r="U6398" s="2"/>
      <c r="V6398" s="2"/>
      <c r="W6398" s="2"/>
    </row>
    <row r="6399" spans="1:23" x14ac:dyDescent="0.25">
      <c r="A6399" s="2"/>
      <c r="B6399" s="2"/>
      <c r="C6399" s="1"/>
      <c r="D6399" s="2"/>
      <c r="E6399" s="2"/>
      <c r="F6399" s="2"/>
      <c r="G6399" s="2"/>
      <c r="H6399" s="2"/>
      <c r="I6399" s="2"/>
      <c r="J6399" s="2"/>
      <c r="K6399" s="2"/>
      <c r="L6399" s="2"/>
      <c r="M6399" s="2"/>
      <c r="N6399" s="2"/>
      <c r="O6399" s="2"/>
      <c r="P6399" s="2"/>
      <c r="Q6399" s="2"/>
      <c r="R6399" s="2"/>
      <c r="S6399" s="2"/>
      <c r="T6399" s="2"/>
      <c r="U6399" s="2"/>
      <c r="V6399" s="2"/>
      <c r="W6399" s="2"/>
    </row>
    <row r="6400" spans="1:23" x14ac:dyDescent="0.25">
      <c r="A6400" s="2"/>
      <c r="B6400" s="2"/>
      <c r="C6400" s="1"/>
      <c r="D6400" s="2"/>
      <c r="E6400" s="2"/>
      <c r="F6400" s="2"/>
      <c r="G6400" s="2"/>
      <c r="H6400" s="2"/>
      <c r="I6400" s="2"/>
      <c r="J6400" s="2"/>
      <c r="K6400" s="2"/>
      <c r="L6400" s="2"/>
      <c r="M6400" s="2"/>
      <c r="N6400" s="2"/>
      <c r="O6400" s="2"/>
      <c r="P6400" s="2"/>
      <c r="Q6400" s="2"/>
      <c r="R6400" s="2"/>
      <c r="S6400" s="2"/>
      <c r="T6400" s="2"/>
      <c r="U6400" s="2"/>
      <c r="V6400" s="2"/>
      <c r="W6400" s="2"/>
    </row>
    <row r="6401" spans="1:23" x14ac:dyDescent="0.25">
      <c r="A6401" s="2"/>
      <c r="B6401" s="2"/>
      <c r="C6401" s="1"/>
      <c r="D6401" s="2"/>
      <c r="E6401" s="2"/>
      <c r="F6401" s="2"/>
      <c r="G6401" s="2"/>
      <c r="H6401" s="2"/>
      <c r="I6401" s="2"/>
      <c r="J6401" s="2"/>
      <c r="K6401" s="2"/>
      <c r="L6401" s="2"/>
      <c r="M6401" s="2"/>
      <c r="N6401" s="2"/>
      <c r="O6401" s="2"/>
      <c r="P6401" s="2"/>
      <c r="Q6401" s="2"/>
      <c r="R6401" s="2"/>
      <c r="S6401" s="2"/>
      <c r="T6401" s="2"/>
      <c r="U6401" s="2"/>
      <c r="V6401" s="2"/>
      <c r="W6401" s="2"/>
    </row>
    <row r="6402" spans="1:23" x14ac:dyDescent="0.25">
      <c r="A6402" s="2"/>
      <c r="B6402" s="2"/>
      <c r="C6402" s="1"/>
      <c r="D6402" s="2"/>
      <c r="E6402" s="2"/>
      <c r="F6402" s="2"/>
      <c r="G6402" s="2"/>
      <c r="H6402" s="2"/>
      <c r="I6402" s="2"/>
      <c r="J6402" s="2"/>
      <c r="K6402" s="2"/>
      <c r="L6402" s="2"/>
      <c r="M6402" s="2"/>
      <c r="N6402" s="2"/>
      <c r="O6402" s="2"/>
      <c r="P6402" s="2"/>
      <c r="Q6402" s="2"/>
      <c r="R6402" s="2"/>
      <c r="S6402" s="2"/>
      <c r="T6402" s="2"/>
      <c r="U6402" s="2"/>
      <c r="V6402" s="2"/>
      <c r="W6402" s="2"/>
    </row>
    <row r="6403" spans="1:23" x14ac:dyDescent="0.25">
      <c r="A6403" s="2"/>
      <c r="B6403" s="2"/>
      <c r="C6403" s="1"/>
      <c r="D6403" s="2"/>
      <c r="E6403" s="2"/>
      <c r="F6403" s="2"/>
      <c r="G6403" s="2"/>
      <c r="H6403" s="2"/>
      <c r="I6403" s="2"/>
      <c r="J6403" s="2"/>
      <c r="K6403" s="2"/>
      <c r="L6403" s="2"/>
      <c r="M6403" s="2"/>
      <c r="N6403" s="2"/>
      <c r="O6403" s="2"/>
      <c r="P6403" s="2"/>
      <c r="Q6403" s="2"/>
      <c r="R6403" s="2"/>
      <c r="S6403" s="2"/>
      <c r="T6403" s="2"/>
      <c r="U6403" s="2"/>
      <c r="V6403" s="2"/>
      <c r="W6403" s="2"/>
    </row>
    <row r="6404" spans="1:23" x14ac:dyDescent="0.25">
      <c r="A6404" s="2"/>
      <c r="B6404" s="2"/>
      <c r="C6404" s="1"/>
      <c r="D6404" s="2"/>
      <c r="E6404" s="2"/>
      <c r="F6404" s="2"/>
      <c r="G6404" s="2"/>
      <c r="H6404" s="2"/>
      <c r="I6404" s="2"/>
      <c r="J6404" s="2"/>
      <c r="K6404" s="2"/>
      <c r="L6404" s="2"/>
      <c r="M6404" s="2"/>
      <c r="N6404" s="2"/>
      <c r="O6404" s="2"/>
      <c r="P6404" s="2"/>
      <c r="Q6404" s="2"/>
      <c r="R6404" s="2"/>
      <c r="S6404" s="2"/>
      <c r="T6404" s="2"/>
      <c r="U6404" s="2"/>
      <c r="V6404" s="2"/>
      <c r="W6404" s="2"/>
    </row>
    <row r="6405" spans="1:23" x14ac:dyDescent="0.25">
      <c r="A6405" s="2"/>
      <c r="B6405" s="2"/>
      <c r="C6405" s="1"/>
      <c r="D6405" s="2"/>
      <c r="E6405" s="2"/>
      <c r="F6405" s="2"/>
      <c r="G6405" s="2"/>
      <c r="H6405" s="2"/>
      <c r="I6405" s="2"/>
      <c r="J6405" s="2"/>
      <c r="K6405" s="2"/>
      <c r="L6405" s="2"/>
      <c r="M6405" s="2"/>
      <c r="N6405" s="2"/>
      <c r="O6405" s="2"/>
      <c r="P6405" s="2"/>
      <c r="Q6405" s="2"/>
      <c r="R6405" s="2"/>
      <c r="S6405" s="2"/>
      <c r="T6405" s="2"/>
      <c r="U6405" s="2"/>
      <c r="V6405" s="2"/>
      <c r="W6405" s="2"/>
    </row>
    <row r="6406" spans="1:23" x14ac:dyDescent="0.25">
      <c r="A6406" s="2"/>
      <c r="B6406" s="2"/>
      <c r="C6406" s="1"/>
      <c r="D6406" s="2"/>
      <c r="E6406" s="2"/>
      <c r="F6406" s="2"/>
      <c r="G6406" s="2"/>
      <c r="H6406" s="2"/>
      <c r="I6406" s="2"/>
      <c r="J6406" s="2"/>
      <c r="K6406" s="2"/>
      <c r="L6406" s="2"/>
      <c r="M6406" s="2"/>
      <c r="N6406" s="2"/>
      <c r="O6406" s="2"/>
      <c r="P6406" s="2"/>
      <c r="Q6406" s="2"/>
      <c r="R6406" s="2"/>
      <c r="S6406" s="2"/>
      <c r="T6406" s="2"/>
      <c r="U6406" s="2"/>
      <c r="V6406" s="2"/>
      <c r="W6406" s="2"/>
    </row>
    <row r="6407" spans="1:23" x14ac:dyDescent="0.25">
      <c r="A6407" s="2"/>
      <c r="B6407" s="2"/>
      <c r="C6407" s="1"/>
      <c r="D6407" s="2"/>
      <c r="E6407" s="2"/>
      <c r="F6407" s="2"/>
      <c r="G6407" s="2"/>
      <c r="H6407" s="2"/>
      <c r="I6407" s="2"/>
      <c r="J6407" s="2"/>
      <c r="K6407" s="2"/>
      <c r="L6407" s="2"/>
      <c r="M6407" s="2"/>
      <c r="N6407" s="2"/>
      <c r="O6407" s="2"/>
      <c r="P6407" s="2"/>
      <c r="Q6407" s="2"/>
      <c r="R6407" s="2"/>
      <c r="S6407" s="2"/>
      <c r="T6407" s="2"/>
      <c r="U6407" s="2"/>
      <c r="V6407" s="2"/>
      <c r="W6407" s="2"/>
    </row>
    <row r="6408" spans="1:23" x14ac:dyDescent="0.25">
      <c r="A6408" s="2"/>
      <c r="B6408" s="2"/>
      <c r="C6408" s="1"/>
      <c r="D6408" s="2"/>
      <c r="E6408" s="2"/>
      <c r="F6408" s="2"/>
      <c r="G6408" s="2"/>
      <c r="H6408" s="2"/>
      <c r="I6408" s="2"/>
      <c r="J6408" s="2"/>
      <c r="K6408" s="2"/>
      <c r="L6408" s="2"/>
      <c r="M6408" s="2"/>
      <c r="N6408" s="2"/>
      <c r="O6408" s="2"/>
      <c r="P6408" s="2"/>
      <c r="Q6408" s="2"/>
      <c r="R6408" s="2"/>
      <c r="S6408" s="2"/>
      <c r="T6408" s="2"/>
      <c r="U6408" s="2"/>
      <c r="V6408" s="2"/>
      <c r="W6408" s="2"/>
    </row>
    <row r="6409" spans="1:23" x14ac:dyDescent="0.25">
      <c r="A6409" s="2"/>
      <c r="B6409" s="2"/>
      <c r="C6409" s="1"/>
      <c r="D6409" s="2"/>
      <c r="E6409" s="2"/>
      <c r="F6409" s="2"/>
      <c r="G6409" s="2"/>
      <c r="H6409" s="2"/>
      <c r="I6409" s="2"/>
      <c r="J6409" s="2"/>
      <c r="K6409" s="2"/>
      <c r="L6409" s="2"/>
      <c r="M6409" s="2"/>
      <c r="N6409" s="2"/>
      <c r="O6409" s="2"/>
      <c r="P6409" s="2"/>
      <c r="Q6409" s="2"/>
      <c r="R6409" s="2"/>
      <c r="S6409" s="2"/>
      <c r="T6409" s="2"/>
      <c r="U6409" s="2"/>
      <c r="V6409" s="2"/>
      <c r="W6409" s="2"/>
    </row>
    <row r="6410" spans="1:23" x14ac:dyDescent="0.25">
      <c r="A6410" s="2"/>
      <c r="B6410" s="2"/>
      <c r="C6410" s="1"/>
      <c r="D6410" s="2"/>
      <c r="E6410" s="2"/>
      <c r="F6410" s="2"/>
      <c r="G6410" s="2"/>
      <c r="H6410" s="2"/>
      <c r="I6410" s="2"/>
      <c r="J6410" s="2"/>
      <c r="K6410" s="2"/>
      <c r="L6410" s="2"/>
      <c r="M6410" s="2"/>
      <c r="N6410" s="2"/>
      <c r="O6410" s="2"/>
      <c r="P6410" s="2"/>
      <c r="Q6410" s="2"/>
      <c r="R6410" s="2"/>
      <c r="S6410" s="2"/>
      <c r="T6410" s="2"/>
      <c r="U6410" s="2"/>
      <c r="V6410" s="2"/>
      <c r="W6410" s="2"/>
    </row>
    <row r="6411" spans="1:23" x14ac:dyDescent="0.25">
      <c r="A6411" s="2"/>
      <c r="B6411" s="2"/>
      <c r="C6411" s="1"/>
      <c r="D6411" s="2"/>
      <c r="E6411" s="2"/>
      <c r="F6411" s="2"/>
      <c r="G6411" s="2"/>
      <c r="H6411" s="2"/>
      <c r="I6411" s="2"/>
      <c r="J6411" s="2"/>
      <c r="K6411" s="2"/>
      <c r="L6411" s="2"/>
      <c r="M6411" s="2"/>
      <c r="N6411" s="2"/>
      <c r="O6411" s="2"/>
      <c r="P6411" s="2"/>
      <c r="Q6411" s="2"/>
      <c r="R6411" s="2"/>
      <c r="S6411" s="2"/>
      <c r="T6411" s="2"/>
      <c r="U6411" s="2"/>
      <c r="V6411" s="2"/>
      <c r="W6411" s="2"/>
    </row>
    <row r="6412" spans="1:23" x14ac:dyDescent="0.25">
      <c r="A6412" s="2"/>
      <c r="B6412" s="2"/>
      <c r="C6412" s="1"/>
      <c r="D6412" s="2"/>
      <c r="E6412" s="2"/>
      <c r="F6412" s="2"/>
      <c r="G6412" s="2"/>
      <c r="H6412" s="2"/>
      <c r="I6412" s="2"/>
      <c r="J6412" s="2"/>
      <c r="K6412" s="2"/>
      <c r="L6412" s="2"/>
      <c r="M6412" s="2"/>
      <c r="N6412" s="2"/>
      <c r="O6412" s="2"/>
      <c r="P6412" s="2"/>
      <c r="Q6412" s="2"/>
      <c r="R6412" s="2"/>
      <c r="S6412" s="2"/>
      <c r="T6412" s="2"/>
      <c r="U6412" s="2"/>
      <c r="V6412" s="2"/>
      <c r="W6412" s="2"/>
    </row>
    <row r="6413" spans="1:23" x14ac:dyDescent="0.25">
      <c r="A6413" s="2"/>
      <c r="B6413" s="2"/>
      <c r="C6413" s="1"/>
      <c r="D6413" s="2"/>
      <c r="E6413" s="2"/>
      <c r="F6413" s="2"/>
      <c r="G6413" s="2"/>
      <c r="H6413" s="2"/>
      <c r="I6413" s="2"/>
      <c r="J6413" s="2"/>
      <c r="K6413" s="2"/>
      <c r="L6413" s="2"/>
      <c r="M6413" s="2"/>
      <c r="N6413" s="2"/>
      <c r="O6413" s="2"/>
      <c r="P6413" s="2"/>
      <c r="Q6413" s="2"/>
      <c r="R6413" s="2"/>
      <c r="S6413" s="2"/>
      <c r="T6413" s="2"/>
      <c r="U6413" s="2"/>
      <c r="V6413" s="2"/>
      <c r="W6413" s="2"/>
    </row>
    <row r="6414" spans="1:23" x14ac:dyDescent="0.25">
      <c r="A6414" s="2"/>
      <c r="B6414" s="2"/>
      <c r="C6414" s="1"/>
      <c r="D6414" s="2"/>
      <c r="E6414" s="2"/>
      <c r="F6414" s="2"/>
      <c r="G6414" s="2"/>
      <c r="H6414" s="2"/>
      <c r="I6414" s="2"/>
      <c r="J6414" s="2"/>
      <c r="K6414" s="2"/>
      <c r="L6414" s="2"/>
      <c r="M6414" s="2"/>
      <c r="N6414" s="2"/>
      <c r="O6414" s="2"/>
      <c r="P6414" s="2"/>
      <c r="Q6414" s="2"/>
      <c r="R6414" s="2"/>
      <c r="S6414" s="2"/>
      <c r="T6414" s="2"/>
      <c r="U6414" s="2"/>
      <c r="V6414" s="2"/>
      <c r="W6414" s="2"/>
    </row>
    <row r="6415" spans="1:23" x14ac:dyDescent="0.25">
      <c r="A6415" s="2"/>
      <c r="B6415" s="2"/>
      <c r="C6415" s="1"/>
      <c r="D6415" s="2"/>
      <c r="E6415" s="2"/>
      <c r="F6415" s="2"/>
      <c r="G6415" s="2"/>
      <c r="H6415" s="2"/>
      <c r="I6415" s="2"/>
      <c r="J6415" s="2"/>
      <c r="K6415" s="2"/>
      <c r="L6415" s="2"/>
      <c r="M6415" s="2"/>
      <c r="N6415" s="2"/>
      <c r="O6415" s="2"/>
      <c r="P6415" s="2"/>
      <c r="Q6415" s="2"/>
      <c r="R6415" s="2"/>
      <c r="S6415" s="2"/>
      <c r="T6415" s="2"/>
      <c r="U6415" s="2"/>
      <c r="V6415" s="2"/>
      <c r="W6415" s="2"/>
    </row>
    <row r="6416" spans="1:23" x14ac:dyDescent="0.25">
      <c r="A6416" s="2"/>
      <c r="B6416" s="2"/>
      <c r="C6416" s="1"/>
      <c r="D6416" s="2"/>
      <c r="E6416" s="2"/>
      <c r="F6416" s="2"/>
      <c r="G6416" s="2"/>
      <c r="H6416" s="2"/>
      <c r="I6416" s="2"/>
      <c r="J6416" s="2"/>
      <c r="K6416" s="2"/>
      <c r="L6416" s="2"/>
      <c r="M6416" s="2"/>
      <c r="N6416" s="2"/>
      <c r="O6416" s="2"/>
      <c r="P6416" s="2"/>
      <c r="Q6416" s="2"/>
      <c r="R6416" s="2"/>
      <c r="S6416" s="2"/>
      <c r="T6416" s="2"/>
      <c r="U6416" s="2"/>
      <c r="V6416" s="2"/>
      <c r="W6416" s="2"/>
    </row>
    <row r="6417" spans="1:23" x14ac:dyDescent="0.25">
      <c r="A6417" s="2"/>
      <c r="B6417" s="2"/>
      <c r="C6417" s="1"/>
      <c r="D6417" s="2"/>
      <c r="E6417" s="2"/>
      <c r="F6417" s="2"/>
      <c r="G6417" s="2"/>
      <c r="H6417" s="2"/>
      <c r="I6417" s="2"/>
      <c r="J6417" s="2"/>
      <c r="K6417" s="2"/>
      <c r="L6417" s="2"/>
      <c r="M6417" s="2"/>
      <c r="N6417" s="2"/>
      <c r="O6417" s="2"/>
      <c r="P6417" s="2"/>
      <c r="Q6417" s="2"/>
      <c r="R6417" s="2"/>
      <c r="S6417" s="2"/>
      <c r="T6417" s="2"/>
      <c r="U6417" s="2"/>
      <c r="V6417" s="2"/>
      <c r="W6417" s="2"/>
    </row>
    <row r="6418" spans="1:23" x14ac:dyDescent="0.25">
      <c r="A6418" s="2"/>
      <c r="B6418" s="2"/>
      <c r="C6418" s="1"/>
      <c r="D6418" s="2"/>
      <c r="E6418" s="2"/>
      <c r="F6418" s="2"/>
      <c r="G6418" s="2"/>
      <c r="H6418" s="2"/>
      <c r="I6418" s="2"/>
      <c r="J6418" s="2"/>
      <c r="K6418" s="2"/>
      <c r="L6418" s="2"/>
      <c r="M6418" s="2"/>
      <c r="N6418" s="2"/>
      <c r="O6418" s="2"/>
      <c r="P6418" s="2"/>
      <c r="Q6418" s="2"/>
      <c r="R6418" s="2"/>
      <c r="S6418" s="2"/>
      <c r="T6418" s="2"/>
      <c r="U6418" s="2"/>
      <c r="V6418" s="2"/>
      <c r="W6418" s="2"/>
    </row>
    <row r="6419" spans="1:23" x14ac:dyDescent="0.25">
      <c r="A6419" s="2"/>
      <c r="B6419" s="2"/>
      <c r="C6419" s="1"/>
      <c r="D6419" s="2"/>
      <c r="E6419" s="2"/>
      <c r="F6419" s="2"/>
      <c r="G6419" s="2"/>
      <c r="H6419" s="2"/>
      <c r="I6419" s="2"/>
      <c r="J6419" s="2"/>
      <c r="K6419" s="2"/>
      <c r="L6419" s="2"/>
      <c r="M6419" s="2"/>
      <c r="N6419" s="2"/>
      <c r="O6419" s="2"/>
      <c r="P6419" s="2"/>
      <c r="Q6419" s="2"/>
      <c r="R6419" s="2"/>
      <c r="S6419" s="2"/>
      <c r="T6419" s="2"/>
      <c r="U6419" s="2"/>
      <c r="V6419" s="2"/>
      <c r="W6419" s="2"/>
    </row>
    <row r="6420" spans="1:23" x14ac:dyDescent="0.25">
      <c r="A6420" s="2"/>
      <c r="B6420" s="2"/>
      <c r="C6420" s="1"/>
      <c r="D6420" s="2"/>
      <c r="E6420" s="2"/>
      <c r="F6420" s="2"/>
      <c r="G6420" s="2"/>
      <c r="H6420" s="2"/>
      <c r="I6420" s="2"/>
      <c r="J6420" s="2"/>
      <c r="K6420" s="2"/>
      <c r="L6420" s="2"/>
      <c r="M6420" s="2"/>
      <c r="N6420" s="2"/>
      <c r="O6420" s="2"/>
      <c r="P6420" s="2"/>
      <c r="Q6420" s="2"/>
      <c r="R6420" s="2"/>
      <c r="S6420" s="2"/>
      <c r="T6420" s="2"/>
      <c r="U6420" s="2"/>
      <c r="V6420" s="2"/>
      <c r="W6420" s="2"/>
    </row>
    <row r="6421" spans="1:23" x14ac:dyDescent="0.25">
      <c r="A6421" s="2"/>
      <c r="B6421" s="2"/>
      <c r="C6421" s="1"/>
      <c r="D6421" s="2"/>
      <c r="E6421" s="2"/>
      <c r="F6421" s="2"/>
      <c r="G6421" s="2"/>
      <c r="H6421" s="2"/>
      <c r="I6421" s="2"/>
      <c r="J6421" s="2"/>
      <c r="K6421" s="2"/>
      <c r="L6421" s="2"/>
      <c r="M6421" s="2"/>
      <c r="N6421" s="2"/>
      <c r="O6421" s="2"/>
      <c r="P6421" s="2"/>
      <c r="Q6421" s="2"/>
      <c r="R6421" s="2"/>
      <c r="S6421" s="2"/>
      <c r="T6421" s="2"/>
      <c r="U6421" s="2"/>
      <c r="V6421" s="2"/>
      <c r="W6421" s="2"/>
    </row>
    <row r="6422" spans="1:23" x14ac:dyDescent="0.25">
      <c r="A6422" s="2"/>
      <c r="B6422" s="2"/>
      <c r="C6422" s="1"/>
      <c r="D6422" s="2"/>
      <c r="E6422" s="2"/>
      <c r="F6422" s="2"/>
      <c r="G6422" s="2"/>
      <c r="H6422" s="2"/>
      <c r="I6422" s="2"/>
      <c r="J6422" s="2"/>
      <c r="K6422" s="2"/>
      <c r="L6422" s="2"/>
      <c r="M6422" s="2"/>
      <c r="N6422" s="2"/>
      <c r="O6422" s="2"/>
      <c r="P6422" s="2"/>
      <c r="Q6422" s="2"/>
      <c r="R6422" s="2"/>
      <c r="S6422" s="2"/>
      <c r="T6422" s="2"/>
      <c r="U6422" s="2"/>
      <c r="V6422" s="2"/>
      <c r="W6422" s="2"/>
    </row>
    <row r="6423" spans="1:23" x14ac:dyDescent="0.25">
      <c r="A6423" s="2"/>
      <c r="B6423" s="2"/>
      <c r="C6423" s="1"/>
      <c r="D6423" s="2"/>
      <c r="E6423" s="2"/>
      <c r="F6423" s="2"/>
      <c r="G6423" s="2"/>
      <c r="H6423" s="2"/>
      <c r="I6423" s="2"/>
      <c r="J6423" s="2"/>
      <c r="K6423" s="2"/>
      <c r="L6423" s="2"/>
      <c r="M6423" s="2"/>
      <c r="N6423" s="2"/>
      <c r="O6423" s="2"/>
      <c r="P6423" s="2"/>
      <c r="Q6423" s="2"/>
      <c r="R6423" s="2"/>
      <c r="S6423" s="2"/>
      <c r="T6423" s="2"/>
      <c r="U6423" s="2"/>
      <c r="V6423" s="2"/>
      <c r="W6423" s="2"/>
    </row>
    <row r="6424" spans="1:23" x14ac:dyDescent="0.25">
      <c r="A6424" s="2"/>
      <c r="B6424" s="2"/>
      <c r="C6424" s="1"/>
      <c r="D6424" s="2"/>
      <c r="E6424" s="2"/>
      <c r="F6424" s="2"/>
      <c r="G6424" s="2"/>
      <c r="H6424" s="2"/>
      <c r="I6424" s="2"/>
      <c r="J6424" s="2"/>
      <c r="K6424" s="2"/>
      <c r="L6424" s="2"/>
      <c r="M6424" s="2"/>
      <c r="N6424" s="2"/>
      <c r="O6424" s="2"/>
      <c r="P6424" s="2"/>
      <c r="Q6424" s="2"/>
      <c r="R6424" s="2"/>
      <c r="S6424" s="2"/>
      <c r="T6424" s="2"/>
      <c r="U6424" s="2"/>
      <c r="V6424" s="2"/>
      <c r="W6424" s="2"/>
    </row>
    <row r="6425" spans="1:23" x14ac:dyDescent="0.25">
      <c r="A6425" s="2"/>
      <c r="B6425" s="2"/>
      <c r="C6425" s="1"/>
      <c r="D6425" s="2"/>
      <c r="E6425" s="2"/>
      <c r="F6425" s="2"/>
      <c r="G6425" s="2"/>
      <c r="H6425" s="2"/>
      <c r="I6425" s="2"/>
      <c r="J6425" s="2"/>
      <c r="K6425" s="2"/>
      <c r="L6425" s="2"/>
      <c r="M6425" s="2"/>
      <c r="N6425" s="2"/>
      <c r="O6425" s="2"/>
      <c r="P6425" s="2"/>
      <c r="Q6425" s="2"/>
      <c r="R6425" s="2"/>
      <c r="S6425" s="2"/>
      <c r="T6425" s="2"/>
      <c r="U6425" s="2"/>
      <c r="V6425" s="2"/>
      <c r="W6425" s="2"/>
    </row>
    <row r="6426" spans="1:23" x14ac:dyDescent="0.25">
      <c r="A6426" s="2"/>
      <c r="B6426" s="2"/>
      <c r="C6426" s="1"/>
      <c r="D6426" s="2"/>
      <c r="E6426" s="2"/>
      <c r="F6426" s="2"/>
      <c r="G6426" s="2"/>
      <c r="H6426" s="2"/>
      <c r="I6426" s="2"/>
      <c r="J6426" s="2"/>
      <c r="K6426" s="2"/>
      <c r="L6426" s="2"/>
      <c r="M6426" s="2"/>
      <c r="N6426" s="2"/>
      <c r="O6426" s="2"/>
      <c r="P6426" s="2"/>
      <c r="Q6426" s="2"/>
      <c r="R6426" s="2"/>
      <c r="S6426" s="2"/>
      <c r="T6426" s="2"/>
      <c r="U6426" s="2"/>
      <c r="V6426" s="2"/>
      <c r="W6426" s="2"/>
    </row>
    <row r="6427" spans="1:23" x14ac:dyDescent="0.25">
      <c r="A6427" s="2"/>
      <c r="B6427" s="2"/>
      <c r="C6427" s="1"/>
      <c r="D6427" s="2"/>
      <c r="E6427" s="2"/>
      <c r="F6427" s="2"/>
      <c r="G6427" s="2"/>
      <c r="H6427" s="2"/>
      <c r="I6427" s="2"/>
      <c r="J6427" s="2"/>
      <c r="K6427" s="2"/>
      <c r="L6427" s="2"/>
      <c r="M6427" s="2"/>
      <c r="N6427" s="2"/>
      <c r="O6427" s="2"/>
      <c r="P6427" s="2"/>
      <c r="Q6427" s="2"/>
      <c r="R6427" s="2"/>
      <c r="S6427" s="2"/>
      <c r="T6427" s="2"/>
      <c r="U6427" s="2"/>
      <c r="V6427" s="2"/>
      <c r="W6427" s="2"/>
    </row>
    <row r="6428" spans="1:23" x14ac:dyDescent="0.25">
      <c r="A6428" s="2"/>
      <c r="B6428" s="2"/>
      <c r="C6428" s="1"/>
      <c r="D6428" s="2"/>
      <c r="E6428" s="2"/>
      <c r="F6428" s="2"/>
      <c r="G6428" s="2"/>
      <c r="H6428" s="2"/>
      <c r="I6428" s="2"/>
      <c r="J6428" s="2"/>
      <c r="K6428" s="2"/>
      <c r="L6428" s="2"/>
      <c r="M6428" s="2"/>
      <c r="N6428" s="2"/>
      <c r="O6428" s="2"/>
      <c r="P6428" s="2"/>
      <c r="Q6428" s="2"/>
      <c r="R6428" s="2"/>
      <c r="S6428" s="2"/>
      <c r="T6428" s="2"/>
      <c r="U6428" s="2"/>
      <c r="V6428" s="2"/>
      <c r="W6428" s="2"/>
    </row>
    <row r="6429" spans="1:23" x14ac:dyDescent="0.25">
      <c r="A6429" s="2"/>
      <c r="B6429" s="2"/>
      <c r="C6429" s="1"/>
      <c r="D6429" s="2"/>
      <c r="E6429" s="2"/>
      <c r="F6429" s="2"/>
      <c r="G6429" s="2"/>
      <c r="H6429" s="2"/>
      <c r="I6429" s="2"/>
      <c r="J6429" s="2"/>
      <c r="K6429" s="2"/>
      <c r="L6429" s="2"/>
      <c r="M6429" s="2"/>
      <c r="N6429" s="2"/>
      <c r="O6429" s="2"/>
      <c r="P6429" s="2"/>
      <c r="Q6429" s="2"/>
      <c r="R6429" s="2"/>
      <c r="S6429" s="2"/>
      <c r="T6429" s="2"/>
      <c r="U6429" s="2"/>
      <c r="V6429" s="2"/>
      <c r="W6429" s="2"/>
    </row>
    <row r="6430" spans="1:23" x14ac:dyDescent="0.25">
      <c r="A6430" s="2"/>
      <c r="B6430" s="2"/>
      <c r="C6430" s="1"/>
      <c r="D6430" s="2"/>
      <c r="E6430" s="2"/>
      <c r="F6430" s="2"/>
      <c r="G6430" s="2"/>
      <c r="H6430" s="2"/>
      <c r="I6430" s="2"/>
      <c r="J6430" s="2"/>
      <c r="K6430" s="2"/>
      <c r="L6430" s="2"/>
      <c r="M6430" s="2"/>
      <c r="N6430" s="2"/>
      <c r="O6430" s="2"/>
      <c r="P6430" s="2"/>
      <c r="Q6430" s="2"/>
      <c r="R6430" s="2"/>
      <c r="S6430" s="2"/>
      <c r="T6430" s="2"/>
      <c r="U6430" s="2"/>
      <c r="V6430" s="2"/>
      <c r="W6430" s="2"/>
    </row>
    <row r="6431" spans="1:23" x14ac:dyDescent="0.25">
      <c r="A6431" s="2"/>
      <c r="B6431" s="2"/>
      <c r="C6431" s="1"/>
      <c r="D6431" s="2"/>
      <c r="E6431" s="2"/>
      <c r="F6431" s="2"/>
      <c r="G6431" s="2"/>
      <c r="H6431" s="2"/>
      <c r="I6431" s="2"/>
      <c r="J6431" s="2"/>
      <c r="K6431" s="2"/>
      <c r="L6431" s="2"/>
      <c r="M6431" s="2"/>
      <c r="N6431" s="2"/>
      <c r="O6431" s="2"/>
      <c r="P6431" s="2"/>
      <c r="Q6431" s="2"/>
      <c r="R6431" s="2"/>
      <c r="S6431" s="2"/>
      <c r="T6431" s="2"/>
      <c r="U6431" s="2"/>
      <c r="V6431" s="2"/>
      <c r="W6431" s="2"/>
    </row>
    <row r="6432" spans="1:23" x14ac:dyDescent="0.25">
      <c r="A6432" s="2"/>
      <c r="B6432" s="2"/>
      <c r="C6432" s="1"/>
      <c r="D6432" s="2"/>
      <c r="E6432" s="2"/>
      <c r="F6432" s="2"/>
      <c r="G6432" s="2"/>
      <c r="H6432" s="2"/>
      <c r="I6432" s="2"/>
      <c r="J6432" s="2"/>
      <c r="K6432" s="2"/>
      <c r="L6432" s="2"/>
      <c r="M6432" s="2"/>
      <c r="N6432" s="2"/>
      <c r="O6432" s="2"/>
      <c r="P6432" s="2"/>
      <c r="Q6432" s="2"/>
      <c r="R6432" s="2"/>
      <c r="S6432" s="2"/>
      <c r="T6432" s="2"/>
      <c r="U6432" s="2"/>
      <c r="V6432" s="2"/>
      <c r="W6432" s="2"/>
    </row>
    <row r="6433" spans="1:23" x14ac:dyDescent="0.25">
      <c r="A6433" s="2"/>
      <c r="B6433" s="2"/>
      <c r="C6433" s="1"/>
      <c r="D6433" s="2"/>
      <c r="E6433" s="2"/>
      <c r="F6433" s="2"/>
      <c r="G6433" s="2"/>
      <c r="H6433" s="2"/>
      <c r="I6433" s="2"/>
      <c r="J6433" s="2"/>
      <c r="K6433" s="2"/>
      <c r="L6433" s="2"/>
      <c r="M6433" s="2"/>
      <c r="N6433" s="2"/>
      <c r="O6433" s="2"/>
      <c r="P6433" s="2"/>
      <c r="Q6433" s="2"/>
      <c r="R6433" s="2"/>
      <c r="S6433" s="2"/>
      <c r="T6433" s="2"/>
      <c r="U6433" s="2"/>
      <c r="V6433" s="2"/>
      <c r="W6433" s="2"/>
    </row>
    <row r="6434" spans="1:23" x14ac:dyDescent="0.25">
      <c r="A6434" s="2"/>
      <c r="B6434" s="2"/>
      <c r="C6434" s="1"/>
      <c r="D6434" s="2"/>
      <c r="E6434" s="2"/>
      <c r="F6434" s="2"/>
      <c r="G6434" s="2"/>
      <c r="H6434" s="2"/>
      <c r="I6434" s="2"/>
      <c r="J6434" s="2"/>
      <c r="K6434" s="2"/>
      <c r="L6434" s="2"/>
      <c r="M6434" s="2"/>
      <c r="N6434" s="2"/>
      <c r="O6434" s="2"/>
      <c r="P6434" s="2"/>
      <c r="Q6434" s="2"/>
      <c r="R6434" s="2"/>
      <c r="S6434" s="2"/>
      <c r="T6434" s="2"/>
      <c r="U6434" s="2"/>
      <c r="V6434" s="2"/>
      <c r="W6434" s="2"/>
    </row>
    <row r="6435" spans="1:23" x14ac:dyDescent="0.25">
      <c r="A6435" s="2"/>
      <c r="B6435" s="2"/>
      <c r="C6435" s="1"/>
      <c r="D6435" s="2"/>
      <c r="E6435" s="2"/>
      <c r="F6435" s="2"/>
      <c r="G6435" s="2"/>
      <c r="H6435" s="2"/>
      <c r="I6435" s="2"/>
      <c r="J6435" s="2"/>
      <c r="K6435" s="2"/>
      <c r="L6435" s="2"/>
      <c r="M6435" s="2"/>
      <c r="N6435" s="2"/>
      <c r="O6435" s="2"/>
      <c r="P6435" s="2"/>
      <c r="Q6435" s="2"/>
      <c r="R6435" s="2"/>
      <c r="S6435" s="2"/>
      <c r="T6435" s="2"/>
      <c r="U6435" s="2"/>
      <c r="V6435" s="2"/>
      <c r="W6435" s="2"/>
    </row>
    <row r="6436" spans="1:23" x14ac:dyDescent="0.25">
      <c r="A6436" s="2"/>
      <c r="B6436" s="2"/>
      <c r="C6436" s="1"/>
      <c r="D6436" s="2"/>
      <c r="E6436" s="2"/>
      <c r="F6436" s="2"/>
      <c r="G6436" s="2"/>
      <c r="H6436" s="2"/>
      <c r="I6436" s="2"/>
      <c r="J6436" s="2"/>
      <c r="K6436" s="2"/>
      <c r="L6436" s="2"/>
      <c r="M6436" s="2"/>
      <c r="N6436" s="2"/>
      <c r="O6436" s="2"/>
      <c r="P6436" s="2"/>
      <c r="Q6436" s="2"/>
      <c r="R6436" s="2"/>
      <c r="S6436" s="2"/>
      <c r="T6436" s="2"/>
      <c r="U6436" s="2"/>
      <c r="V6436" s="2"/>
      <c r="W6436" s="2"/>
    </row>
    <row r="6437" spans="1:23" x14ac:dyDescent="0.25">
      <c r="A6437" s="2"/>
      <c r="B6437" s="2"/>
      <c r="C6437" s="1"/>
      <c r="D6437" s="2"/>
      <c r="E6437" s="2"/>
      <c r="F6437" s="2"/>
      <c r="G6437" s="2"/>
      <c r="H6437" s="2"/>
      <c r="I6437" s="2"/>
      <c r="J6437" s="2"/>
      <c r="K6437" s="2"/>
      <c r="L6437" s="2"/>
      <c r="M6437" s="2"/>
      <c r="N6437" s="2"/>
      <c r="O6437" s="2"/>
      <c r="P6437" s="2"/>
      <c r="Q6437" s="2"/>
      <c r="R6437" s="2"/>
      <c r="S6437" s="2"/>
      <c r="T6437" s="2"/>
      <c r="U6437" s="2"/>
      <c r="V6437" s="2"/>
      <c r="W6437" s="2"/>
    </row>
    <row r="6438" spans="1:23" x14ac:dyDescent="0.25">
      <c r="A6438" s="2"/>
      <c r="B6438" s="2"/>
      <c r="C6438" s="1"/>
      <c r="D6438" s="2"/>
      <c r="E6438" s="2"/>
      <c r="F6438" s="2"/>
      <c r="G6438" s="2"/>
      <c r="H6438" s="2"/>
      <c r="I6438" s="2"/>
      <c r="J6438" s="2"/>
      <c r="K6438" s="2"/>
      <c r="L6438" s="2"/>
      <c r="M6438" s="2"/>
      <c r="N6438" s="2"/>
      <c r="O6438" s="2"/>
      <c r="P6438" s="2"/>
      <c r="Q6438" s="2"/>
      <c r="R6438" s="2"/>
      <c r="S6438" s="2"/>
      <c r="T6438" s="2"/>
      <c r="U6438" s="2"/>
      <c r="V6438" s="2"/>
      <c r="W6438" s="2"/>
    </row>
    <row r="6439" spans="1:23" x14ac:dyDescent="0.25">
      <c r="A6439" s="2"/>
      <c r="B6439" s="2"/>
      <c r="C6439" s="1"/>
      <c r="D6439" s="2"/>
      <c r="E6439" s="2"/>
      <c r="F6439" s="2"/>
      <c r="G6439" s="2"/>
      <c r="H6439" s="2"/>
      <c r="I6439" s="2"/>
      <c r="J6439" s="2"/>
      <c r="K6439" s="2"/>
      <c r="L6439" s="2"/>
      <c r="M6439" s="2"/>
      <c r="N6439" s="2"/>
      <c r="O6439" s="2"/>
      <c r="P6439" s="2"/>
      <c r="Q6439" s="2"/>
      <c r="R6439" s="2"/>
      <c r="S6439" s="2"/>
      <c r="T6439" s="2"/>
      <c r="U6439" s="2"/>
      <c r="V6439" s="2"/>
      <c r="W6439" s="2"/>
    </row>
    <row r="6440" spans="1:23" x14ac:dyDescent="0.25">
      <c r="A6440" s="2"/>
      <c r="B6440" s="2"/>
      <c r="C6440" s="1"/>
      <c r="D6440" s="2"/>
      <c r="E6440" s="2"/>
      <c r="F6440" s="2"/>
      <c r="G6440" s="2"/>
      <c r="H6440" s="2"/>
      <c r="I6440" s="2"/>
      <c r="J6440" s="2"/>
      <c r="K6440" s="2"/>
      <c r="L6440" s="2"/>
      <c r="M6440" s="2"/>
      <c r="N6440" s="2"/>
      <c r="O6440" s="2"/>
      <c r="P6440" s="2"/>
      <c r="Q6440" s="2"/>
      <c r="R6440" s="2"/>
      <c r="S6440" s="2"/>
      <c r="T6440" s="2"/>
      <c r="U6440" s="2"/>
      <c r="V6440" s="2"/>
      <c r="W6440" s="2"/>
    </row>
    <row r="6441" spans="1:23" x14ac:dyDescent="0.25">
      <c r="A6441" s="2"/>
      <c r="B6441" s="2"/>
      <c r="C6441" s="1"/>
      <c r="D6441" s="2"/>
      <c r="E6441" s="2"/>
      <c r="F6441" s="2"/>
      <c r="G6441" s="2"/>
      <c r="H6441" s="2"/>
      <c r="I6441" s="2"/>
      <c r="J6441" s="2"/>
      <c r="K6441" s="2"/>
      <c r="L6441" s="2"/>
      <c r="M6441" s="2"/>
      <c r="N6441" s="2"/>
      <c r="O6441" s="2"/>
      <c r="P6441" s="2"/>
      <c r="Q6441" s="2"/>
      <c r="R6441" s="2"/>
      <c r="S6441" s="2"/>
      <c r="T6441" s="2"/>
      <c r="U6441" s="2"/>
      <c r="V6441" s="2"/>
      <c r="W6441" s="2"/>
    </row>
    <row r="6442" spans="1:23" x14ac:dyDescent="0.25">
      <c r="A6442" s="2"/>
      <c r="B6442" s="2"/>
      <c r="C6442" s="1"/>
      <c r="D6442" s="2"/>
      <c r="E6442" s="2"/>
      <c r="F6442" s="2"/>
      <c r="G6442" s="2"/>
      <c r="H6442" s="2"/>
      <c r="I6442" s="2"/>
      <c r="J6442" s="2"/>
      <c r="K6442" s="2"/>
      <c r="L6442" s="2"/>
      <c r="M6442" s="2"/>
      <c r="N6442" s="2"/>
      <c r="O6442" s="2"/>
      <c r="P6442" s="2"/>
      <c r="Q6442" s="2"/>
      <c r="R6442" s="2"/>
      <c r="S6442" s="2"/>
      <c r="T6442" s="2"/>
      <c r="U6442" s="2"/>
      <c r="V6442" s="2"/>
      <c r="W6442" s="2"/>
    </row>
    <row r="6443" spans="1:23" x14ac:dyDescent="0.25">
      <c r="A6443" s="2"/>
      <c r="B6443" s="2"/>
      <c r="C6443" s="1"/>
      <c r="D6443" s="2"/>
      <c r="E6443" s="2"/>
      <c r="F6443" s="2"/>
      <c r="G6443" s="2"/>
      <c r="H6443" s="2"/>
      <c r="I6443" s="2"/>
      <c r="J6443" s="2"/>
      <c r="K6443" s="2"/>
      <c r="L6443" s="2"/>
      <c r="M6443" s="2"/>
      <c r="N6443" s="2"/>
      <c r="O6443" s="2"/>
      <c r="P6443" s="2"/>
      <c r="Q6443" s="2"/>
      <c r="R6443" s="2"/>
      <c r="S6443" s="2"/>
      <c r="T6443" s="2"/>
      <c r="U6443" s="2"/>
      <c r="V6443" s="2"/>
      <c r="W6443" s="2"/>
    </row>
    <row r="6444" spans="1:23" x14ac:dyDescent="0.25">
      <c r="A6444" s="2"/>
      <c r="B6444" s="2"/>
      <c r="C6444" s="1"/>
      <c r="D6444" s="2"/>
      <c r="E6444" s="2"/>
      <c r="F6444" s="2"/>
      <c r="G6444" s="2"/>
      <c r="H6444" s="2"/>
      <c r="I6444" s="2"/>
      <c r="J6444" s="2"/>
      <c r="K6444" s="2"/>
      <c r="L6444" s="2"/>
      <c r="M6444" s="2"/>
      <c r="N6444" s="2"/>
      <c r="O6444" s="2"/>
      <c r="P6444" s="2"/>
      <c r="Q6444" s="2"/>
      <c r="R6444" s="2"/>
      <c r="S6444" s="2"/>
      <c r="T6444" s="2"/>
      <c r="U6444" s="2"/>
      <c r="V6444" s="2"/>
      <c r="W6444" s="2"/>
    </row>
    <row r="6445" spans="1:23" x14ac:dyDescent="0.25">
      <c r="A6445" s="2"/>
      <c r="B6445" s="2"/>
      <c r="C6445" s="1"/>
      <c r="D6445" s="2"/>
      <c r="E6445" s="2"/>
      <c r="F6445" s="2"/>
      <c r="G6445" s="2"/>
      <c r="H6445" s="2"/>
      <c r="I6445" s="2"/>
      <c r="J6445" s="2"/>
      <c r="K6445" s="2"/>
      <c r="L6445" s="2"/>
      <c r="M6445" s="2"/>
      <c r="N6445" s="2"/>
      <c r="O6445" s="2"/>
      <c r="P6445" s="2"/>
      <c r="Q6445" s="2"/>
      <c r="R6445" s="2"/>
      <c r="S6445" s="2"/>
      <c r="T6445" s="2"/>
      <c r="U6445" s="2"/>
      <c r="V6445" s="2"/>
      <c r="W6445" s="2"/>
    </row>
    <row r="6446" spans="1:23" x14ac:dyDescent="0.25">
      <c r="A6446" s="2"/>
      <c r="B6446" s="2"/>
      <c r="C6446" s="1"/>
      <c r="D6446" s="2"/>
      <c r="E6446" s="2"/>
      <c r="F6446" s="2"/>
      <c r="G6446" s="2"/>
      <c r="H6446" s="2"/>
      <c r="I6446" s="2"/>
      <c r="J6446" s="2"/>
      <c r="K6446" s="2"/>
      <c r="L6446" s="2"/>
      <c r="M6446" s="2"/>
      <c r="N6446" s="2"/>
      <c r="O6446" s="2"/>
      <c r="P6446" s="2"/>
      <c r="Q6446" s="2"/>
      <c r="R6446" s="2"/>
      <c r="S6446" s="2"/>
      <c r="T6446" s="2"/>
      <c r="U6446" s="2"/>
      <c r="V6446" s="2"/>
      <c r="W6446" s="2"/>
    </row>
    <row r="6447" spans="1:23" x14ac:dyDescent="0.25">
      <c r="A6447" s="2"/>
      <c r="B6447" s="2"/>
      <c r="C6447" s="1"/>
      <c r="D6447" s="2"/>
      <c r="E6447" s="2"/>
      <c r="F6447" s="2"/>
      <c r="G6447" s="2"/>
      <c r="H6447" s="2"/>
      <c r="I6447" s="2"/>
      <c r="J6447" s="2"/>
      <c r="K6447" s="2"/>
      <c r="L6447" s="2"/>
      <c r="M6447" s="2"/>
      <c r="N6447" s="2"/>
      <c r="O6447" s="2"/>
      <c r="P6447" s="2"/>
      <c r="Q6447" s="2"/>
      <c r="R6447" s="2"/>
      <c r="S6447" s="2"/>
      <c r="T6447" s="2"/>
      <c r="U6447" s="2"/>
      <c r="V6447" s="2"/>
      <c r="W6447" s="2"/>
    </row>
    <row r="6448" spans="1:23" x14ac:dyDescent="0.25">
      <c r="A6448" s="2"/>
      <c r="B6448" s="2"/>
      <c r="C6448" s="1"/>
      <c r="D6448" s="2"/>
      <c r="E6448" s="2"/>
      <c r="F6448" s="2"/>
      <c r="G6448" s="2"/>
      <c r="H6448" s="2"/>
      <c r="I6448" s="2"/>
      <c r="J6448" s="2"/>
      <c r="K6448" s="2"/>
      <c r="L6448" s="2"/>
      <c r="M6448" s="2"/>
      <c r="N6448" s="2"/>
      <c r="O6448" s="2"/>
      <c r="P6448" s="2"/>
      <c r="Q6448" s="2"/>
      <c r="R6448" s="2"/>
      <c r="S6448" s="2"/>
      <c r="T6448" s="2"/>
      <c r="U6448" s="2"/>
      <c r="V6448" s="2"/>
      <c r="W6448" s="2"/>
    </row>
    <row r="6449" spans="1:23" x14ac:dyDescent="0.25">
      <c r="A6449" s="2"/>
      <c r="B6449" s="2"/>
      <c r="C6449" s="1"/>
      <c r="D6449" s="2"/>
      <c r="E6449" s="2"/>
      <c r="F6449" s="2"/>
      <c r="G6449" s="2"/>
      <c r="H6449" s="2"/>
      <c r="I6449" s="2"/>
      <c r="J6449" s="2"/>
      <c r="K6449" s="2"/>
      <c r="L6449" s="2"/>
      <c r="M6449" s="2"/>
      <c r="N6449" s="2"/>
      <c r="O6449" s="2"/>
      <c r="P6449" s="2"/>
      <c r="Q6449" s="2"/>
      <c r="R6449" s="2"/>
      <c r="S6449" s="2"/>
      <c r="T6449" s="2"/>
      <c r="U6449" s="2"/>
      <c r="V6449" s="2"/>
      <c r="W6449" s="2"/>
    </row>
    <row r="6450" spans="1:23" x14ac:dyDescent="0.25">
      <c r="A6450" s="2"/>
      <c r="B6450" s="2"/>
      <c r="C6450" s="1"/>
      <c r="D6450" s="2"/>
      <c r="E6450" s="2"/>
      <c r="F6450" s="2"/>
      <c r="G6450" s="2"/>
      <c r="H6450" s="2"/>
      <c r="I6450" s="2"/>
      <c r="J6450" s="2"/>
      <c r="K6450" s="2"/>
      <c r="L6450" s="2"/>
      <c r="M6450" s="2"/>
      <c r="N6450" s="2"/>
      <c r="O6450" s="2"/>
      <c r="P6450" s="2"/>
      <c r="Q6450" s="2"/>
      <c r="R6450" s="2"/>
      <c r="S6450" s="2"/>
      <c r="T6450" s="2"/>
      <c r="U6450" s="2"/>
      <c r="V6450" s="2"/>
      <c r="W6450" s="2"/>
    </row>
    <row r="6451" spans="1:23" x14ac:dyDescent="0.25">
      <c r="A6451" s="2"/>
      <c r="B6451" s="2"/>
      <c r="C6451" s="1"/>
      <c r="D6451" s="2"/>
      <c r="E6451" s="2"/>
      <c r="F6451" s="2"/>
      <c r="G6451" s="2"/>
      <c r="H6451" s="2"/>
      <c r="I6451" s="2"/>
      <c r="J6451" s="2"/>
      <c r="K6451" s="2"/>
      <c r="L6451" s="2"/>
      <c r="M6451" s="2"/>
      <c r="N6451" s="2"/>
      <c r="O6451" s="2"/>
      <c r="P6451" s="2"/>
      <c r="Q6451" s="2"/>
      <c r="R6451" s="2"/>
      <c r="S6451" s="2"/>
      <c r="T6451" s="2"/>
      <c r="U6451" s="2"/>
      <c r="V6451" s="2"/>
      <c r="W6451" s="2"/>
    </row>
    <row r="6452" spans="1:23" x14ac:dyDescent="0.25">
      <c r="A6452" s="2"/>
      <c r="B6452" s="2"/>
      <c r="C6452" s="1"/>
      <c r="D6452" s="2"/>
      <c r="E6452" s="2"/>
      <c r="F6452" s="2"/>
      <c r="G6452" s="2"/>
      <c r="H6452" s="2"/>
      <c r="I6452" s="2"/>
      <c r="J6452" s="2"/>
      <c r="K6452" s="2"/>
      <c r="L6452" s="2"/>
      <c r="M6452" s="2"/>
      <c r="N6452" s="2"/>
      <c r="O6452" s="2"/>
      <c r="P6452" s="2"/>
      <c r="Q6452" s="2"/>
      <c r="R6452" s="2"/>
      <c r="S6452" s="2"/>
      <c r="T6452" s="2"/>
      <c r="U6452" s="2"/>
      <c r="V6452" s="2"/>
      <c r="W6452" s="2"/>
    </row>
    <row r="6453" spans="1:23" x14ac:dyDescent="0.25">
      <c r="A6453" s="2"/>
      <c r="B6453" s="2"/>
      <c r="C6453" s="1"/>
      <c r="D6453" s="2"/>
      <c r="E6453" s="2"/>
      <c r="F6453" s="2"/>
      <c r="G6453" s="2"/>
      <c r="H6453" s="2"/>
      <c r="I6453" s="2"/>
      <c r="J6453" s="2"/>
      <c r="K6453" s="2"/>
      <c r="L6453" s="2"/>
      <c r="M6453" s="2"/>
      <c r="N6453" s="2"/>
      <c r="O6453" s="2"/>
      <c r="P6453" s="2"/>
      <c r="Q6453" s="2"/>
      <c r="R6453" s="2"/>
      <c r="S6453" s="2"/>
      <c r="T6453" s="2"/>
      <c r="U6453" s="2"/>
      <c r="V6453" s="2"/>
      <c r="W6453" s="2"/>
    </row>
    <row r="6454" spans="1:23" x14ac:dyDescent="0.25">
      <c r="A6454" s="2"/>
      <c r="B6454" s="2"/>
      <c r="C6454" s="1"/>
      <c r="D6454" s="2"/>
      <c r="E6454" s="2"/>
      <c r="F6454" s="2"/>
      <c r="G6454" s="2"/>
      <c r="H6454" s="2"/>
      <c r="I6454" s="2"/>
      <c r="J6454" s="2"/>
      <c r="K6454" s="2"/>
      <c r="L6454" s="2"/>
      <c r="M6454" s="2"/>
      <c r="N6454" s="2"/>
      <c r="O6454" s="2"/>
      <c r="P6454" s="2"/>
      <c r="Q6454" s="2"/>
      <c r="R6454" s="2"/>
      <c r="S6454" s="2"/>
      <c r="T6454" s="2"/>
      <c r="U6454" s="2"/>
      <c r="V6454" s="2"/>
      <c r="W6454" s="2"/>
    </row>
    <row r="6455" spans="1:23" x14ac:dyDescent="0.25">
      <c r="A6455" s="2"/>
      <c r="B6455" s="2"/>
      <c r="C6455" s="1"/>
      <c r="D6455" s="2"/>
      <c r="E6455" s="2"/>
      <c r="F6455" s="2"/>
      <c r="G6455" s="2"/>
      <c r="H6455" s="2"/>
      <c r="I6455" s="2"/>
      <c r="J6455" s="2"/>
      <c r="K6455" s="2"/>
      <c r="L6455" s="2"/>
      <c r="M6455" s="2"/>
      <c r="N6455" s="2"/>
      <c r="O6455" s="2"/>
      <c r="P6455" s="2"/>
      <c r="Q6455" s="2"/>
      <c r="R6455" s="2"/>
      <c r="S6455" s="2"/>
      <c r="T6455" s="2"/>
      <c r="U6455" s="2"/>
      <c r="V6455" s="2"/>
      <c r="W6455" s="2"/>
    </row>
    <row r="6456" spans="1:23" x14ac:dyDescent="0.25">
      <c r="A6456" s="2"/>
      <c r="B6456" s="2"/>
      <c r="C6456" s="1"/>
      <c r="D6456" s="2"/>
      <c r="E6456" s="2"/>
      <c r="F6456" s="2"/>
      <c r="G6456" s="2"/>
      <c r="H6456" s="2"/>
      <c r="I6456" s="2"/>
      <c r="J6456" s="2"/>
      <c r="K6456" s="2"/>
      <c r="L6456" s="2"/>
      <c r="M6456" s="2"/>
      <c r="N6456" s="2"/>
      <c r="O6456" s="2"/>
      <c r="P6456" s="2"/>
      <c r="Q6456" s="2"/>
      <c r="R6456" s="2"/>
      <c r="S6456" s="2"/>
      <c r="T6456" s="2"/>
      <c r="U6456" s="2"/>
      <c r="V6456" s="2"/>
      <c r="W6456" s="2"/>
    </row>
    <row r="6457" spans="1:23" x14ac:dyDescent="0.25">
      <c r="A6457" s="2"/>
      <c r="B6457" s="2"/>
      <c r="C6457" s="1"/>
      <c r="D6457" s="2"/>
      <c r="E6457" s="2"/>
      <c r="F6457" s="2"/>
      <c r="G6457" s="2"/>
      <c r="H6457" s="2"/>
      <c r="I6457" s="2"/>
      <c r="J6457" s="2"/>
      <c r="K6457" s="2"/>
      <c r="L6457" s="2"/>
      <c r="M6457" s="2"/>
      <c r="N6457" s="2"/>
      <c r="O6457" s="2"/>
      <c r="P6457" s="2"/>
      <c r="Q6457" s="2"/>
      <c r="R6457" s="2"/>
      <c r="S6457" s="2"/>
      <c r="T6457" s="2"/>
      <c r="U6457" s="2"/>
      <c r="V6457" s="2"/>
      <c r="W6457" s="2"/>
    </row>
    <row r="6458" spans="1:23" x14ac:dyDescent="0.25">
      <c r="A6458" s="2"/>
      <c r="B6458" s="2"/>
      <c r="C6458" s="1"/>
      <c r="D6458" s="2"/>
      <c r="E6458" s="2"/>
      <c r="F6458" s="2"/>
      <c r="G6458" s="2"/>
      <c r="H6458" s="2"/>
      <c r="I6458" s="2"/>
      <c r="J6458" s="2"/>
      <c r="K6458" s="2"/>
      <c r="L6458" s="2"/>
      <c r="M6458" s="2"/>
      <c r="N6458" s="2"/>
      <c r="O6458" s="2"/>
      <c r="P6458" s="2"/>
      <c r="Q6458" s="2"/>
      <c r="R6458" s="2"/>
      <c r="S6458" s="2"/>
      <c r="T6458" s="2"/>
      <c r="U6458" s="2"/>
      <c r="V6458" s="2"/>
      <c r="W6458" s="2"/>
    </row>
    <row r="6459" spans="1:23" x14ac:dyDescent="0.25">
      <c r="A6459" s="2"/>
      <c r="B6459" s="2"/>
      <c r="C6459" s="1"/>
      <c r="D6459" s="2"/>
      <c r="E6459" s="2"/>
      <c r="F6459" s="2"/>
      <c r="G6459" s="2"/>
      <c r="H6459" s="2"/>
      <c r="I6459" s="2"/>
      <c r="J6459" s="2"/>
      <c r="K6459" s="2"/>
      <c r="L6459" s="2"/>
      <c r="M6459" s="2"/>
      <c r="N6459" s="2"/>
      <c r="O6459" s="2"/>
      <c r="P6459" s="2"/>
      <c r="Q6459" s="2"/>
      <c r="R6459" s="2"/>
      <c r="S6459" s="2"/>
      <c r="T6459" s="2"/>
      <c r="U6459" s="2"/>
      <c r="V6459" s="2"/>
      <c r="W6459" s="2"/>
    </row>
    <row r="6460" spans="1:23" x14ac:dyDescent="0.25">
      <c r="A6460" s="2"/>
      <c r="B6460" s="2"/>
      <c r="C6460" s="1"/>
      <c r="D6460" s="2"/>
      <c r="E6460" s="2"/>
      <c r="F6460" s="2"/>
      <c r="G6460" s="2"/>
      <c r="H6460" s="2"/>
      <c r="I6460" s="2"/>
      <c r="J6460" s="2"/>
      <c r="K6460" s="2"/>
      <c r="L6460" s="2"/>
      <c r="M6460" s="2"/>
      <c r="N6460" s="2"/>
      <c r="O6460" s="2"/>
      <c r="P6460" s="2"/>
      <c r="Q6460" s="2"/>
      <c r="R6460" s="2"/>
      <c r="S6460" s="2"/>
      <c r="T6460" s="2"/>
      <c r="U6460" s="2"/>
      <c r="V6460" s="2"/>
      <c r="W6460" s="2"/>
    </row>
    <row r="6461" spans="1:23" x14ac:dyDescent="0.25">
      <c r="A6461" s="2"/>
      <c r="B6461" s="2"/>
      <c r="C6461" s="1"/>
      <c r="D6461" s="2"/>
      <c r="E6461" s="2"/>
      <c r="F6461" s="2"/>
      <c r="G6461" s="2"/>
      <c r="H6461" s="2"/>
      <c r="I6461" s="2"/>
      <c r="J6461" s="2"/>
      <c r="K6461" s="2"/>
      <c r="L6461" s="2"/>
      <c r="M6461" s="2"/>
      <c r="N6461" s="2"/>
      <c r="O6461" s="2"/>
      <c r="P6461" s="2"/>
      <c r="Q6461" s="2"/>
      <c r="R6461" s="2"/>
      <c r="S6461" s="2"/>
      <c r="T6461" s="2"/>
      <c r="U6461" s="2"/>
      <c r="V6461" s="2"/>
      <c r="W6461" s="2"/>
    </row>
    <row r="6462" spans="1:23" x14ac:dyDescent="0.25">
      <c r="A6462" s="2"/>
      <c r="B6462" s="2"/>
      <c r="C6462" s="1"/>
      <c r="D6462" s="2"/>
      <c r="E6462" s="2"/>
      <c r="F6462" s="2"/>
      <c r="G6462" s="2"/>
      <c r="H6462" s="2"/>
      <c r="I6462" s="2"/>
      <c r="J6462" s="2"/>
      <c r="K6462" s="2"/>
      <c r="L6462" s="2"/>
      <c r="M6462" s="2"/>
      <c r="N6462" s="2"/>
      <c r="O6462" s="2"/>
      <c r="P6462" s="2"/>
      <c r="Q6462" s="2"/>
      <c r="R6462" s="2"/>
      <c r="S6462" s="2"/>
      <c r="T6462" s="2"/>
      <c r="U6462" s="2"/>
      <c r="V6462" s="2"/>
      <c r="W6462" s="2"/>
    </row>
    <row r="6463" spans="1:23" x14ac:dyDescent="0.25">
      <c r="A6463" s="2"/>
      <c r="B6463" s="2"/>
      <c r="C6463" s="1"/>
      <c r="D6463" s="2"/>
      <c r="E6463" s="2"/>
      <c r="F6463" s="2"/>
      <c r="G6463" s="2"/>
      <c r="H6463" s="2"/>
      <c r="I6463" s="2"/>
      <c r="J6463" s="2"/>
      <c r="K6463" s="2"/>
      <c r="L6463" s="2"/>
      <c r="M6463" s="2"/>
      <c r="N6463" s="2"/>
      <c r="O6463" s="2"/>
      <c r="P6463" s="2"/>
      <c r="Q6463" s="2"/>
      <c r="R6463" s="2"/>
      <c r="S6463" s="2"/>
      <c r="T6463" s="2"/>
      <c r="U6463" s="2"/>
      <c r="V6463" s="2"/>
      <c r="W6463" s="2"/>
    </row>
    <row r="6464" spans="1:23" x14ac:dyDescent="0.25">
      <c r="A6464" s="2"/>
      <c r="B6464" s="2"/>
      <c r="C6464" s="1"/>
      <c r="D6464" s="2"/>
      <c r="E6464" s="2"/>
      <c r="F6464" s="2"/>
      <c r="G6464" s="2"/>
      <c r="H6464" s="2"/>
      <c r="I6464" s="2"/>
      <c r="J6464" s="2"/>
      <c r="K6464" s="2"/>
      <c r="L6464" s="2"/>
      <c r="M6464" s="2"/>
      <c r="N6464" s="2"/>
      <c r="O6464" s="2"/>
      <c r="P6464" s="2"/>
      <c r="Q6464" s="2"/>
      <c r="R6464" s="2"/>
      <c r="S6464" s="2"/>
      <c r="T6464" s="2"/>
      <c r="U6464" s="2"/>
      <c r="V6464" s="2"/>
      <c r="W6464" s="2"/>
    </row>
    <row r="6465" spans="1:23" x14ac:dyDescent="0.25">
      <c r="A6465" s="2"/>
      <c r="B6465" s="2"/>
      <c r="C6465" s="1"/>
      <c r="D6465" s="2"/>
      <c r="E6465" s="2"/>
      <c r="F6465" s="2"/>
      <c r="G6465" s="2"/>
      <c r="H6465" s="2"/>
      <c r="I6465" s="2"/>
      <c r="J6465" s="2"/>
      <c r="K6465" s="2"/>
      <c r="L6465" s="2"/>
      <c r="M6465" s="2"/>
      <c r="N6465" s="2"/>
      <c r="O6465" s="2"/>
      <c r="P6465" s="2"/>
      <c r="Q6465" s="2"/>
      <c r="R6465" s="2"/>
      <c r="S6465" s="2"/>
      <c r="T6465" s="2"/>
      <c r="U6465" s="2"/>
      <c r="V6465" s="2"/>
      <c r="W6465" s="2"/>
    </row>
    <row r="6466" spans="1:23" x14ac:dyDescent="0.25">
      <c r="A6466" s="2"/>
      <c r="B6466" s="2"/>
      <c r="C6466" s="1"/>
      <c r="D6466" s="2"/>
      <c r="E6466" s="2"/>
      <c r="F6466" s="2"/>
      <c r="G6466" s="2"/>
      <c r="H6466" s="2"/>
      <c r="I6466" s="2"/>
      <c r="J6466" s="2"/>
      <c r="K6466" s="2"/>
      <c r="L6466" s="2"/>
      <c r="M6466" s="2"/>
      <c r="N6466" s="2"/>
      <c r="O6466" s="2"/>
      <c r="P6466" s="2"/>
      <c r="Q6466" s="2"/>
      <c r="R6466" s="2"/>
      <c r="S6466" s="2"/>
      <c r="T6466" s="2"/>
      <c r="U6466" s="2"/>
      <c r="V6466" s="2"/>
      <c r="W6466" s="2"/>
    </row>
    <row r="6467" spans="1:23" x14ac:dyDescent="0.25">
      <c r="A6467" s="2"/>
      <c r="B6467" s="2"/>
      <c r="C6467" s="1"/>
      <c r="D6467" s="2"/>
      <c r="E6467" s="2"/>
      <c r="F6467" s="2"/>
      <c r="G6467" s="2"/>
      <c r="H6467" s="2"/>
      <c r="I6467" s="2"/>
      <c r="J6467" s="2"/>
      <c r="K6467" s="2"/>
      <c r="L6467" s="2"/>
      <c r="M6467" s="2"/>
      <c r="N6467" s="2"/>
      <c r="O6467" s="2"/>
      <c r="P6467" s="2"/>
      <c r="Q6467" s="2"/>
      <c r="R6467" s="2"/>
      <c r="S6467" s="2"/>
      <c r="T6467" s="2"/>
      <c r="U6467" s="2"/>
      <c r="V6467" s="2"/>
      <c r="W6467" s="2"/>
    </row>
    <row r="6468" spans="1:23" x14ac:dyDescent="0.25">
      <c r="A6468" s="2"/>
      <c r="B6468" s="2"/>
      <c r="C6468" s="1"/>
      <c r="D6468" s="2"/>
      <c r="E6468" s="2"/>
      <c r="F6468" s="2"/>
      <c r="G6468" s="2"/>
      <c r="H6468" s="2"/>
      <c r="I6468" s="2"/>
      <c r="J6468" s="2"/>
      <c r="K6468" s="2"/>
      <c r="L6468" s="2"/>
      <c r="M6468" s="2"/>
      <c r="N6468" s="2"/>
      <c r="O6468" s="2"/>
      <c r="P6468" s="2"/>
      <c r="Q6468" s="2"/>
      <c r="R6468" s="2"/>
      <c r="S6468" s="2"/>
      <c r="T6468" s="2"/>
      <c r="U6468" s="2"/>
      <c r="V6468" s="2"/>
      <c r="W6468" s="2"/>
    </row>
    <row r="6469" spans="1:23" x14ac:dyDescent="0.25">
      <c r="A6469" s="2"/>
      <c r="B6469" s="2"/>
      <c r="C6469" s="1"/>
      <c r="D6469" s="2"/>
      <c r="E6469" s="2"/>
      <c r="F6469" s="2"/>
      <c r="G6469" s="2"/>
      <c r="H6469" s="2"/>
      <c r="I6469" s="2"/>
      <c r="J6469" s="2"/>
      <c r="K6469" s="2"/>
      <c r="L6469" s="2"/>
      <c r="M6469" s="2"/>
      <c r="N6469" s="2"/>
      <c r="O6469" s="2"/>
      <c r="P6469" s="2"/>
      <c r="Q6469" s="2"/>
      <c r="R6469" s="2"/>
      <c r="S6469" s="2"/>
      <c r="T6469" s="2"/>
      <c r="U6469" s="2"/>
      <c r="V6469" s="2"/>
      <c r="W6469" s="2"/>
    </row>
    <row r="6470" spans="1:23" x14ac:dyDescent="0.25">
      <c r="A6470" s="2"/>
      <c r="B6470" s="2"/>
      <c r="C6470" s="1"/>
      <c r="D6470" s="2"/>
      <c r="E6470" s="2"/>
      <c r="F6470" s="2"/>
      <c r="G6470" s="2"/>
      <c r="H6470" s="2"/>
      <c r="I6470" s="2"/>
      <c r="J6470" s="2"/>
      <c r="K6470" s="2"/>
      <c r="L6470" s="2"/>
      <c r="M6470" s="2"/>
      <c r="N6470" s="2"/>
      <c r="O6470" s="2"/>
      <c r="P6470" s="2"/>
      <c r="Q6470" s="2"/>
      <c r="R6470" s="2"/>
      <c r="S6470" s="2"/>
      <c r="T6470" s="2"/>
      <c r="U6470" s="2"/>
      <c r="V6470" s="2"/>
      <c r="W6470" s="2"/>
    </row>
    <row r="6471" spans="1:23" x14ac:dyDescent="0.25">
      <c r="A6471" s="2"/>
      <c r="B6471" s="2"/>
      <c r="C6471" s="1"/>
      <c r="D6471" s="2"/>
      <c r="E6471" s="2"/>
      <c r="F6471" s="2"/>
      <c r="G6471" s="2"/>
      <c r="H6471" s="2"/>
      <c r="I6471" s="2"/>
      <c r="J6471" s="2"/>
      <c r="K6471" s="2"/>
      <c r="L6471" s="2"/>
      <c r="M6471" s="2"/>
      <c r="N6471" s="2"/>
      <c r="O6471" s="2"/>
      <c r="P6471" s="2"/>
      <c r="Q6471" s="2"/>
      <c r="R6471" s="2"/>
      <c r="S6471" s="2"/>
      <c r="T6471" s="2"/>
      <c r="U6471" s="2"/>
      <c r="V6471" s="2"/>
      <c r="W6471" s="2"/>
    </row>
    <row r="6472" spans="1:23" x14ac:dyDescent="0.25">
      <c r="A6472" s="2"/>
      <c r="B6472" s="2"/>
      <c r="C6472" s="1"/>
      <c r="D6472" s="2"/>
      <c r="E6472" s="2"/>
      <c r="F6472" s="2"/>
      <c r="G6472" s="2"/>
      <c r="H6472" s="2"/>
      <c r="I6472" s="2"/>
      <c r="J6472" s="2"/>
      <c r="K6472" s="2"/>
      <c r="L6472" s="2"/>
      <c r="M6472" s="2"/>
      <c r="N6472" s="2"/>
      <c r="O6472" s="2"/>
      <c r="P6472" s="2"/>
      <c r="Q6472" s="2"/>
      <c r="R6472" s="2"/>
      <c r="S6472" s="2"/>
      <c r="T6472" s="2"/>
      <c r="U6472" s="2"/>
      <c r="V6472" s="2"/>
      <c r="W6472" s="2"/>
    </row>
    <row r="6473" spans="1:23" x14ac:dyDescent="0.25">
      <c r="A6473" s="2"/>
      <c r="B6473" s="2"/>
      <c r="C6473" s="1"/>
      <c r="D6473" s="2"/>
      <c r="E6473" s="2"/>
      <c r="F6473" s="2"/>
      <c r="G6473" s="2"/>
      <c r="H6473" s="2"/>
      <c r="I6473" s="2"/>
      <c r="J6473" s="2"/>
      <c r="K6473" s="2"/>
      <c r="L6473" s="2"/>
      <c r="M6473" s="2"/>
      <c r="N6473" s="2"/>
      <c r="O6473" s="2"/>
      <c r="P6473" s="2"/>
      <c r="Q6473" s="2"/>
      <c r="R6473" s="2"/>
      <c r="S6473" s="2"/>
      <c r="T6473" s="2"/>
      <c r="U6473" s="2"/>
      <c r="V6473" s="2"/>
      <c r="W6473" s="2"/>
    </row>
    <row r="6474" spans="1:23" x14ac:dyDescent="0.25">
      <c r="A6474" s="2"/>
      <c r="B6474" s="2"/>
      <c r="C6474" s="1"/>
      <c r="D6474" s="2"/>
      <c r="E6474" s="2"/>
      <c r="F6474" s="2"/>
      <c r="G6474" s="2"/>
      <c r="H6474" s="2"/>
      <c r="I6474" s="2"/>
      <c r="J6474" s="2"/>
      <c r="K6474" s="2"/>
      <c r="L6474" s="2"/>
      <c r="M6474" s="2"/>
      <c r="N6474" s="2"/>
      <c r="O6474" s="2"/>
      <c r="P6474" s="2"/>
      <c r="Q6474" s="2"/>
      <c r="R6474" s="2"/>
      <c r="S6474" s="2"/>
      <c r="T6474" s="2"/>
      <c r="U6474" s="2"/>
      <c r="V6474" s="2"/>
      <c r="W6474" s="2"/>
    </row>
    <row r="6475" spans="1:23" x14ac:dyDescent="0.25">
      <c r="A6475" s="2"/>
      <c r="B6475" s="2"/>
      <c r="C6475" s="1"/>
      <c r="D6475" s="2"/>
      <c r="E6475" s="2"/>
      <c r="F6475" s="2"/>
      <c r="G6475" s="2"/>
      <c r="H6475" s="2"/>
      <c r="I6475" s="2"/>
      <c r="J6475" s="2"/>
      <c r="K6475" s="2"/>
      <c r="L6475" s="2"/>
      <c r="M6475" s="2"/>
      <c r="N6475" s="2"/>
      <c r="O6475" s="2"/>
      <c r="P6475" s="2"/>
      <c r="Q6475" s="2"/>
      <c r="R6475" s="2"/>
      <c r="S6475" s="2"/>
      <c r="T6475" s="2"/>
      <c r="U6475" s="2"/>
      <c r="V6475" s="2"/>
      <c r="W6475" s="2"/>
    </row>
    <row r="6476" spans="1:23" x14ac:dyDescent="0.25">
      <c r="A6476" s="2"/>
      <c r="B6476" s="2"/>
      <c r="C6476" s="1"/>
      <c r="D6476" s="2"/>
      <c r="E6476" s="2"/>
      <c r="F6476" s="2"/>
      <c r="G6476" s="2"/>
      <c r="H6476" s="2"/>
      <c r="I6476" s="2"/>
      <c r="J6476" s="2"/>
      <c r="K6476" s="2"/>
      <c r="L6476" s="2"/>
      <c r="M6476" s="2"/>
      <c r="N6476" s="2"/>
      <c r="O6476" s="2"/>
      <c r="P6476" s="2"/>
      <c r="Q6476" s="2"/>
      <c r="R6476" s="2"/>
      <c r="S6476" s="2"/>
      <c r="T6476" s="2"/>
      <c r="U6476" s="2"/>
      <c r="V6476" s="2"/>
      <c r="W6476" s="2"/>
    </row>
    <row r="6477" spans="1:23" x14ac:dyDescent="0.25">
      <c r="A6477" s="2"/>
      <c r="B6477" s="2"/>
      <c r="C6477" s="1"/>
      <c r="D6477" s="2"/>
      <c r="E6477" s="2"/>
      <c r="F6477" s="2"/>
      <c r="G6477" s="2"/>
      <c r="H6477" s="2"/>
      <c r="I6477" s="2"/>
      <c r="J6477" s="2"/>
      <c r="K6477" s="2"/>
      <c r="L6477" s="2"/>
      <c r="M6477" s="2"/>
      <c r="N6477" s="2"/>
      <c r="O6477" s="2"/>
      <c r="P6477" s="2"/>
      <c r="Q6477" s="2"/>
      <c r="R6477" s="2"/>
      <c r="S6477" s="2"/>
      <c r="T6477" s="2"/>
      <c r="U6477" s="2"/>
      <c r="V6477" s="2"/>
      <c r="W6477" s="2"/>
    </row>
    <row r="6478" spans="1:23" x14ac:dyDescent="0.25">
      <c r="A6478" s="2"/>
      <c r="B6478" s="2"/>
      <c r="C6478" s="1"/>
      <c r="D6478" s="2"/>
      <c r="E6478" s="2"/>
      <c r="F6478" s="2"/>
      <c r="G6478" s="2"/>
      <c r="H6478" s="2"/>
      <c r="I6478" s="2"/>
      <c r="J6478" s="2"/>
      <c r="K6478" s="2"/>
      <c r="L6478" s="2"/>
      <c r="M6478" s="2"/>
      <c r="N6478" s="2"/>
      <c r="O6478" s="2"/>
      <c r="P6478" s="2"/>
      <c r="Q6478" s="2"/>
      <c r="R6478" s="2"/>
      <c r="S6478" s="2"/>
      <c r="T6478" s="2"/>
      <c r="U6478" s="2"/>
      <c r="V6478" s="2"/>
      <c r="W6478" s="2"/>
    </row>
    <row r="6479" spans="1:23" x14ac:dyDescent="0.25">
      <c r="A6479" s="2"/>
      <c r="B6479" s="2"/>
      <c r="C6479" s="1"/>
      <c r="D6479" s="2"/>
      <c r="E6479" s="2"/>
      <c r="F6479" s="2"/>
      <c r="G6479" s="2"/>
      <c r="H6479" s="2"/>
      <c r="I6479" s="2"/>
      <c r="J6479" s="2"/>
      <c r="K6479" s="2"/>
      <c r="L6479" s="2"/>
      <c r="M6479" s="2"/>
      <c r="N6479" s="2"/>
      <c r="O6479" s="2"/>
      <c r="P6479" s="2"/>
      <c r="Q6479" s="2"/>
      <c r="R6479" s="2"/>
      <c r="S6479" s="2"/>
      <c r="T6479" s="2"/>
      <c r="U6479" s="2"/>
      <c r="V6479" s="2"/>
      <c r="W6479" s="2"/>
    </row>
    <row r="6480" spans="1:23" x14ac:dyDescent="0.25">
      <c r="A6480" s="2"/>
      <c r="B6480" s="2"/>
      <c r="C6480" s="1"/>
      <c r="D6480" s="2"/>
      <c r="E6480" s="2"/>
      <c r="F6480" s="2"/>
      <c r="G6480" s="2"/>
      <c r="H6480" s="2"/>
      <c r="I6480" s="2"/>
      <c r="J6480" s="2"/>
      <c r="K6480" s="2"/>
      <c r="L6480" s="2"/>
      <c r="M6480" s="2"/>
      <c r="N6480" s="2"/>
      <c r="O6480" s="2"/>
      <c r="P6480" s="2"/>
      <c r="Q6480" s="2"/>
      <c r="R6480" s="2"/>
      <c r="S6480" s="2"/>
      <c r="T6480" s="2"/>
      <c r="U6480" s="2"/>
      <c r="V6480" s="2"/>
      <c r="W6480" s="2"/>
    </row>
    <row r="6481" spans="1:23" x14ac:dyDescent="0.25">
      <c r="A6481" s="2"/>
      <c r="B6481" s="2"/>
      <c r="C6481" s="1"/>
      <c r="D6481" s="2"/>
      <c r="E6481" s="2"/>
      <c r="F6481" s="2"/>
      <c r="G6481" s="2"/>
      <c r="H6481" s="2"/>
      <c r="I6481" s="2"/>
      <c r="J6481" s="2"/>
      <c r="K6481" s="2"/>
      <c r="L6481" s="2"/>
      <c r="M6481" s="2"/>
      <c r="N6481" s="2"/>
      <c r="O6481" s="2"/>
      <c r="P6481" s="2"/>
      <c r="Q6481" s="2"/>
      <c r="R6481" s="2"/>
      <c r="S6481" s="2"/>
      <c r="T6481" s="2"/>
      <c r="U6481" s="2"/>
      <c r="V6481" s="2"/>
      <c r="W6481" s="2"/>
    </row>
    <row r="6482" spans="1:23" x14ac:dyDescent="0.25">
      <c r="A6482" s="2"/>
      <c r="B6482" s="2"/>
      <c r="C6482" s="1"/>
      <c r="D6482" s="2"/>
      <c r="E6482" s="2"/>
      <c r="F6482" s="2"/>
      <c r="G6482" s="2"/>
      <c r="H6482" s="2"/>
      <c r="I6482" s="2"/>
      <c r="J6482" s="2"/>
      <c r="K6482" s="2"/>
      <c r="L6482" s="2"/>
      <c r="M6482" s="2"/>
      <c r="N6482" s="2"/>
      <c r="O6482" s="2"/>
      <c r="P6482" s="2"/>
      <c r="Q6482" s="2"/>
      <c r="R6482" s="2"/>
      <c r="S6482" s="2"/>
      <c r="T6482" s="2"/>
      <c r="U6482" s="2"/>
      <c r="V6482" s="2"/>
      <c r="W6482" s="2"/>
    </row>
    <row r="6483" spans="1:23" x14ac:dyDescent="0.25">
      <c r="A6483" s="2"/>
      <c r="B6483" s="2"/>
      <c r="C6483" s="1"/>
      <c r="D6483" s="2"/>
      <c r="E6483" s="2"/>
      <c r="F6483" s="2"/>
      <c r="G6483" s="2"/>
      <c r="H6483" s="2"/>
      <c r="I6483" s="2"/>
      <c r="J6483" s="2"/>
      <c r="K6483" s="2"/>
      <c r="L6483" s="2"/>
      <c r="M6483" s="2"/>
      <c r="N6483" s="2"/>
      <c r="O6483" s="2"/>
      <c r="P6483" s="2"/>
      <c r="Q6483" s="2"/>
      <c r="R6483" s="2"/>
      <c r="S6483" s="2"/>
      <c r="T6483" s="2"/>
      <c r="U6483" s="2"/>
      <c r="V6483" s="2"/>
      <c r="W6483" s="2"/>
    </row>
    <row r="6484" spans="1:23" x14ac:dyDescent="0.25">
      <c r="A6484" s="2"/>
      <c r="B6484" s="2"/>
      <c r="C6484" s="1"/>
      <c r="D6484" s="2"/>
      <c r="E6484" s="2"/>
      <c r="F6484" s="2"/>
      <c r="G6484" s="2"/>
      <c r="H6484" s="2"/>
      <c r="I6484" s="2"/>
      <c r="J6484" s="2"/>
      <c r="K6484" s="2"/>
      <c r="L6484" s="2"/>
      <c r="M6484" s="2"/>
      <c r="N6484" s="2"/>
      <c r="O6484" s="2"/>
      <c r="P6484" s="2"/>
      <c r="Q6484" s="2"/>
      <c r="R6484" s="2"/>
      <c r="S6484" s="2"/>
      <c r="T6484" s="2"/>
      <c r="U6484" s="2"/>
      <c r="V6484" s="2"/>
      <c r="W6484" s="2"/>
    </row>
    <row r="6485" spans="1:23" x14ac:dyDescent="0.25">
      <c r="A6485" s="2"/>
      <c r="B6485" s="2"/>
      <c r="C6485" s="1"/>
      <c r="D6485" s="2"/>
      <c r="E6485" s="2"/>
      <c r="F6485" s="2"/>
      <c r="G6485" s="2"/>
      <c r="H6485" s="2"/>
      <c r="I6485" s="2"/>
      <c r="J6485" s="2"/>
      <c r="K6485" s="2"/>
      <c r="L6485" s="2"/>
      <c r="M6485" s="2"/>
      <c r="N6485" s="2"/>
      <c r="O6485" s="2"/>
      <c r="P6485" s="2"/>
      <c r="Q6485" s="2"/>
      <c r="R6485" s="2"/>
      <c r="S6485" s="2"/>
      <c r="T6485" s="2"/>
      <c r="U6485" s="2"/>
      <c r="V6485" s="2"/>
      <c r="W6485" s="2"/>
    </row>
    <row r="6486" spans="1:23" x14ac:dyDescent="0.25">
      <c r="A6486" s="2"/>
      <c r="B6486" s="2"/>
      <c r="C6486" s="1"/>
      <c r="D6486" s="2"/>
      <c r="E6486" s="2"/>
      <c r="F6486" s="2"/>
      <c r="G6486" s="2"/>
      <c r="H6486" s="2"/>
      <c r="I6486" s="2"/>
      <c r="J6486" s="2"/>
      <c r="K6486" s="2"/>
      <c r="L6486" s="2"/>
      <c r="M6486" s="2"/>
      <c r="N6486" s="2"/>
      <c r="O6486" s="2"/>
      <c r="P6486" s="2"/>
      <c r="Q6486" s="2"/>
      <c r="R6486" s="2"/>
      <c r="S6486" s="2"/>
      <c r="T6486" s="2"/>
      <c r="U6486" s="2"/>
      <c r="V6486" s="2"/>
      <c r="W6486" s="2"/>
    </row>
    <row r="6487" spans="1:23" x14ac:dyDescent="0.25">
      <c r="A6487" s="2"/>
      <c r="B6487" s="2"/>
      <c r="C6487" s="1"/>
      <c r="D6487" s="2"/>
      <c r="E6487" s="2"/>
      <c r="F6487" s="2"/>
      <c r="G6487" s="2"/>
      <c r="H6487" s="2"/>
      <c r="I6487" s="2"/>
      <c r="J6487" s="2"/>
      <c r="K6487" s="2"/>
      <c r="L6487" s="2"/>
      <c r="M6487" s="2"/>
      <c r="N6487" s="2"/>
      <c r="O6487" s="2"/>
      <c r="P6487" s="2"/>
      <c r="Q6487" s="2"/>
      <c r="R6487" s="2"/>
      <c r="S6487" s="2"/>
      <c r="T6487" s="2"/>
      <c r="U6487" s="2"/>
      <c r="V6487" s="2"/>
      <c r="W6487" s="2"/>
    </row>
    <row r="6488" spans="1:23" x14ac:dyDescent="0.25">
      <c r="A6488" s="2"/>
      <c r="B6488" s="2"/>
      <c r="C6488" s="1"/>
      <c r="D6488" s="2"/>
      <c r="E6488" s="2"/>
      <c r="F6488" s="2"/>
      <c r="G6488" s="2"/>
      <c r="H6488" s="2"/>
      <c r="I6488" s="2"/>
      <c r="J6488" s="2"/>
      <c r="K6488" s="2"/>
      <c r="L6488" s="2"/>
      <c r="M6488" s="2"/>
      <c r="N6488" s="2"/>
      <c r="O6488" s="2"/>
      <c r="P6488" s="2"/>
      <c r="Q6488" s="2"/>
      <c r="R6488" s="2"/>
      <c r="S6488" s="2"/>
      <c r="T6488" s="2"/>
      <c r="U6488" s="2"/>
      <c r="V6488" s="2"/>
      <c r="W6488" s="2"/>
    </row>
    <row r="6489" spans="1:23" x14ac:dyDescent="0.25">
      <c r="A6489" s="2"/>
      <c r="B6489" s="2"/>
      <c r="C6489" s="1"/>
      <c r="D6489" s="2"/>
      <c r="E6489" s="2"/>
      <c r="F6489" s="2"/>
      <c r="G6489" s="2"/>
      <c r="H6489" s="2"/>
      <c r="I6489" s="2"/>
      <c r="J6489" s="2"/>
      <c r="K6489" s="2"/>
      <c r="L6489" s="2"/>
      <c r="M6489" s="2"/>
      <c r="N6489" s="2"/>
      <c r="O6489" s="2"/>
      <c r="P6489" s="2"/>
      <c r="Q6489" s="2"/>
      <c r="R6489" s="2"/>
      <c r="S6489" s="2"/>
      <c r="T6489" s="2"/>
      <c r="U6489" s="2"/>
      <c r="V6489" s="2"/>
      <c r="W6489" s="2"/>
    </row>
    <row r="6490" spans="1:23" x14ac:dyDescent="0.25">
      <c r="A6490" s="2"/>
      <c r="B6490" s="2"/>
      <c r="C6490" s="1"/>
      <c r="D6490" s="2"/>
      <c r="E6490" s="2"/>
      <c r="F6490" s="2"/>
      <c r="G6490" s="2"/>
      <c r="H6490" s="2"/>
      <c r="I6490" s="2"/>
      <c r="J6490" s="2"/>
      <c r="K6490" s="2"/>
      <c r="L6490" s="2"/>
      <c r="M6490" s="2"/>
      <c r="N6490" s="2"/>
      <c r="O6490" s="2"/>
      <c r="P6490" s="2"/>
      <c r="Q6490" s="2"/>
      <c r="R6490" s="2"/>
      <c r="S6490" s="2"/>
      <c r="T6490" s="2"/>
      <c r="U6490" s="2"/>
      <c r="V6490" s="2"/>
      <c r="W6490" s="2"/>
    </row>
    <row r="6491" spans="1:23" x14ac:dyDescent="0.25">
      <c r="A6491" s="2"/>
      <c r="B6491" s="2"/>
      <c r="C6491" s="1"/>
      <c r="D6491" s="2"/>
      <c r="E6491" s="2"/>
      <c r="F6491" s="2"/>
      <c r="G6491" s="2"/>
      <c r="H6491" s="2"/>
      <c r="I6491" s="2"/>
      <c r="J6491" s="2"/>
      <c r="K6491" s="2"/>
      <c r="L6491" s="2"/>
      <c r="M6491" s="2"/>
      <c r="N6491" s="2"/>
      <c r="O6491" s="2"/>
      <c r="P6491" s="2"/>
      <c r="Q6491" s="2"/>
      <c r="R6491" s="2"/>
      <c r="S6491" s="2"/>
      <c r="T6491" s="2"/>
      <c r="U6491" s="2"/>
      <c r="V6491" s="2"/>
      <c r="W6491" s="2"/>
    </row>
    <row r="6492" spans="1:23" x14ac:dyDescent="0.25">
      <c r="A6492" s="2"/>
      <c r="B6492" s="2"/>
      <c r="C6492" s="1"/>
      <c r="D6492" s="2"/>
      <c r="E6492" s="2"/>
      <c r="F6492" s="2"/>
      <c r="G6492" s="2"/>
      <c r="H6492" s="2"/>
      <c r="I6492" s="2"/>
      <c r="J6492" s="2"/>
      <c r="K6492" s="2"/>
      <c r="L6492" s="2"/>
      <c r="M6492" s="2"/>
      <c r="N6492" s="2"/>
      <c r="O6492" s="2"/>
      <c r="P6492" s="2"/>
      <c r="Q6492" s="2"/>
      <c r="R6492" s="2"/>
      <c r="S6492" s="2"/>
      <c r="T6492" s="2"/>
      <c r="U6492" s="2"/>
      <c r="V6492" s="2"/>
      <c r="W6492" s="2"/>
    </row>
    <row r="6493" spans="1:23" x14ac:dyDescent="0.25">
      <c r="A6493" s="2"/>
      <c r="B6493" s="2"/>
      <c r="C6493" s="1"/>
      <c r="D6493" s="2"/>
      <c r="E6493" s="2"/>
      <c r="F6493" s="2"/>
      <c r="G6493" s="2"/>
      <c r="H6493" s="2"/>
      <c r="I6493" s="2"/>
      <c r="J6493" s="2"/>
      <c r="K6493" s="2"/>
      <c r="L6493" s="2"/>
      <c r="M6493" s="2"/>
      <c r="N6493" s="2"/>
      <c r="O6493" s="2"/>
      <c r="P6493" s="2"/>
      <c r="Q6493" s="2"/>
      <c r="R6493" s="2"/>
      <c r="S6493" s="2"/>
      <c r="T6493" s="2"/>
      <c r="U6493" s="2"/>
      <c r="V6493" s="2"/>
      <c r="W6493" s="2"/>
    </row>
    <row r="6494" spans="1:23" x14ac:dyDescent="0.25">
      <c r="A6494" s="2"/>
      <c r="B6494" s="2"/>
      <c r="C6494" s="1"/>
      <c r="D6494" s="2"/>
      <c r="E6494" s="2"/>
      <c r="F6494" s="2"/>
      <c r="G6494" s="2"/>
      <c r="H6494" s="2"/>
      <c r="I6494" s="2"/>
      <c r="J6494" s="2"/>
      <c r="K6494" s="2"/>
      <c r="L6494" s="2"/>
      <c r="M6494" s="2"/>
      <c r="N6494" s="2"/>
      <c r="O6494" s="2"/>
      <c r="P6494" s="2"/>
      <c r="Q6494" s="2"/>
      <c r="R6494" s="2"/>
      <c r="S6494" s="2"/>
      <c r="T6494" s="2"/>
      <c r="U6494" s="2"/>
      <c r="V6494" s="2"/>
      <c r="W6494" s="2"/>
    </row>
    <row r="6495" spans="1:23" x14ac:dyDescent="0.25">
      <c r="A6495" s="2"/>
      <c r="B6495" s="2"/>
      <c r="C6495" s="1"/>
      <c r="D6495" s="2"/>
      <c r="E6495" s="2"/>
      <c r="F6495" s="2"/>
      <c r="G6495" s="2"/>
      <c r="H6495" s="2"/>
      <c r="I6495" s="2"/>
      <c r="J6495" s="2"/>
      <c r="K6495" s="2"/>
      <c r="L6495" s="2"/>
      <c r="M6495" s="2"/>
      <c r="N6495" s="2"/>
      <c r="O6495" s="2"/>
      <c r="P6495" s="2"/>
      <c r="Q6495" s="2"/>
      <c r="R6495" s="2"/>
      <c r="S6495" s="2"/>
      <c r="T6495" s="2"/>
      <c r="U6495" s="2"/>
      <c r="V6495" s="2"/>
      <c r="W6495" s="2"/>
    </row>
    <row r="6496" spans="1:23" x14ac:dyDescent="0.25">
      <c r="A6496" s="2"/>
      <c r="B6496" s="2"/>
      <c r="C6496" s="1"/>
      <c r="D6496" s="2"/>
      <c r="E6496" s="2"/>
      <c r="F6496" s="2"/>
      <c r="G6496" s="2"/>
      <c r="H6496" s="2"/>
      <c r="I6496" s="2"/>
      <c r="J6496" s="2"/>
      <c r="K6496" s="2"/>
      <c r="L6496" s="2"/>
      <c r="M6496" s="2"/>
      <c r="N6496" s="2"/>
      <c r="O6496" s="2"/>
      <c r="P6496" s="2"/>
      <c r="Q6496" s="2"/>
      <c r="R6496" s="2"/>
      <c r="S6496" s="2"/>
      <c r="T6496" s="2"/>
      <c r="U6496" s="2"/>
      <c r="V6496" s="2"/>
      <c r="W6496" s="2"/>
    </row>
    <row r="6497" spans="1:23" x14ac:dyDescent="0.25">
      <c r="A6497" s="2"/>
      <c r="B6497" s="2"/>
      <c r="C6497" s="1"/>
      <c r="D6497" s="2"/>
      <c r="E6497" s="2"/>
      <c r="F6497" s="2"/>
      <c r="G6497" s="2"/>
      <c r="H6497" s="2"/>
      <c r="I6497" s="2"/>
      <c r="J6497" s="2"/>
      <c r="K6497" s="2"/>
      <c r="L6497" s="2"/>
      <c r="M6497" s="2"/>
      <c r="N6497" s="2"/>
      <c r="O6497" s="2"/>
      <c r="P6497" s="2"/>
      <c r="Q6497" s="2"/>
      <c r="R6497" s="2"/>
      <c r="S6497" s="2"/>
      <c r="T6497" s="2"/>
      <c r="U6497" s="2"/>
      <c r="V6497" s="2"/>
      <c r="W6497" s="2"/>
    </row>
    <row r="6498" spans="1:23" x14ac:dyDescent="0.25">
      <c r="A6498" s="2"/>
      <c r="B6498" s="2"/>
      <c r="C6498" s="1"/>
      <c r="D6498" s="2"/>
      <c r="E6498" s="2"/>
      <c r="F6498" s="2"/>
      <c r="G6498" s="2"/>
      <c r="H6498" s="2"/>
      <c r="I6498" s="2"/>
      <c r="J6498" s="2"/>
      <c r="K6498" s="2"/>
      <c r="L6498" s="2"/>
      <c r="M6498" s="2"/>
      <c r="N6498" s="2"/>
      <c r="O6498" s="2"/>
      <c r="P6498" s="2"/>
      <c r="Q6498" s="2"/>
      <c r="R6498" s="2"/>
      <c r="S6498" s="2"/>
      <c r="T6498" s="2"/>
      <c r="U6498" s="2"/>
      <c r="V6498" s="2"/>
      <c r="W6498" s="2"/>
    </row>
    <row r="6499" spans="1:23" x14ac:dyDescent="0.25">
      <c r="A6499" s="2"/>
      <c r="B6499" s="2"/>
      <c r="C6499" s="1"/>
      <c r="D6499" s="2"/>
      <c r="E6499" s="2"/>
      <c r="F6499" s="2"/>
      <c r="G6499" s="2"/>
      <c r="H6499" s="2"/>
      <c r="I6499" s="2"/>
      <c r="J6499" s="2"/>
      <c r="K6499" s="2"/>
      <c r="L6499" s="2"/>
      <c r="M6499" s="2"/>
      <c r="N6499" s="2"/>
      <c r="O6499" s="2"/>
      <c r="P6499" s="2"/>
      <c r="Q6499" s="2"/>
      <c r="R6499" s="2"/>
      <c r="S6499" s="2"/>
      <c r="T6499" s="2"/>
      <c r="U6499" s="2"/>
      <c r="V6499" s="2"/>
      <c r="W6499" s="2"/>
    </row>
    <row r="6500" spans="1:23" x14ac:dyDescent="0.25">
      <c r="A6500" s="2"/>
      <c r="B6500" s="2"/>
      <c r="C6500" s="1"/>
      <c r="D6500" s="2"/>
      <c r="E6500" s="2"/>
      <c r="F6500" s="2"/>
      <c r="G6500" s="2"/>
      <c r="H6500" s="2"/>
      <c r="I6500" s="2"/>
      <c r="J6500" s="2"/>
      <c r="K6500" s="2"/>
      <c r="L6500" s="2"/>
      <c r="M6500" s="2"/>
      <c r="N6500" s="2"/>
      <c r="O6500" s="2"/>
      <c r="P6500" s="2"/>
      <c r="Q6500" s="2"/>
      <c r="R6500" s="2"/>
      <c r="S6500" s="2"/>
      <c r="T6500" s="2"/>
      <c r="U6500" s="2"/>
      <c r="V6500" s="2"/>
      <c r="W6500" s="2"/>
    </row>
    <row r="6501" spans="1:23" x14ac:dyDescent="0.25">
      <c r="A6501" s="2"/>
      <c r="B6501" s="2"/>
      <c r="C6501" s="1"/>
      <c r="D6501" s="2"/>
      <c r="E6501" s="2"/>
      <c r="F6501" s="2"/>
      <c r="G6501" s="2"/>
      <c r="H6501" s="2"/>
      <c r="I6501" s="2"/>
      <c r="J6501" s="2"/>
      <c r="K6501" s="2"/>
      <c r="L6501" s="2"/>
      <c r="M6501" s="2"/>
      <c r="N6501" s="2"/>
      <c r="O6501" s="2"/>
      <c r="P6501" s="2"/>
      <c r="Q6501" s="2"/>
      <c r="R6501" s="2"/>
      <c r="S6501" s="2"/>
      <c r="T6501" s="2"/>
      <c r="U6501" s="2"/>
      <c r="V6501" s="2"/>
      <c r="W6501" s="2"/>
    </row>
    <row r="6502" spans="1:23" x14ac:dyDescent="0.25">
      <c r="A6502" s="2"/>
      <c r="B6502" s="2"/>
      <c r="C6502" s="1"/>
      <c r="D6502" s="2"/>
      <c r="E6502" s="2"/>
      <c r="F6502" s="2"/>
      <c r="G6502" s="2"/>
      <c r="H6502" s="2"/>
      <c r="I6502" s="2"/>
      <c r="J6502" s="2"/>
      <c r="K6502" s="2"/>
      <c r="L6502" s="2"/>
      <c r="M6502" s="2"/>
      <c r="N6502" s="2"/>
      <c r="O6502" s="2"/>
      <c r="P6502" s="2"/>
      <c r="Q6502" s="2"/>
      <c r="R6502" s="2"/>
      <c r="S6502" s="2"/>
      <c r="T6502" s="2"/>
      <c r="U6502" s="2"/>
      <c r="V6502" s="2"/>
      <c r="W6502" s="2"/>
    </row>
    <row r="6503" spans="1:23" x14ac:dyDescent="0.25">
      <c r="A6503" s="2"/>
      <c r="B6503" s="2"/>
      <c r="C6503" s="1"/>
      <c r="D6503" s="2"/>
      <c r="E6503" s="2"/>
      <c r="F6503" s="2"/>
      <c r="G6503" s="2"/>
      <c r="H6503" s="2"/>
      <c r="I6503" s="2"/>
      <c r="J6503" s="2"/>
      <c r="K6503" s="2"/>
      <c r="L6503" s="2"/>
      <c r="M6503" s="2"/>
      <c r="N6503" s="2"/>
      <c r="O6503" s="2"/>
      <c r="P6503" s="2"/>
      <c r="Q6503" s="2"/>
      <c r="R6503" s="2"/>
      <c r="S6503" s="2"/>
      <c r="T6503" s="2"/>
      <c r="U6503" s="2"/>
      <c r="V6503" s="2"/>
      <c r="W6503" s="2"/>
    </row>
    <row r="6504" spans="1:23" x14ac:dyDescent="0.25">
      <c r="A6504" s="2"/>
      <c r="B6504" s="2"/>
      <c r="C6504" s="1"/>
      <c r="D6504" s="2"/>
      <c r="E6504" s="2"/>
      <c r="F6504" s="2"/>
      <c r="G6504" s="2"/>
      <c r="H6504" s="2"/>
      <c r="I6504" s="2"/>
      <c r="J6504" s="2"/>
      <c r="K6504" s="2"/>
      <c r="L6504" s="2"/>
      <c r="M6504" s="2"/>
      <c r="N6504" s="2"/>
      <c r="O6504" s="2"/>
      <c r="P6504" s="2"/>
      <c r="Q6504" s="2"/>
      <c r="R6504" s="2"/>
      <c r="S6504" s="2"/>
      <c r="T6504" s="2"/>
      <c r="U6504" s="2"/>
      <c r="V6504" s="2"/>
      <c r="W6504" s="2"/>
    </row>
    <row r="6505" spans="1:23" x14ac:dyDescent="0.25">
      <c r="A6505" s="2"/>
      <c r="B6505" s="2"/>
      <c r="C6505" s="1"/>
      <c r="D6505" s="2"/>
      <c r="E6505" s="2"/>
      <c r="F6505" s="2"/>
      <c r="G6505" s="2"/>
      <c r="H6505" s="2"/>
      <c r="I6505" s="2"/>
      <c r="J6505" s="2"/>
      <c r="K6505" s="2"/>
      <c r="L6505" s="2"/>
      <c r="M6505" s="2"/>
      <c r="N6505" s="2"/>
      <c r="O6505" s="2"/>
      <c r="P6505" s="2"/>
      <c r="Q6505" s="2"/>
      <c r="R6505" s="2"/>
      <c r="S6505" s="2"/>
      <c r="T6505" s="2"/>
      <c r="U6505" s="2"/>
      <c r="V6505" s="2"/>
      <c r="W6505" s="2"/>
    </row>
    <row r="6506" spans="1:23" x14ac:dyDescent="0.25">
      <c r="A6506" s="2"/>
      <c r="B6506" s="2"/>
      <c r="C6506" s="1"/>
      <c r="D6506" s="2"/>
      <c r="E6506" s="2"/>
      <c r="F6506" s="2"/>
      <c r="G6506" s="2"/>
      <c r="H6506" s="2"/>
      <c r="I6506" s="2"/>
      <c r="J6506" s="2"/>
      <c r="K6506" s="2"/>
      <c r="L6506" s="2"/>
      <c r="M6506" s="2"/>
      <c r="N6506" s="2"/>
      <c r="O6506" s="2"/>
      <c r="P6506" s="2"/>
      <c r="Q6506" s="2"/>
      <c r="R6506" s="2"/>
      <c r="S6506" s="2"/>
      <c r="T6506" s="2"/>
      <c r="U6506" s="2"/>
      <c r="V6506" s="2"/>
      <c r="W6506" s="2"/>
    </row>
    <row r="6507" spans="1:23" x14ac:dyDescent="0.25">
      <c r="A6507" s="2"/>
      <c r="B6507" s="2"/>
      <c r="C6507" s="1"/>
      <c r="D6507" s="2"/>
      <c r="E6507" s="2"/>
      <c r="F6507" s="2"/>
      <c r="G6507" s="2"/>
      <c r="H6507" s="2"/>
      <c r="I6507" s="2"/>
      <c r="J6507" s="2"/>
      <c r="K6507" s="2"/>
      <c r="L6507" s="2"/>
      <c r="M6507" s="2"/>
      <c r="N6507" s="2"/>
      <c r="O6507" s="2"/>
      <c r="P6507" s="2"/>
      <c r="Q6507" s="2"/>
      <c r="R6507" s="2"/>
      <c r="S6507" s="2"/>
      <c r="T6507" s="2"/>
      <c r="U6507" s="2"/>
      <c r="V6507" s="2"/>
      <c r="W6507" s="2"/>
    </row>
    <row r="6508" spans="1:23" x14ac:dyDescent="0.25">
      <c r="A6508" s="2"/>
      <c r="B6508" s="2"/>
      <c r="C6508" s="1"/>
      <c r="D6508" s="2"/>
      <c r="E6508" s="2"/>
      <c r="F6508" s="2"/>
      <c r="G6508" s="2"/>
      <c r="H6508" s="2"/>
      <c r="I6508" s="2"/>
      <c r="J6508" s="2"/>
      <c r="K6508" s="2"/>
      <c r="L6508" s="2"/>
      <c r="M6508" s="2"/>
      <c r="N6508" s="2"/>
      <c r="O6508" s="2"/>
      <c r="P6508" s="2"/>
      <c r="Q6508" s="2"/>
      <c r="R6508" s="2"/>
      <c r="S6508" s="2"/>
      <c r="T6508" s="2"/>
      <c r="U6508" s="2"/>
      <c r="V6508" s="2"/>
      <c r="W6508" s="2"/>
    </row>
    <row r="6509" spans="1:23" x14ac:dyDescent="0.25">
      <c r="A6509" s="2"/>
      <c r="B6509" s="2"/>
      <c r="C6509" s="1"/>
      <c r="D6509" s="2"/>
      <c r="E6509" s="2"/>
      <c r="F6509" s="2"/>
      <c r="G6509" s="2"/>
      <c r="H6509" s="2"/>
      <c r="I6509" s="2"/>
      <c r="J6509" s="2"/>
      <c r="K6509" s="2"/>
      <c r="L6509" s="2"/>
      <c r="M6509" s="2"/>
      <c r="N6509" s="2"/>
      <c r="O6509" s="2"/>
      <c r="P6509" s="2"/>
      <c r="Q6509" s="2"/>
      <c r="R6509" s="2"/>
      <c r="S6509" s="2"/>
      <c r="T6509" s="2"/>
      <c r="U6509" s="2"/>
      <c r="V6509" s="2"/>
      <c r="W6509" s="2"/>
    </row>
    <row r="6510" spans="1:23" x14ac:dyDescent="0.25">
      <c r="A6510" s="2"/>
      <c r="B6510" s="2"/>
      <c r="C6510" s="1"/>
      <c r="D6510" s="2"/>
      <c r="E6510" s="2"/>
      <c r="F6510" s="2"/>
      <c r="G6510" s="2"/>
      <c r="H6510" s="2"/>
      <c r="I6510" s="2"/>
      <c r="J6510" s="2"/>
      <c r="K6510" s="2"/>
      <c r="L6510" s="2"/>
      <c r="M6510" s="2"/>
      <c r="N6510" s="2"/>
      <c r="O6510" s="2"/>
      <c r="P6510" s="2"/>
      <c r="Q6510" s="2"/>
      <c r="R6510" s="2"/>
      <c r="S6510" s="2"/>
      <c r="T6510" s="2"/>
      <c r="U6510" s="2"/>
      <c r="V6510" s="2"/>
      <c r="W6510" s="2"/>
    </row>
    <row r="6511" spans="1:23" x14ac:dyDescent="0.25">
      <c r="A6511" s="2"/>
      <c r="B6511" s="2"/>
      <c r="C6511" s="1"/>
      <c r="D6511" s="2"/>
      <c r="E6511" s="2"/>
      <c r="F6511" s="2"/>
      <c r="G6511" s="2"/>
      <c r="H6511" s="2"/>
      <c r="I6511" s="2"/>
      <c r="J6511" s="2"/>
      <c r="K6511" s="2"/>
      <c r="L6511" s="2"/>
      <c r="M6511" s="2"/>
      <c r="N6511" s="2"/>
      <c r="O6511" s="2"/>
      <c r="P6511" s="2"/>
      <c r="Q6511" s="2"/>
      <c r="R6511" s="2"/>
      <c r="S6511" s="2"/>
      <c r="T6511" s="2"/>
      <c r="U6511" s="2"/>
      <c r="V6511" s="2"/>
      <c r="W6511" s="2"/>
    </row>
    <row r="6512" spans="1:23" x14ac:dyDescent="0.25">
      <c r="A6512" s="2"/>
      <c r="B6512" s="2"/>
      <c r="C6512" s="1"/>
      <c r="D6512" s="2"/>
      <c r="E6512" s="2"/>
      <c r="F6512" s="2"/>
      <c r="G6512" s="2"/>
      <c r="H6512" s="2"/>
      <c r="I6512" s="2"/>
      <c r="J6512" s="2"/>
      <c r="K6512" s="2"/>
      <c r="L6512" s="2"/>
      <c r="M6512" s="2"/>
      <c r="N6512" s="2"/>
      <c r="O6512" s="2"/>
      <c r="P6512" s="2"/>
      <c r="Q6512" s="2"/>
      <c r="R6512" s="2"/>
      <c r="S6512" s="2"/>
      <c r="T6512" s="2"/>
      <c r="U6512" s="2"/>
      <c r="V6512" s="2"/>
      <c r="W6512" s="2"/>
    </row>
    <row r="6513" spans="1:23" x14ac:dyDescent="0.25">
      <c r="A6513" s="2"/>
      <c r="B6513" s="2"/>
      <c r="C6513" s="1"/>
      <c r="D6513" s="2"/>
      <c r="E6513" s="2"/>
      <c r="F6513" s="2"/>
      <c r="G6513" s="2"/>
      <c r="H6513" s="2"/>
      <c r="I6513" s="2"/>
      <c r="J6513" s="2"/>
      <c r="K6513" s="2"/>
      <c r="L6513" s="2"/>
      <c r="M6513" s="2"/>
      <c r="N6513" s="2"/>
      <c r="O6513" s="2"/>
      <c r="P6513" s="2"/>
      <c r="Q6513" s="2"/>
      <c r="R6513" s="2"/>
      <c r="S6513" s="2"/>
      <c r="T6513" s="2"/>
      <c r="U6513" s="2"/>
      <c r="V6513" s="2"/>
      <c r="W6513" s="2"/>
    </row>
    <row r="6514" spans="1:23" x14ac:dyDescent="0.25">
      <c r="A6514" s="2"/>
      <c r="B6514" s="2"/>
      <c r="C6514" s="1"/>
      <c r="D6514" s="2"/>
      <c r="E6514" s="2"/>
      <c r="F6514" s="2"/>
      <c r="G6514" s="2"/>
      <c r="H6514" s="2"/>
      <c r="I6514" s="2"/>
      <c r="J6514" s="2"/>
      <c r="K6514" s="2"/>
      <c r="L6514" s="2"/>
      <c r="M6514" s="2"/>
      <c r="N6514" s="2"/>
      <c r="O6514" s="2"/>
      <c r="P6514" s="2"/>
      <c r="Q6514" s="2"/>
      <c r="R6514" s="2"/>
      <c r="S6514" s="2"/>
      <c r="T6514" s="2"/>
      <c r="U6514" s="2"/>
      <c r="V6514" s="2"/>
      <c r="W6514" s="2"/>
    </row>
    <row r="6515" spans="1:23" x14ac:dyDescent="0.25">
      <c r="A6515" s="2"/>
      <c r="B6515" s="2"/>
      <c r="C6515" s="1"/>
      <c r="D6515" s="2"/>
      <c r="E6515" s="2"/>
      <c r="F6515" s="2"/>
      <c r="G6515" s="2"/>
      <c r="H6515" s="2"/>
      <c r="I6515" s="2"/>
      <c r="J6515" s="2"/>
      <c r="K6515" s="2"/>
      <c r="L6515" s="2"/>
      <c r="M6515" s="2"/>
      <c r="N6515" s="2"/>
      <c r="O6515" s="2"/>
      <c r="P6515" s="2"/>
      <c r="Q6515" s="2"/>
      <c r="R6515" s="2"/>
      <c r="S6515" s="2"/>
      <c r="T6515" s="2"/>
      <c r="U6515" s="2"/>
      <c r="V6515" s="2"/>
      <c r="W6515" s="2"/>
    </row>
    <row r="6516" spans="1:23" x14ac:dyDescent="0.25">
      <c r="A6516" s="2"/>
      <c r="B6516" s="2"/>
      <c r="C6516" s="1"/>
      <c r="D6516" s="2"/>
      <c r="E6516" s="2"/>
      <c r="F6516" s="2"/>
      <c r="G6516" s="2"/>
      <c r="H6516" s="2"/>
      <c r="I6516" s="2"/>
      <c r="J6516" s="2"/>
      <c r="K6516" s="2"/>
      <c r="L6516" s="2"/>
      <c r="M6516" s="2"/>
      <c r="N6516" s="2"/>
      <c r="O6516" s="2"/>
      <c r="P6516" s="2"/>
      <c r="Q6516" s="2"/>
      <c r="R6516" s="2"/>
      <c r="S6516" s="2"/>
      <c r="T6516" s="2"/>
      <c r="U6516" s="2"/>
      <c r="V6516" s="2"/>
      <c r="W6516" s="2"/>
    </row>
    <row r="6517" spans="1:23" x14ac:dyDescent="0.25">
      <c r="A6517" s="2"/>
      <c r="B6517" s="2"/>
      <c r="C6517" s="1"/>
      <c r="D6517" s="2"/>
      <c r="E6517" s="2"/>
      <c r="F6517" s="2"/>
      <c r="G6517" s="2"/>
      <c r="H6517" s="2"/>
      <c r="I6517" s="2"/>
      <c r="J6517" s="2"/>
      <c r="K6517" s="2"/>
      <c r="L6517" s="2"/>
      <c r="M6517" s="2"/>
      <c r="N6517" s="2"/>
      <c r="O6517" s="2"/>
      <c r="P6517" s="2"/>
      <c r="Q6517" s="2"/>
      <c r="R6517" s="2"/>
      <c r="S6517" s="2"/>
      <c r="T6517" s="2"/>
      <c r="U6517" s="2"/>
      <c r="V6517" s="2"/>
      <c r="W6517" s="2"/>
    </row>
    <row r="6518" spans="1:23" x14ac:dyDescent="0.25">
      <c r="A6518" s="2"/>
      <c r="B6518" s="2"/>
      <c r="C6518" s="1"/>
      <c r="D6518" s="2"/>
      <c r="E6518" s="2"/>
      <c r="F6518" s="2"/>
      <c r="G6518" s="2"/>
      <c r="H6518" s="2"/>
      <c r="I6518" s="2"/>
      <c r="J6518" s="2"/>
      <c r="K6518" s="2"/>
      <c r="L6518" s="2"/>
      <c r="M6518" s="2"/>
      <c r="N6518" s="2"/>
      <c r="O6518" s="2"/>
      <c r="P6518" s="2"/>
      <c r="Q6518" s="2"/>
      <c r="R6518" s="2"/>
      <c r="S6518" s="2"/>
      <c r="T6518" s="2"/>
      <c r="U6518" s="2"/>
      <c r="V6518" s="2"/>
      <c r="W6518" s="2"/>
    </row>
    <row r="6519" spans="1:23" x14ac:dyDescent="0.25">
      <c r="A6519" s="2"/>
      <c r="B6519" s="2"/>
      <c r="C6519" s="1"/>
      <c r="D6519" s="2"/>
      <c r="E6519" s="2"/>
      <c r="F6519" s="2"/>
      <c r="G6519" s="2"/>
      <c r="H6519" s="2"/>
      <c r="I6519" s="2"/>
      <c r="J6519" s="2"/>
      <c r="K6519" s="2"/>
      <c r="L6519" s="2"/>
      <c r="M6519" s="2"/>
      <c r="N6519" s="2"/>
      <c r="O6519" s="2"/>
      <c r="P6519" s="2"/>
      <c r="Q6519" s="2"/>
      <c r="R6519" s="2"/>
      <c r="S6519" s="2"/>
      <c r="T6519" s="2"/>
      <c r="U6519" s="2"/>
      <c r="V6519" s="2"/>
      <c r="W6519" s="2"/>
    </row>
    <row r="6520" spans="1:23" x14ac:dyDescent="0.25">
      <c r="A6520" s="2"/>
      <c r="B6520" s="2"/>
      <c r="C6520" s="1"/>
      <c r="D6520" s="2"/>
      <c r="E6520" s="2"/>
      <c r="F6520" s="2"/>
      <c r="G6520" s="2"/>
      <c r="H6520" s="2"/>
      <c r="I6520" s="2"/>
      <c r="J6520" s="2"/>
      <c r="K6520" s="2"/>
      <c r="L6520" s="2"/>
      <c r="M6520" s="2"/>
      <c r="N6520" s="2"/>
      <c r="O6520" s="2"/>
      <c r="P6520" s="2"/>
      <c r="Q6520" s="2"/>
      <c r="R6520" s="2"/>
      <c r="S6520" s="2"/>
      <c r="T6520" s="2"/>
      <c r="U6520" s="2"/>
      <c r="V6520" s="2"/>
      <c r="W6520" s="2"/>
    </row>
    <row r="6521" spans="1:23" x14ac:dyDescent="0.25">
      <c r="A6521" s="2"/>
      <c r="B6521" s="2"/>
      <c r="C6521" s="1"/>
      <c r="D6521" s="2"/>
      <c r="E6521" s="2"/>
      <c r="F6521" s="2"/>
      <c r="G6521" s="2"/>
      <c r="H6521" s="2"/>
      <c r="I6521" s="2"/>
      <c r="J6521" s="2"/>
      <c r="K6521" s="2"/>
      <c r="L6521" s="2"/>
      <c r="M6521" s="2"/>
      <c r="N6521" s="2"/>
      <c r="O6521" s="2"/>
      <c r="P6521" s="2"/>
      <c r="Q6521" s="2"/>
      <c r="R6521" s="2"/>
      <c r="S6521" s="2"/>
      <c r="T6521" s="2"/>
      <c r="U6521" s="2"/>
      <c r="V6521" s="2"/>
      <c r="W6521" s="2"/>
    </row>
    <row r="6522" spans="1:23" x14ac:dyDescent="0.25">
      <c r="A6522" s="2"/>
      <c r="B6522" s="2"/>
      <c r="C6522" s="1"/>
      <c r="D6522" s="2"/>
      <c r="E6522" s="2"/>
      <c r="F6522" s="2"/>
      <c r="G6522" s="2"/>
      <c r="H6522" s="2"/>
      <c r="I6522" s="2"/>
      <c r="J6522" s="2"/>
      <c r="K6522" s="2"/>
      <c r="L6522" s="2"/>
      <c r="M6522" s="2"/>
      <c r="N6522" s="2"/>
      <c r="O6522" s="2"/>
      <c r="P6522" s="2"/>
      <c r="Q6522" s="2"/>
      <c r="R6522" s="2"/>
      <c r="S6522" s="2"/>
      <c r="T6522" s="2"/>
      <c r="U6522" s="2"/>
      <c r="V6522" s="2"/>
      <c r="W6522" s="2"/>
    </row>
    <row r="6523" spans="1:23" x14ac:dyDescent="0.25">
      <c r="A6523" s="2"/>
      <c r="B6523" s="2"/>
      <c r="C6523" s="1"/>
      <c r="D6523" s="2"/>
      <c r="E6523" s="2"/>
      <c r="F6523" s="2"/>
      <c r="G6523" s="2"/>
      <c r="H6523" s="2"/>
      <c r="I6523" s="2"/>
      <c r="J6523" s="2"/>
      <c r="K6523" s="2"/>
      <c r="L6523" s="2"/>
      <c r="M6523" s="2"/>
      <c r="N6523" s="2"/>
      <c r="O6523" s="2"/>
      <c r="P6523" s="2"/>
      <c r="Q6523" s="2"/>
      <c r="R6523" s="2"/>
      <c r="S6523" s="2"/>
      <c r="T6523" s="2"/>
      <c r="U6523" s="2"/>
      <c r="V6523" s="2"/>
      <c r="W6523" s="2"/>
    </row>
    <row r="6524" spans="1:23" x14ac:dyDescent="0.25">
      <c r="A6524" s="2"/>
      <c r="B6524" s="2"/>
      <c r="C6524" s="1"/>
      <c r="D6524" s="2"/>
      <c r="E6524" s="2"/>
      <c r="F6524" s="2"/>
      <c r="G6524" s="2"/>
      <c r="H6524" s="2"/>
      <c r="I6524" s="2"/>
      <c r="J6524" s="2"/>
      <c r="K6524" s="2"/>
      <c r="L6524" s="2"/>
      <c r="M6524" s="2"/>
      <c r="N6524" s="2"/>
      <c r="O6524" s="2"/>
      <c r="P6524" s="2"/>
      <c r="Q6524" s="2"/>
      <c r="R6524" s="2"/>
      <c r="S6524" s="2"/>
      <c r="T6524" s="2"/>
      <c r="U6524" s="2"/>
      <c r="V6524" s="2"/>
      <c r="W6524" s="2"/>
    </row>
    <row r="6525" spans="1:23" x14ac:dyDescent="0.25">
      <c r="A6525" s="2"/>
      <c r="B6525" s="2"/>
      <c r="C6525" s="1"/>
      <c r="D6525" s="2"/>
      <c r="E6525" s="2"/>
      <c r="F6525" s="2"/>
      <c r="G6525" s="2"/>
      <c r="H6525" s="2"/>
      <c r="I6525" s="2"/>
      <c r="J6525" s="2"/>
      <c r="K6525" s="2"/>
      <c r="L6525" s="2"/>
      <c r="M6525" s="2"/>
      <c r="N6525" s="2"/>
      <c r="O6525" s="2"/>
      <c r="P6525" s="2"/>
      <c r="Q6525" s="2"/>
      <c r="R6525" s="2"/>
      <c r="S6525" s="2"/>
      <c r="T6525" s="2"/>
      <c r="U6525" s="2"/>
      <c r="V6525" s="2"/>
      <c r="W6525" s="2"/>
    </row>
    <row r="6526" spans="1:23" x14ac:dyDescent="0.25">
      <c r="A6526" s="2"/>
      <c r="B6526" s="2"/>
      <c r="C6526" s="1"/>
      <c r="D6526" s="2"/>
      <c r="E6526" s="2"/>
      <c r="F6526" s="2"/>
      <c r="G6526" s="2"/>
      <c r="H6526" s="2"/>
      <c r="I6526" s="2"/>
      <c r="J6526" s="2"/>
      <c r="K6526" s="2"/>
      <c r="L6526" s="2"/>
      <c r="M6526" s="2"/>
      <c r="N6526" s="2"/>
      <c r="O6526" s="2"/>
      <c r="P6526" s="2"/>
      <c r="Q6526" s="2"/>
      <c r="R6526" s="2"/>
      <c r="S6526" s="2"/>
      <c r="T6526" s="2"/>
      <c r="U6526" s="2"/>
      <c r="V6526" s="2"/>
      <c r="W6526" s="2"/>
    </row>
    <row r="6527" spans="1:23" x14ac:dyDescent="0.25">
      <c r="A6527" s="2"/>
      <c r="B6527" s="2"/>
      <c r="C6527" s="1"/>
      <c r="D6527" s="2"/>
      <c r="E6527" s="2"/>
      <c r="F6527" s="2"/>
      <c r="G6527" s="2"/>
      <c r="H6527" s="2"/>
      <c r="I6527" s="2"/>
      <c r="J6527" s="2"/>
      <c r="K6527" s="2"/>
      <c r="L6527" s="2"/>
      <c r="M6527" s="2"/>
      <c r="N6527" s="2"/>
      <c r="O6527" s="2"/>
      <c r="P6527" s="2"/>
      <c r="Q6527" s="2"/>
      <c r="R6527" s="2"/>
      <c r="S6527" s="2"/>
      <c r="T6527" s="2"/>
      <c r="U6527" s="2"/>
      <c r="V6527" s="2"/>
      <c r="W6527" s="2"/>
    </row>
    <row r="6528" spans="1:23" x14ac:dyDescent="0.25">
      <c r="A6528" s="2"/>
      <c r="B6528" s="2"/>
      <c r="C6528" s="1"/>
      <c r="D6528" s="2"/>
      <c r="E6528" s="2"/>
      <c r="F6528" s="2"/>
      <c r="G6528" s="2"/>
      <c r="H6528" s="2"/>
      <c r="I6528" s="2"/>
      <c r="J6528" s="2"/>
      <c r="K6528" s="2"/>
      <c r="L6528" s="2"/>
      <c r="M6528" s="2"/>
      <c r="N6528" s="2"/>
      <c r="O6528" s="2"/>
      <c r="P6528" s="2"/>
      <c r="Q6528" s="2"/>
      <c r="R6528" s="2"/>
      <c r="S6528" s="2"/>
      <c r="T6528" s="2"/>
      <c r="U6528" s="2"/>
      <c r="V6528" s="2"/>
      <c r="W6528" s="2"/>
    </row>
    <row r="6529" spans="1:23" x14ac:dyDescent="0.25">
      <c r="A6529" s="2"/>
      <c r="B6529" s="2"/>
      <c r="C6529" s="1"/>
      <c r="D6529" s="2"/>
      <c r="E6529" s="2"/>
      <c r="F6529" s="2"/>
      <c r="G6529" s="2"/>
      <c r="H6529" s="2"/>
      <c r="I6529" s="2"/>
      <c r="J6529" s="2"/>
      <c r="K6529" s="2"/>
      <c r="L6529" s="2"/>
      <c r="M6529" s="2"/>
      <c r="N6529" s="2"/>
      <c r="O6529" s="2"/>
      <c r="P6529" s="2"/>
      <c r="Q6529" s="2"/>
      <c r="R6529" s="2"/>
      <c r="S6529" s="2"/>
      <c r="T6529" s="2"/>
      <c r="U6529" s="2"/>
      <c r="V6529" s="2"/>
      <c r="W6529" s="2"/>
    </row>
    <row r="6530" spans="1:23" x14ac:dyDescent="0.25">
      <c r="A6530" s="2"/>
      <c r="B6530" s="2"/>
      <c r="C6530" s="1"/>
      <c r="D6530" s="2"/>
      <c r="E6530" s="2"/>
      <c r="F6530" s="2"/>
      <c r="G6530" s="2"/>
      <c r="H6530" s="2"/>
      <c r="I6530" s="2"/>
      <c r="J6530" s="2"/>
      <c r="K6530" s="2"/>
      <c r="L6530" s="2"/>
      <c r="M6530" s="2"/>
      <c r="N6530" s="2"/>
      <c r="O6530" s="2"/>
      <c r="P6530" s="2"/>
      <c r="Q6530" s="2"/>
      <c r="R6530" s="2"/>
      <c r="S6530" s="2"/>
      <c r="T6530" s="2"/>
      <c r="U6530" s="2"/>
      <c r="V6530" s="2"/>
      <c r="W6530" s="2"/>
    </row>
    <row r="6531" spans="1:23" x14ac:dyDescent="0.25">
      <c r="A6531" s="2"/>
      <c r="B6531" s="2"/>
      <c r="C6531" s="1"/>
      <c r="D6531" s="2"/>
      <c r="E6531" s="2"/>
      <c r="F6531" s="2"/>
      <c r="G6531" s="2"/>
      <c r="H6531" s="2"/>
      <c r="I6531" s="2"/>
      <c r="J6531" s="2"/>
      <c r="K6531" s="2"/>
      <c r="L6531" s="2"/>
      <c r="M6531" s="2"/>
      <c r="N6531" s="2"/>
      <c r="O6531" s="2"/>
      <c r="P6531" s="2"/>
      <c r="Q6531" s="2"/>
      <c r="R6531" s="2"/>
      <c r="S6531" s="2"/>
      <c r="T6531" s="2"/>
      <c r="U6531" s="2"/>
      <c r="V6531" s="2"/>
      <c r="W6531" s="2"/>
    </row>
    <row r="6532" spans="1:23" x14ac:dyDescent="0.25">
      <c r="A6532" s="2"/>
      <c r="B6532" s="2"/>
      <c r="C6532" s="1"/>
      <c r="D6532" s="2"/>
      <c r="E6532" s="2"/>
      <c r="F6532" s="2"/>
      <c r="G6532" s="2"/>
      <c r="H6532" s="2"/>
      <c r="I6532" s="2"/>
      <c r="J6532" s="2"/>
      <c r="K6532" s="2"/>
      <c r="L6532" s="2"/>
      <c r="M6532" s="2"/>
      <c r="N6532" s="2"/>
      <c r="O6532" s="2"/>
      <c r="P6532" s="2"/>
      <c r="Q6532" s="2"/>
      <c r="R6532" s="2"/>
      <c r="S6532" s="2"/>
      <c r="T6532" s="2"/>
      <c r="U6532" s="2"/>
      <c r="V6532" s="2"/>
      <c r="W6532" s="2"/>
    </row>
    <row r="6533" spans="1:23" x14ac:dyDescent="0.25">
      <c r="A6533" s="2"/>
      <c r="B6533" s="2"/>
      <c r="C6533" s="1"/>
      <c r="D6533" s="2"/>
      <c r="E6533" s="2"/>
      <c r="F6533" s="2"/>
      <c r="G6533" s="2"/>
      <c r="H6533" s="2"/>
      <c r="I6533" s="2"/>
      <c r="J6533" s="2"/>
      <c r="K6533" s="2"/>
      <c r="L6533" s="2"/>
      <c r="M6533" s="2"/>
      <c r="N6533" s="2"/>
      <c r="O6533" s="2"/>
      <c r="P6533" s="2"/>
      <c r="Q6533" s="2"/>
      <c r="R6533" s="2"/>
      <c r="S6533" s="2"/>
      <c r="T6533" s="2"/>
      <c r="U6533" s="2"/>
      <c r="V6533" s="2"/>
      <c r="W6533" s="2"/>
    </row>
    <row r="6534" spans="1:23" x14ac:dyDescent="0.25">
      <c r="A6534" s="2"/>
      <c r="B6534" s="2"/>
      <c r="C6534" s="1"/>
      <c r="D6534" s="2"/>
      <c r="E6534" s="2"/>
      <c r="F6534" s="2"/>
      <c r="G6534" s="2"/>
      <c r="H6534" s="2"/>
      <c r="I6534" s="2"/>
      <c r="J6534" s="2"/>
      <c r="K6534" s="2"/>
      <c r="L6534" s="2"/>
      <c r="M6534" s="2"/>
      <c r="N6534" s="2"/>
      <c r="O6534" s="2"/>
      <c r="P6534" s="2"/>
      <c r="Q6534" s="2"/>
      <c r="R6534" s="2"/>
      <c r="S6534" s="2"/>
      <c r="T6534" s="2"/>
      <c r="U6534" s="2"/>
      <c r="V6534" s="2"/>
      <c r="W6534" s="2"/>
    </row>
    <row r="6535" spans="1:23" x14ac:dyDescent="0.25">
      <c r="A6535" s="2"/>
      <c r="B6535" s="2"/>
      <c r="C6535" s="1"/>
      <c r="D6535" s="2"/>
      <c r="E6535" s="2"/>
      <c r="F6535" s="2"/>
      <c r="G6535" s="2"/>
      <c r="H6535" s="2"/>
      <c r="I6535" s="2"/>
      <c r="J6535" s="2"/>
      <c r="K6535" s="2"/>
      <c r="L6535" s="2"/>
      <c r="M6535" s="2"/>
      <c r="N6535" s="2"/>
      <c r="O6535" s="2"/>
      <c r="P6535" s="2"/>
      <c r="Q6535" s="2"/>
      <c r="R6535" s="2"/>
      <c r="S6535" s="2"/>
      <c r="T6535" s="2"/>
      <c r="U6535" s="2"/>
      <c r="V6535" s="2"/>
      <c r="W6535" s="2"/>
    </row>
    <row r="6536" spans="1:23" x14ac:dyDescent="0.25">
      <c r="A6536" s="2"/>
      <c r="B6536" s="2"/>
      <c r="C6536" s="1"/>
      <c r="D6536" s="2"/>
      <c r="E6536" s="2"/>
      <c r="F6536" s="2"/>
      <c r="G6536" s="2"/>
      <c r="H6536" s="2"/>
      <c r="I6536" s="2"/>
      <c r="J6536" s="2"/>
      <c r="K6536" s="2"/>
      <c r="L6536" s="2"/>
      <c r="M6536" s="2"/>
      <c r="N6536" s="2"/>
      <c r="O6536" s="2"/>
      <c r="P6536" s="2"/>
      <c r="Q6536" s="2"/>
      <c r="R6536" s="2"/>
      <c r="S6536" s="2"/>
      <c r="T6536" s="2"/>
      <c r="U6536" s="2"/>
      <c r="V6536" s="2"/>
      <c r="W6536" s="2"/>
    </row>
    <row r="6537" spans="1:23" x14ac:dyDescent="0.25">
      <c r="A6537" s="2"/>
      <c r="B6537" s="2"/>
      <c r="C6537" s="1"/>
      <c r="D6537" s="2"/>
      <c r="E6537" s="2"/>
      <c r="F6537" s="2"/>
      <c r="G6537" s="2"/>
      <c r="H6537" s="2"/>
      <c r="I6537" s="2"/>
      <c r="J6537" s="2"/>
      <c r="K6537" s="2"/>
      <c r="L6537" s="2"/>
      <c r="M6537" s="2"/>
      <c r="N6537" s="2"/>
      <c r="O6537" s="2"/>
      <c r="P6537" s="2"/>
      <c r="Q6537" s="2"/>
      <c r="R6537" s="2"/>
      <c r="S6537" s="2"/>
      <c r="T6537" s="2"/>
      <c r="U6537" s="2"/>
      <c r="V6537" s="2"/>
      <c r="W6537" s="2"/>
    </row>
    <row r="6538" spans="1:23" x14ac:dyDescent="0.25">
      <c r="A6538" s="2"/>
      <c r="B6538" s="2"/>
      <c r="C6538" s="1"/>
      <c r="D6538" s="2"/>
      <c r="E6538" s="2"/>
      <c r="F6538" s="2"/>
      <c r="G6538" s="2"/>
      <c r="H6538" s="2"/>
      <c r="I6538" s="2"/>
      <c r="J6538" s="2"/>
      <c r="K6538" s="2"/>
      <c r="L6538" s="2"/>
      <c r="M6538" s="2"/>
      <c r="N6538" s="2"/>
      <c r="O6538" s="2"/>
      <c r="P6538" s="2"/>
      <c r="Q6538" s="2"/>
      <c r="R6538" s="2"/>
      <c r="S6538" s="2"/>
      <c r="T6538" s="2"/>
      <c r="U6538" s="2"/>
      <c r="V6538" s="2"/>
      <c r="W6538" s="2"/>
    </row>
    <row r="6539" spans="1:23" x14ac:dyDescent="0.25">
      <c r="A6539" s="2"/>
      <c r="B6539" s="2"/>
      <c r="C6539" s="1"/>
      <c r="D6539" s="2"/>
      <c r="E6539" s="2"/>
      <c r="F6539" s="2"/>
      <c r="G6539" s="2"/>
      <c r="H6539" s="2"/>
      <c r="I6539" s="2"/>
      <c r="J6539" s="2"/>
      <c r="K6539" s="2"/>
      <c r="L6539" s="2"/>
      <c r="M6539" s="2"/>
      <c r="N6539" s="2"/>
      <c r="O6539" s="2"/>
      <c r="P6539" s="2"/>
      <c r="Q6539" s="2"/>
      <c r="R6539" s="2"/>
      <c r="S6539" s="2"/>
      <c r="T6539" s="2"/>
      <c r="U6539" s="2"/>
      <c r="V6539" s="2"/>
      <c r="W6539" s="2"/>
    </row>
    <row r="6540" spans="1:23" x14ac:dyDescent="0.25">
      <c r="A6540" s="2"/>
      <c r="B6540" s="2"/>
      <c r="C6540" s="1"/>
      <c r="D6540" s="2"/>
      <c r="E6540" s="2"/>
      <c r="F6540" s="2"/>
      <c r="G6540" s="2"/>
      <c r="H6540" s="2"/>
      <c r="I6540" s="2"/>
      <c r="J6540" s="2"/>
      <c r="K6540" s="2"/>
      <c r="L6540" s="2"/>
      <c r="M6540" s="2"/>
      <c r="N6540" s="2"/>
      <c r="O6540" s="2"/>
      <c r="P6540" s="2"/>
      <c r="Q6540" s="2"/>
      <c r="R6540" s="2"/>
      <c r="S6540" s="2"/>
      <c r="T6540" s="2"/>
      <c r="U6540" s="2"/>
      <c r="V6540" s="2"/>
      <c r="W6540" s="2"/>
    </row>
    <row r="6541" spans="1:23" x14ac:dyDescent="0.25">
      <c r="A6541" s="2"/>
      <c r="B6541" s="2"/>
      <c r="C6541" s="1"/>
      <c r="D6541" s="2"/>
      <c r="E6541" s="2"/>
      <c r="F6541" s="2"/>
      <c r="G6541" s="2"/>
      <c r="H6541" s="2"/>
      <c r="I6541" s="2"/>
      <c r="J6541" s="2"/>
      <c r="K6541" s="2"/>
      <c r="L6541" s="2"/>
      <c r="M6541" s="2"/>
      <c r="N6541" s="2"/>
      <c r="O6541" s="2"/>
      <c r="P6541" s="2"/>
      <c r="Q6541" s="2"/>
      <c r="R6541" s="2"/>
      <c r="S6541" s="2"/>
      <c r="T6541" s="2"/>
      <c r="U6541" s="2"/>
      <c r="V6541" s="2"/>
      <c r="W6541" s="2"/>
    </row>
    <row r="6542" spans="1:23" x14ac:dyDescent="0.25">
      <c r="A6542" s="2"/>
      <c r="B6542" s="2"/>
      <c r="C6542" s="1"/>
      <c r="D6542" s="2"/>
      <c r="E6542" s="2"/>
      <c r="F6542" s="2"/>
      <c r="G6542" s="2"/>
      <c r="H6542" s="2"/>
      <c r="I6542" s="2"/>
      <c r="J6542" s="2"/>
      <c r="K6542" s="2"/>
      <c r="L6542" s="2"/>
      <c r="M6542" s="2"/>
      <c r="N6542" s="2"/>
      <c r="O6542" s="2"/>
      <c r="P6542" s="2"/>
      <c r="Q6542" s="2"/>
      <c r="R6542" s="2"/>
      <c r="S6542" s="2"/>
      <c r="T6542" s="2"/>
      <c r="U6542" s="2"/>
      <c r="V6542" s="2"/>
      <c r="W6542" s="2"/>
    </row>
    <row r="6543" spans="1:23" x14ac:dyDescent="0.25">
      <c r="A6543" s="2"/>
      <c r="B6543" s="2"/>
      <c r="C6543" s="1"/>
      <c r="D6543" s="2"/>
      <c r="E6543" s="2"/>
      <c r="F6543" s="2"/>
      <c r="G6543" s="2"/>
      <c r="H6543" s="2"/>
      <c r="I6543" s="2"/>
      <c r="J6543" s="2"/>
      <c r="K6543" s="2"/>
      <c r="L6543" s="2"/>
      <c r="M6543" s="2"/>
      <c r="N6543" s="2"/>
      <c r="O6543" s="2"/>
      <c r="P6543" s="2"/>
      <c r="Q6543" s="2"/>
      <c r="R6543" s="2"/>
      <c r="S6543" s="2"/>
      <c r="T6543" s="2"/>
      <c r="U6543" s="2"/>
      <c r="V6543" s="2"/>
      <c r="W6543" s="2"/>
    </row>
    <row r="6544" spans="1:23" x14ac:dyDescent="0.25">
      <c r="A6544" s="2"/>
      <c r="B6544" s="2"/>
      <c r="C6544" s="1"/>
      <c r="D6544" s="2"/>
      <c r="E6544" s="2"/>
      <c r="F6544" s="2"/>
      <c r="G6544" s="2"/>
      <c r="H6544" s="2"/>
      <c r="I6544" s="2"/>
      <c r="J6544" s="2"/>
      <c r="K6544" s="2"/>
      <c r="L6544" s="2"/>
      <c r="M6544" s="2"/>
      <c r="N6544" s="2"/>
      <c r="O6544" s="2"/>
      <c r="P6544" s="2"/>
      <c r="Q6544" s="2"/>
      <c r="R6544" s="2"/>
      <c r="S6544" s="2"/>
      <c r="T6544" s="2"/>
      <c r="U6544" s="2"/>
      <c r="V6544" s="2"/>
      <c r="W6544" s="2"/>
    </row>
    <row r="6545" spans="1:23" x14ac:dyDescent="0.25">
      <c r="A6545" s="2"/>
      <c r="B6545" s="2"/>
      <c r="C6545" s="1"/>
      <c r="D6545" s="2"/>
      <c r="E6545" s="2"/>
      <c r="F6545" s="2"/>
      <c r="G6545" s="2"/>
      <c r="H6545" s="2"/>
      <c r="I6545" s="2"/>
      <c r="J6545" s="2"/>
      <c r="K6545" s="2"/>
      <c r="L6545" s="2"/>
      <c r="M6545" s="2"/>
      <c r="N6545" s="2"/>
      <c r="O6545" s="2"/>
      <c r="P6545" s="2"/>
      <c r="Q6545" s="2"/>
      <c r="R6545" s="2"/>
      <c r="S6545" s="2"/>
      <c r="T6545" s="2"/>
      <c r="U6545" s="2"/>
      <c r="V6545" s="2"/>
      <c r="W6545" s="2"/>
    </row>
    <row r="6546" spans="1:23" x14ac:dyDescent="0.25">
      <c r="A6546" s="2"/>
      <c r="B6546" s="2"/>
      <c r="C6546" s="1"/>
      <c r="D6546" s="2"/>
      <c r="E6546" s="2"/>
      <c r="F6546" s="2"/>
      <c r="G6546" s="2"/>
      <c r="H6546" s="2"/>
      <c r="I6546" s="2"/>
      <c r="J6546" s="2"/>
      <c r="K6546" s="2"/>
      <c r="L6546" s="2"/>
      <c r="M6546" s="2"/>
      <c r="N6546" s="2"/>
      <c r="O6546" s="2"/>
      <c r="P6546" s="2"/>
      <c r="Q6546" s="2"/>
      <c r="R6546" s="2"/>
      <c r="S6546" s="2"/>
      <c r="T6546" s="2"/>
      <c r="U6546" s="2"/>
      <c r="V6546" s="2"/>
      <c r="W6546" s="2"/>
    </row>
    <row r="6547" spans="1:23" x14ac:dyDescent="0.25">
      <c r="A6547" s="2"/>
      <c r="B6547" s="2"/>
      <c r="C6547" s="1"/>
      <c r="D6547" s="2"/>
      <c r="E6547" s="2"/>
      <c r="F6547" s="2"/>
      <c r="G6547" s="2"/>
      <c r="H6547" s="2"/>
      <c r="I6547" s="2"/>
      <c r="J6547" s="2"/>
      <c r="K6547" s="2"/>
      <c r="L6547" s="2"/>
      <c r="M6547" s="2"/>
      <c r="N6547" s="2"/>
      <c r="O6547" s="2"/>
      <c r="P6547" s="2"/>
      <c r="Q6547" s="2"/>
      <c r="R6547" s="2"/>
      <c r="S6547" s="2"/>
      <c r="T6547" s="2"/>
      <c r="U6547" s="2"/>
      <c r="V6547" s="2"/>
      <c r="W6547" s="2"/>
    </row>
    <row r="6548" spans="1:23" x14ac:dyDescent="0.25">
      <c r="A6548" s="2"/>
      <c r="B6548" s="2"/>
      <c r="C6548" s="1"/>
      <c r="D6548" s="2"/>
      <c r="E6548" s="2"/>
      <c r="F6548" s="2"/>
      <c r="G6548" s="2"/>
      <c r="H6548" s="2"/>
      <c r="I6548" s="2"/>
      <c r="J6548" s="2"/>
      <c r="K6548" s="2"/>
      <c r="L6548" s="2"/>
      <c r="M6548" s="2"/>
      <c r="N6548" s="2"/>
      <c r="O6548" s="2"/>
      <c r="P6548" s="2"/>
      <c r="Q6548" s="2"/>
      <c r="R6548" s="2"/>
      <c r="S6548" s="2"/>
      <c r="T6548" s="2"/>
      <c r="U6548" s="2"/>
      <c r="V6548" s="2"/>
      <c r="W6548" s="2"/>
    </row>
    <row r="6549" spans="1:23" x14ac:dyDescent="0.25">
      <c r="A6549" s="2"/>
      <c r="B6549" s="2"/>
      <c r="C6549" s="1"/>
      <c r="D6549" s="2"/>
      <c r="E6549" s="2"/>
      <c r="F6549" s="2"/>
      <c r="G6549" s="2"/>
      <c r="H6549" s="2"/>
      <c r="I6549" s="2"/>
      <c r="J6549" s="2"/>
      <c r="K6549" s="2"/>
      <c r="L6549" s="2"/>
      <c r="M6549" s="2"/>
      <c r="N6549" s="2"/>
      <c r="O6549" s="2"/>
      <c r="P6549" s="2"/>
      <c r="Q6549" s="2"/>
      <c r="R6549" s="2"/>
      <c r="S6549" s="2"/>
      <c r="T6549" s="2"/>
      <c r="U6549" s="2"/>
      <c r="V6549" s="2"/>
      <c r="W6549" s="2"/>
    </row>
    <row r="6550" spans="1:23" x14ac:dyDescent="0.25">
      <c r="A6550" s="2"/>
      <c r="B6550" s="2"/>
      <c r="C6550" s="1"/>
      <c r="D6550" s="2"/>
      <c r="E6550" s="2"/>
      <c r="F6550" s="2"/>
      <c r="G6550" s="2"/>
      <c r="H6550" s="2"/>
      <c r="I6550" s="2"/>
      <c r="J6550" s="2"/>
      <c r="K6550" s="2"/>
      <c r="L6550" s="2"/>
      <c r="M6550" s="2"/>
      <c r="N6550" s="2"/>
      <c r="O6550" s="2"/>
      <c r="P6550" s="2"/>
      <c r="Q6550" s="2"/>
      <c r="R6550" s="2"/>
      <c r="S6550" s="2"/>
      <c r="T6550" s="2"/>
      <c r="U6550" s="2"/>
      <c r="V6550" s="2"/>
      <c r="W6550" s="2"/>
    </row>
    <row r="6551" spans="1:23" x14ac:dyDescent="0.25">
      <c r="A6551" s="2"/>
      <c r="B6551" s="2"/>
      <c r="C6551" s="1"/>
      <c r="D6551" s="2"/>
      <c r="E6551" s="2"/>
      <c r="F6551" s="2"/>
      <c r="G6551" s="2"/>
      <c r="H6551" s="2"/>
      <c r="I6551" s="2"/>
      <c r="J6551" s="2"/>
      <c r="K6551" s="2"/>
      <c r="L6551" s="2"/>
      <c r="M6551" s="2"/>
      <c r="N6551" s="2"/>
      <c r="O6551" s="2"/>
      <c r="P6551" s="2"/>
      <c r="Q6551" s="2"/>
      <c r="R6551" s="2"/>
      <c r="S6551" s="2"/>
      <c r="T6551" s="2"/>
      <c r="U6551" s="2"/>
      <c r="V6551" s="2"/>
      <c r="W6551" s="2"/>
    </row>
    <row r="6552" spans="1:23" x14ac:dyDescent="0.25">
      <c r="A6552" s="2"/>
      <c r="B6552" s="2"/>
      <c r="C6552" s="1"/>
      <c r="D6552" s="2"/>
      <c r="E6552" s="2"/>
      <c r="F6552" s="2"/>
      <c r="G6552" s="2"/>
      <c r="H6552" s="2"/>
      <c r="I6552" s="2"/>
      <c r="J6552" s="2"/>
      <c r="K6552" s="2"/>
      <c r="L6552" s="2"/>
      <c r="M6552" s="2"/>
      <c r="N6552" s="2"/>
      <c r="O6552" s="2"/>
      <c r="P6552" s="2"/>
      <c r="Q6552" s="2"/>
      <c r="R6552" s="2"/>
      <c r="S6552" s="2"/>
      <c r="T6552" s="2"/>
      <c r="U6552" s="2"/>
      <c r="V6552" s="2"/>
      <c r="W6552" s="2"/>
    </row>
    <row r="6553" spans="1:23" x14ac:dyDescent="0.25">
      <c r="A6553" s="2"/>
      <c r="B6553" s="2"/>
      <c r="C6553" s="1"/>
      <c r="D6553" s="2"/>
      <c r="E6553" s="2"/>
      <c r="F6553" s="2"/>
      <c r="G6553" s="2"/>
      <c r="H6553" s="2"/>
      <c r="I6553" s="2"/>
      <c r="J6553" s="2"/>
      <c r="K6553" s="2"/>
      <c r="L6553" s="2"/>
      <c r="M6553" s="2"/>
      <c r="N6553" s="2"/>
      <c r="O6553" s="2"/>
      <c r="P6553" s="2"/>
      <c r="Q6553" s="2"/>
      <c r="R6553" s="2"/>
      <c r="S6553" s="2"/>
      <c r="T6553" s="2"/>
      <c r="U6553" s="2"/>
      <c r="V6553" s="2"/>
      <c r="W6553" s="2"/>
    </row>
    <row r="6554" spans="1:23" x14ac:dyDescent="0.25">
      <c r="A6554" s="2"/>
      <c r="B6554" s="2"/>
      <c r="C6554" s="1"/>
      <c r="D6554" s="2"/>
      <c r="E6554" s="2"/>
      <c r="F6554" s="2"/>
      <c r="G6554" s="2"/>
      <c r="H6554" s="2"/>
      <c r="I6554" s="2"/>
      <c r="J6554" s="2"/>
      <c r="K6554" s="2"/>
      <c r="L6554" s="2"/>
      <c r="M6554" s="2"/>
      <c r="N6554" s="2"/>
      <c r="O6554" s="2"/>
      <c r="P6554" s="2"/>
      <c r="Q6554" s="2"/>
      <c r="R6554" s="2"/>
      <c r="S6554" s="2"/>
      <c r="T6554" s="2"/>
      <c r="U6554" s="2"/>
      <c r="V6554" s="2"/>
      <c r="W6554" s="2"/>
    </row>
    <row r="6555" spans="1:23" x14ac:dyDescent="0.25">
      <c r="A6555" s="2"/>
      <c r="B6555" s="2"/>
      <c r="C6555" s="1"/>
      <c r="D6555" s="2"/>
      <c r="E6555" s="2"/>
      <c r="F6555" s="2"/>
      <c r="G6555" s="2"/>
      <c r="H6555" s="2"/>
      <c r="I6555" s="2"/>
      <c r="J6555" s="2"/>
      <c r="K6555" s="2"/>
      <c r="L6555" s="2"/>
      <c r="M6555" s="2"/>
      <c r="N6555" s="2"/>
      <c r="O6555" s="2"/>
      <c r="P6555" s="2"/>
      <c r="Q6555" s="2"/>
      <c r="R6555" s="2"/>
      <c r="S6555" s="2"/>
      <c r="T6555" s="2"/>
      <c r="U6555" s="2"/>
      <c r="V6555" s="2"/>
      <c r="W6555" s="2"/>
    </row>
    <row r="6556" spans="1:23" x14ac:dyDescent="0.25">
      <c r="A6556" s="2"/>
      <c r="B6556" s="2"/>
      <c r="C6556" s="1"/>
      <c r="D6556" s="2"/>
      <c r="E6556" s="2"/>
      <c r="F6556" s="2"/>
      <c r="G6556" s="2"/>
      <c r="H6556" s="2"/>
      <c r="I6556" s="2"/>
      <c r="J6556" s="2"/>
      <c r="K6556" s="2"/>
      <c r="L6556" s="2"/>
      <c r="M6556" s="2"/>
      <c r="N6556" s="2"/>
      <c r="O6556" s="2"/>
      <c r="P6556" s="2"/>
      <c r="Q6556" s="2"/>
      <c r="R6556" s="2"/>
      <c r="S6556" s="2"/>
      <c r="T6556" s="2"/>
      <c r="U6556" s="2"/>
      <c r="V6556" s="2"/>
      <c r="W6556" s="2"/>
    </row>
    <row r="6557" spans="1:23" x14ac:dyDescent="0.25">
      <c r="A6557" s="2"/>
      <c r="B6557" s="2"/>
      <c r="C6557" s="1"/>
      <c r="D6557" s="2"/>
      <c r="E6557" s="2"/>
      <c r="F6557" s="2"/>
      <c r="G6557" s="2"/>
      <c r="H6557" s="2"/>
      <c r="I6557" s="2"/>
      <c r="J6557" s="2"/>
      <c r="K6557" s="2"/>
      <c r="L6557" s="2"/>
      <c r="M6557" s="2"/>
      <c r="N6557" s="2"/>
      <c r="O6557" s="2"/>
      <c r="P6557" s="2"/>
      <c r="Q6557" s="2"/>
      <c r="R6557" s="2"/>
      <c r="S6557" s="2"/>
      <c r="T6557" s="2"/>
      <c r="U6557" s="2"/>
      <c r="V6557" s="2"/>
      <c r="W6557" s="2"/>
    </row>
    <row r="6558" spans="1:23" x14ac:dyDescent="0.25">
      <c r="A6558" s="2"/>
      <c r="B6558" s="2"/>
      <c r="C6558" s="1"/>
      <c r="D6558" s="2"/>
      <c r="E6558" s="2"/>
      <c r="F6558" s="2"/>
      <c r="G6558" s="2"/>
      <c r="H6558" s="2"/>
      <c r="I6558" s="2"/>
      <c r="J6558" s="2"/>
      <c r="K6558" s="2"/>
      <c r="L6558" s="2"/>
      <c r="M6558" s="2"/>
      <c r="N6558" s="2"/>
      <c r="O6558" s="2"/>
      <c r="P6558" s="2"/>
      <c r="Q6558" s="2"/>
      <c r="R6558" s="2"/>
      <c r="S6558" s="2"/>
      <c r="T6558" s="2"/>
      <c r="U6558" s="2"/>
      <c r="V6558" s="2"/>
      <c r="W6558" s="2"/>
    </row>
    <row r="6559" spans="1:23" x14ac:dyDescent="0.25">
      <c r="A6559" s="2"/>
      <c r="B6559" s="2"/>
      <c r="C6559" s="1"/>
      <c r="D6559" s="2"/>
      <c r="E6559" s="2"/>
      <c r="F6559" s="2"/>
      <c r="G6559" s="2"/>
      <c r="H6559" s="2"/>
      <c r="I6559" s="2"/>
      <c r="J6559" s="2"/>
      <c r="K6559" s="2"/>
      <c r="L6559" s="2"/>
      <c r="M6559" s="2"/>
      <c r="N6559" s="2"/>
      <c r="O6559" s="2"/>
      <c r="P6559" s="2"/>
      <c r="Q6559" s="2"/>
      <c r="R6559" s="2"/>
      <c r="S6559" s="2"/>
      <c r="T6559" s="2"/>
      <c r="U6559" s="2"/>
      <c r="V6559" s="2"/>
      <c r="W6559" s="2"/>
    </row>
    <row r="6560" spans="1:23" x14ac:dyDescent="0.25">
      <c r="A6560" s="2"/>
      <c r="B6560" s="2"/>
      <c r="C6560" s="1"/>
      <c r="D6560" s="2"/>
      <c r="E6560" s="2"/>
      <c r="F6560" s="2"/>
      <c r="G6560" s="2"/>
      <c r="H6560" s="2"/>
      <c r="I6560" s="2"/>
      <c r="J6560" s="2"/>
      <c r="K6560" s="2"/>
      <c r="L6560" s="2"/>
      <c r="M6560" s="2"/>
      <c r="N6560" s="2"/>
      <c r="O6560" s="2"/>
      <c r="P6560" s="2"/>
      <c r="Q6560" s="2"/>
      <c r="R6560" s="2"/>
      <c r="S6560" s="2"/>
      <c r="T6560" s="2"/>
      <c r="U6560" s="2"/>
      <c r="V6560" s="2"/>
      <c r="W6560" s="2"/>
    </row>
    <row r="6561" spans="1:23" x14ac:dyDescent="0.25">
      <c r="A6561" s="2"/>
      <c r="B6561" s="2"/>
      <c r="C6561" s="1"/>
      <c r="D6561" s="2"/>
      <c r="E6561" s="2"/>
      <c r="F6561" s="2"/>
      <c r="G6561" s="2"/>
      <c r="H6561" s="2"/>
      <c r="I6561" s="2"/>
      <c r="J6561" s="2"/>
      <c r="K6561" s="2"/>
      <c r="L6561" s="2"/>
      <c r="M6561" s="2"/>
      <c r="N6561" s="2"/>
      <c r="O6561" s="2"/>
      <c r="P6561" s="2"/>
      <c r="Q6561" s="2"/>
      <c r="R6561" s="2"/>
      <c r="S6561" s="2"/>
      <c r="T6561" s="2"/>
      <c r="U6561" s="2"/>
      <c r="V6561" s="2"/>
      <c r="W6561" s="2"/>
    </row>
    <row r="6562" spans="1:23" x14ac:dyDescent="0.25">
      <c r="A6562" s="2"/>
      <c r="B6562" s="2"/>
      <c r="C6562" s="1"/>
      <c r="D6562" s="2"/>
      <c r="E6562" s="2"/>
      <c r="F6562" s="2"/>
      <c r="G6562" s="2"/>
      <c r="H6562" s="2"/>
      <c r="I6562" s="2"/>
      <c r="J6562" s="2"/>
      <c r="K6562" s="2"/>
      <c r="L6562" s="2"/>
      <c r="M6562" s="2"/>
      <c r="N6562" s="2"/>
      <c r="O6562" s="2"/>
      <c r="P6562" s="2"/>
      <c r="Q6562" s="2"/>
      <c r="R6562" s="2"/>
      <c r="S6562" s="2"/>
      <c r="T6562" s="2"/>
      <c r="U6562" s="2"/>
      <c r="V6562" s="2"/>
      <c r="W6562" s="2"/>
    </row>
    <row r="6563" spans="1:23" x14ac:dyDescent="0.25">
      <c r="A6563" s="2"/>
      <c r="B6563" s="2"/>
      <c r="C6563" s="1"/>
      <c r="D6563" s="2"/>
      <c r="E6563" s="2"/>
      <c r="F6563" s="2"/>
      <c r="G6563" s="2"/>
      <c r="H6563" s="2"/>
      <c r="I6563" s="2"/>
      <c r="J6563" s="2"/>
      <c r="K6563" s="2"/>
      <c r="L6563" s="2"/>
      <c r="M6563" s="2"/>
      <c r="N6563" s="2"/>
      <c r="O6563" s="2"/>
      <c r="P6563" s="2"/>
      <c r="Q6563" s="2"/>
      <c r="R6563" s="2"/>
      <c r="S6563" s="2"/>
      <c r="T6563" s="2"/>
      <c r="U6563" s="2"/>
      <c r="V6563" s="2"/>
      <c r="W6563" s="2"/>
    </row>
    <row r="6564" spans="1:23" x14ac:dyDescent="0.25">
      <c r="A6564" s="2"/>
      <c r="B6564" s="2"/>
      <c r="C6564" s="1"/>
      <c r="D6564" s="2"/>
      <c r="E6564" s="2"/>
      <c r="F6564" s="2"/>
      <c r="G6564" s="2"/>
      <c r="H6564" s="2"/>
      <c r="I6564" s="2"/>
      <c r="J6564" s="2"/>
      <c r="K6564" s="2"/>
      <c r="L6564" s="2"/>
      <c r="M6564" s="2"/>
      <c r="N6564" s="2"/>
      <c r="O6564" s="2"/>
      <c r="P6564" s="2"/>
      <c r="Q6564" s="2"/>
      <c r="R6564" s="2"/>
      <c r="S6564" s="2"/>
      <c r="T6564" s="2"/>
      <c r="U6564" s="2"/>
      <c r="V6564" s="2"/>
      <c r="W6564" s="2"/>
    </row>
    <row r="6565" spans="1:23" x14ac:dyDescent="0.25">
      <c r="A6565" s="2"/>
      <c r="B6565" s="2"/>
      <c r="C6565" s="1"/>
      <c r="D6565" s="2"/>
      <c r="E6565" s="2"/>
      <c r="F6565" s="2"/>
      <c r="G6565" s="2"/>
      <c r="H6565" s="2"/>
      <c r="I6565" s="2"/>
      <c r="J6565" s="2"/>
      <c r="K6565" s="2"/>
      <c r="L6565" s="2"/>
      <c r="M6565" s="2"/>
      <c r="N6565" s="2"/>
      <c r="O6565" s="2"/>
      <c r="P6565" s="2"/>
      <c r="Q6565" s="2"/>
      <c r="R6565" s="2"/>
      <c r="S6565" s="2"/>
      <c r="T6565" s="2"/>
      <c r="U6565" s="2"/>
      <c r="V6565" s="2"/>
      <c r="W6565" s="2"/>
    </row>
    <row r="6566" spans="1:23" x14ac:dyDescent="0.25">
      <c r="A6566" s="2"/>
      <c r="B6566" s="2"/>
      <c r="C6566" s="1"/>
      <c r="D6566" s="2"/>
      <c r="E6566" s="2"/>
      <c r="F6566" s="2"/>
      <c r="G6566" s="2"/>
      <c r="H6566" s="2"/>
      <c r="I6566" s="2"/>
      <c r="J6566" s="2"/>
      <c r="K6566" s="2"/>
      <c r="L6566" s="2"/>
      <c r="M6566" s="2"/>
      <c r="N6566" s="2"/>
      <c r="O6566" s="2"/>
      <c r="P6566" s="2"/>
      <c r="Q6566" s="2"/>
      <c r="R6566" s="2"/>
      <c r="S6566" s="2"/>
      <c r="T6566" s="2"/>
      <c r="U6566" s="2"/>
      <c r="V6566" s="2"/>
      <c r="W6566" s="2"/>
    </row>
    <row r="6567" spans="1:23" x14ac:dyDescent="0.25">
      <c r="A6567" s="2"/>
      <c r="B6567" s="2"/>
      <c r="C6567" s="1"/>
      <c r="D6567" s="2"/>
      <c r="E6567" s="2"/>
      <c r="F6567" s="2"/>
      <c r="G6567" s="2"/>
      <c r="H6567" s="2"/>
      <c r="I6567" s="2"/>
      <c r="J6567" s="2"/>
      <c r="K6567" s="2"/>
      <c r="L6567" s="2"/>
      <c r="M6567" s="2"/>
      <c r="N6567" s="2"/>
      <c r="O6567" s="2"/>
      <c r="P6567" s="2"/>
      <c r="Q6567" s="2"/>
      <c r="R6567" s="2"/>
      <c r="S6567" s="2"/>
      <c r="T6567" s="2"/>
      <c r="U6567" s="2"/>
      <c r="V6567" s="2"/>
      <c r="W6567" s="2"/>
    </row>
    <row r="6568" spans="1:23" x14ac:dyDescent="0.25">
      <c r="A6568" s="2"/>
      <c r="B6568" s="2"/>
      <c r="C6568" s="1"/>
      <c r="D6568" s="2"/>
      <c r="E6568" s="2"/>
      <c r="F6568" s="2"/>
      <c r="G6568" s="2"/>
      <c r="H6568" s="2"/>
      <c r="I6568" s="2"/>
      <c r="J6568" s="2"/>
      <c r="K6568" s="2"/>
      <c r="L6568" s="2"/>
      <c r="M6568" s="2"/>
      <c r="N6568" s="2"/>
      <c r="O6568" s="2"/>
      <c r="P6568" s="2"/>
      <c r="Q6568" s="2"/>
      <c r="R6568" s="2"/>
      <c r="S6568" s="2"/>
      <c r="T6568" s="2"/>
      <c r="U6568" s="2"/>
      <c r="V6568" s="2"/>
      <c r="W6568" s="2"/>
    </row>
    <row r="6569" spans="1:23" x14ac:dyDescent="0.25">
      <c r="A6569" s="2"/>
      <c r="B6569" s="2"/>
      <c r="C6569" s="1"/>
      <c r="D6569" s="2"/>
      <c r="E6569" s="2"/>
      <c r="F6569" s="2"/>
      <c r="G6569" s="2"/>
      <c r="H6569" s="2"/>
      <c r="I6569" s="2"/>
      <c r="J6569" s="2"/>
      <c r="K6569" s="2"/>
      <c r="L6569" s="2"/>
      <c r="M6569" s="2"/>
      <c r="N6569" s="2"/>
      <c r="O6569" s="2"/>
      <c r="P6569" s="2"/>
      <c r="Q6569" s="2"/>
      <c r="R6569" s="2"/>
      <c r="S6569" s="2"/>
      <c r="T6569" s="2"/>
      <c r="U6569" s="2"/>
      <c r="V6569" s="2"/>
      <c r="W6569" s="2"/>
    </row>
    <row r="6570" spans="1:23" x14ac:dyDescent="0.25">
      <c r="A6570" s="2"/>
      <c r="B6570" s="2"/>
      <c r="C6570" s="1"/>
      <c r="D6570" s="2"/>
      <c r="E6570" s="2"/>
      <c r="F6570" s="2"/>
      <c r="G6570" s="2"/>
      <c r="H6570" s="2"/>
      <c r="I6570" s="2"/>
      <c r="J6570" s="2"/>
      <c r="K6570" s="2"/>
      <c r="L6570" s="2"/>
      <c r="M6570" s="2"/>
      <c r="N6570" s="2"/>
      <c r="O6570" s="2"/>
      <c r="P6570" s="2"/>
      <c r="Q6570" s="2"/>
      <c r="R6570" s="2"/>
      <c r="S6570" s="2"/>
      <c r="T6570" s="2"/>
      <c r="U6570" s="2"/>
      <c r="V6570" s="2"/>
      <c r="W6570" s="2"/>
    </row>
    <row r="6571" spans="1:23" x14ac:dyDescent="0.25">
      <c r="A6571" s="2"/>
      <c r="B6571" s="2"/>
      <c r="C6571" s="1"/>
      <c r="D6571" s="2"/>
      <c r="E6571" s="2"/>
      <c r="F6571" s="2"/>
      <c r="G6571" s="2"/>
      <c r="H6571" s="2"/>
      <c r="I6571" s="2"/>
      <c r="J6571" s="2"/>
      <c r="K6571" s="2"/>
      <c r="L6571" s="2"/>
      <c r="M6571" s="2"/>
      <c r="N6571" s="2"/>
      <c r="O6571" s="2"/>
      <c r="P6571" s="2"/>
      <c r="Q6571" s="2"/>
      <c r="R6571" s="2"/>
      <c r="S6571" s="2"/>
      <c r="T6571" s="2"/>
      <c r="U6571" s="2"/>
      <c r="V6571" s="2"/>
      <c r="W6571" s="2"/>
    </row>
    <row r="6572" spans="1:23" x14ac:dyDescent="0.25">
      <c r="A6572" s="2"/>
      <c r="B6572" s="2"/>
      <c r="C6572" s="1"/>
      <c r="D6572" s="2"/>
      <c r="E6572" s="2"/>
      <c r="F6572" s="2"/>
      <c r="G6572" s="2"/>
      <c r="H6572" s="2"/>
      <c r="I6572" s="2"/>
      <c r="J6572" s="2"/>
      <c r="K6572" s="2"/>
      <c r="L6572" s="2"/>
      <c r="M6572" s="2"/>
      <c r="N6572" s="2"/>
      <c r="O6572" s="2"/>
      <c r="P6572" s="2"/>
      <c r="Q6572" s="2"/>
      <c r="R6572" s="2"/>
      <c r="S6572" s="2"/>
      <c r="T6572" s="2"/>
      <c r="U6572" s="2"/>
      <c r="V6572" s="2"/>
      <c r="W6572" s="2"/>
    </row>
    <row r="6573" spans="1:23" x14ac:dyDescent="0.25">
      <c r="A6573" s="2"/>
      <c r="B6573" s="2"/>
      <c r="C6573" s="1"/>
      <c r="D6573" s="2"/>
      <c r="E6573" s="2"/>
      <c r="F6573" s="2"/>
      <c r="G6573" s="2"/>
      <c r="H6573" s="2"/>
      <c r="I6573" s="2"/>
      <c r="J6573" s="2"/>
      <c r="K6573" s="2"/>
      <c r="L6573" s="2"/>
      <c r="M6573" s="2"/>
      <c r="N6573" s="2"/>
      <c r="O6573" s="2"/>
      <c r="P6573" s="2"/>
      <c r="Q6573" s="2"/>
      <c r="R6573" s="2"/>
      <c r="S6573" s="2"/>
      <c r="T6573" s="2"/>
      <c r="U6573" s="2"/>
      <c r="V6573" s="2"/>
      <c r="W6573" s="2"/>
    </row>
    <row r="6574" spans="1:23" x14ac:dyDescent="0.25">
      <c r="A6574" s="2"/>
      <c r="B6574" s="2"/>
      <c r="C6574" s="1"/>
      <c r="D6574" s="2"/>
      <c r="E6574" s="2"/>
      <c r="F6574" s="2"/>
      <c r="G6574" s="2"/>
      <c r="H6574" s="2"/>
      <c r="I6574" s="2"/>
      <c r="J6574" s="2"/>
      <c r="K6574" s="2"/>
      <c r="L6574" s="2"/>
      <c r="M6574" s="2"/>
      <c r="N6574" s="2"/>
      <c r="O6574" s="2"/>
      <c r="P6574" s="2"/>
      <c r="Q6574" s="2"/>
      <c r="R6574" s="2"/>
      <c r="S6574" s="2"/>
      <c r="T6574" s="2"/>
      <c r="U6574" s="2"/>
      <c r="V6574" s="2"/>
      <c r="W6574" s="2"/>
    </row>
    <row r="6575" spans="1:23" x14ac:dyDescent="0.25">
      <c r="A6575" s="2"/>
      <c r="B6575" s="2"/>
      <c r="C6575" s="1"/>
      <c r="D6575" s="2"/>
      <c r="E6575" s="2"/>
      <c r="F6575" s="2"/>
      <c r="G6575" s="2"/>
      <c r="H6575" s="2"/>
      <c r="I6575" s="2"/>
      <c r="J6575" s="2"/>
      <c r="K6575" s="2"/>
      <c r="L6575" s="2"/>
      <c r="M6575" s="2"/>
      <c r="N6575" s="2"/>
      <c r="O6575" s="2"/>
      <c r="P6575" s="2"/>
      <c r="Q6575" s="2"/>
      <c r="R6575" s="2"/>
      <c r="S6575" s="2"/>
      <c r="T6575" s="2"/>
      <c r="U6575" s="2"/>
      <c r="V6575" s="2"/>
      <c r="W6575" s="2"/>
    </row>
    <row r="6576" spans="1:23" x14ac:dyDescent="0.25">
      <c r="A6576" s="2"/>
      <c r="B6576" s="2"/>
      <c r="C6576" s="1"/>
      <c r="D6576" s="2"/>
      <c r="E6576" s="2"/>
      <c r="F6576" s="2"/>
      <c r="G6576" s="2"/>
      <c r="H6576" s="2"/>
      <c r="I6576" s="2"/>
      <c r="J6576" s="2"/>
      <c r="K6576" s="2"/>
      <c r="L6576" s="2"/>
      <c r="M6576" s="2"/>
      <c r="N6576" s="2"/>
      <c r="O6576" s="2"/>
      <c r="P6576" s="2"/>
      <c r="Q6576" s="2"/>
      <c r="R6576" s="2"/>
      <c r="S6576" s="2"/>
      <c r="T6576" s="2"/>
      <c r="U6576" s="2"/>
      <c r="V6576" s="2"/>
      <c r="W6576" s="2"/>
    </row>
    <row r="6577" spans="1:23" x14ac:dyDescent="0.25">
      <c r="A6577" s="2"/>
      <c r="B6577" s="2"/>
      <c r="C6577" s="1"/>
      <c r="D6577" s="2"/>
      <c r="E6577" s="2"/>
      <c r="F6577" s="2"/>
      <c r="G6577" s="2"/>
      <c r="H6577" s="2"/>
      <c r="I6577" s="2"/>
      <c r="J6577" s="2"/>
      <c r="K6577" s="2"/>
      <c r="L6577" s="2"/>
      <c r="M6577" s="2"/>
      <c r="N6577" s="2"/>
      <c r="O6577" s="2"/>
      <c r="P6577" s="2"/>
      <c r="Q6577" s="2"/>
      <c r="R6577" s="2"/>
      <c r="S6577" s="2"/>
      <c r="T6577" s="2"/>
      <c r="U6577" s="2"/>
      <c r="V6577" s="2"/>
      <c r="W6577" s="2"/>
    </row>
    <row r="6578" spans="1:23" x14ac:dyDescent="0.25">
      <c r="A6578" s="2"/>
      <c r="B6578" s="2"/>
      <c r="C6578" s="1"/>
      <c r="D6578" s="2"/>
      <c r="E6578" s="2"/>
      <c r="F6578" s="2"/>
      <c r="G6578" s="2"/>
      <c r="H6578" s="2"/>
      <c r="I6578" s="2"/>
      <c r="J6578" s="2"/>
      <c r="K6578" s="2"/>
      <c r="L6578" s="2"/>
      <c r="M6578" s="2"/>
      <c r="N6578" s="2"/>
      <c r="O6578" s="2"/>
      <c r="P6578" s="2"/>
      <c r="Q6578" s="2"/>
      <c r="R6578" s="2"/>
      <c r="S6578" s="2"/>
      <c r="T6578" s="2"/>
      <c r="U6578" s="2"/>
      <c r="V6578" s="2"/>
      <c r="W6578" s="2"/>
    </row>
    <row r="6579" spans="1:23" x14ac:dyDescent="0.25">
      <c r="A6579" s="2"/>
      <c r="B6579" s="2"/>
      <c r="C6579" s="1"/>
      <c r="D6579" s="2"/>
      <c r="E6579" s="2"/>
      <c r="F6579" s="2"/>
      <c r="G6579" s="2"/>
      <c r="H6579" s="2"/>
      <c r="I6579" s="2"/>
      <c r="J6579" s="2"/>
      <c r="K6579" s="2"/>
      <c r="L6579" s="2"/>
      <c r="M6579" s="2"/>
      <c r="N6579" s="2"/>
      <c r="O6579" s="2"/>
      <c r="P6579" s="2"/>
      <c r="Q6579" s="2"/>
      <c r="R6579" s="2"/>
      <c r="S6579" s="2"/>
      <c r="T6579" s="2"/>
      <c r="U6579" s="2"/>
      <c r="V6579" s="2"/>
      <c r="W6579" s="2"/>
    </row>
    <row r="6580" spans="1:23" x14ac:dyDescent="0.25">
      <c r="A6580" s="2"/>
      <c r="B6580" s="2"/>
      <c r="C6580" s="1"/>
      <c r="D6580" s="2"/>
      <c r="E6580" s="2"/>
      <c r="F6580" s="2"/>
      <c r="G6580" s="2"/>
      <c r="H6580" s="2"/>
      <c r="I6580" s="2"/>
      <c r="J6580" s="2"/>
      <c r="K6580" s="2"/>
      <c r="L6580" s="2"/>
      <c r="M6580" s="2"/>
      <c r="N6580" s="2"/>
      <c r="O6580" s="2"/>
      <c r="P6580" s="2"/>
      <c r="Q6580" s="2"/>
      <c r="R6580" s="2"/>
      <c r="S6580" s="2"/>
      <c r="T6580" s="2"/>
      <c r="U6580" s="2"/>
      <c r="V6580" s="2"/>
      <c r="W6580" s="2"/>
    </row>
    <row r="6581" spans="1:23" x14ac:dyDescent="0.25">
      <c r="A6581" s="2"/>
      <c r="B6581" s="2"/>
      <c r="C6581" s="1"/>
      <c r="D6581" s="2"/>
      <c r="E6581" s="2"/>
      <c r="F6581" s="2"/>
      <c r="G6581" s="2"/>
      <c r="H6581" s="2"/>
      <c r="I6581" s="2"/>
      <c r="J6581" s="2"/>
      <c r="K6581" s="2"/>
      <c r="L6581" s="2"/>
      <c r="M6581" s="2"/>
      <c r="N6581" s="2"/>
      <c r="O6581" s="2"/>
      <c r="P6581" s="2"/>
      <c r="Q6581" s="2"/>
      <c r="R6581" s="2"/>
      <c r="S6581" s="2"/>
      <c r="T6581" s="2"/>
      <c r="U6581" s="2"/>
      <c r="V6581" s="2"/>
      <c r="W6581" s="2"/>
    </row>
    <row r="6582" spans="1:23" x14ac:dyDescent="0.25">
      <c r="A6582" s="2"/>
      <c r="B6582" s="2"/>
      <c r="C6582" s="1"/>
      <c r="D6582" s="2"/>
      <c r="E6582" s="2"/>
      <c r="F6582" s="2"/>
      <c r="G6582" s="2"/>
      <c r="H6582" s="2"/>
      <c r="I6582" s="2"/>
      <c r="J6582" s="2"/>
      <c r="K6582" s="2"/>
      <c r="L6582" s="2"/>
      <c r="M6582" s="2"/>
      <c r="N6582" s="2"/>
      <c r="O6582" s="2"/>
      <c r="P6582" s="2"/>
      <c r="Q6582" s="2"/>
      <c r="R6582" s="2"/>
      <c r="S6582" s="2"/>
      <c r="T6582" s="2"/>
      <c r="U6582" s="2"/>
      <c r="V6582" s="2"/>
      <c r="W6582" s="2"/>
    </row>
    <row r="6583" spans="1:23" x14ac:dyDescent="0.25">
      <c r="A6583" s="2"/>
      <c r="B6583" s="2"/>
      <c r="C6583" s="1"/>
      <c r="D6583" s="2"/>
      <c r="E6583" s="2"/>
      <c r="F6583" s="2"/>
      <c r="G6583" s="2"/>
      <c r="H6583" s="2"/>
      <c r="I6583" s="2"/>
      <c r="J6583" s="2"/>
      <c r="K6583" s="2"/>
      <c r="L6583" s="2"/>
      <c r="M6583" s="2"/>
      <c r="N6583" s="2"/>
      <c r="O6583" s="2"/>
      <c r="P6583" s="2"/>
      <c r="Q6583" s="2"/>
      <c r="R6583" s="2"/>
      <c r="S6583" s="2"/>
      <c r="T6583" s="2"/>
      <c r="U6583" s="2"/>
      <c r="V6583" s="2"/>
      <c r="W6583" s="2"/>
    </row>
    <row r="6584" spans="1:23" x14ac:dyDescent="0.25">
      <c r="A6584" s="2"/>
      <c r="B6584" s="2"/>
      <c r="C6584" s="1"/>
      <c r="D6584" s="2"/>
      <c r="E6584" s="2"/>
      <c r="F6584" s="2"/>
      <c r="G6584" s="2"/>
      <c r="H6584" s="2"/>
      <c r="I6584" s="2"/>
      <c r="J6584" s="2"/>
      <c r="K6584" s="2"/>
      <c r="L6584" s="2"/>
      <c r="M6584" s="2"/>
      <c r="N6584" s="2"/>
      <c r="O6584" s="2"/>
      <c r="P6584" s="2"/>
      <c r="Q6584" s="2"/>
      <c r="R6584" s="2"/>
      <c r="S6584" s="2"/>
      <c r="T6584" s="2"/>
      <c r="U6584" s="2"/>
      <c r="V6584" s="2"/>
      <c r="W6584" s="2"/>
    </row>
    <row r="6585" spans="1:23" x14ac:dyDescent="0.25">
      <c r="A6585" s="2"/>
      <c r="B6585" s="2"/>
      <c r="C6585" s="1"/>
      <c r="D6585" s="2"/>
      <c r="E6585" s="2"/>
      <c r="F6585" s="2"/>
      <c r="G6585" s="2"/>
      <c r="H6585" s="2"/>
      <c r="I6585" s="2"/>
      <c r="J6585" s="2"/>
      <c r="K6585" s="2"/>
      <c r="L6585" s="2"/>
      <c r="M6585" s="2"/>
      <c r="N6585" s="2"/>
      <c r="O6585" s="2"/>
      <c r="P6585" s="2"/>
      <c r="Q6585" s="2"/>
      <c r="R6585" s="2"/>
      <c r="S6585" s="2"/>
      <c r="T6585" s="2"/>
      <c r="U6585" s="2"/>
      <c r="V6585" s="2"/>
      <c r="W6585" s="2"/>
    </row>
    <row r="6586" spans="1:23" x14ac:dyDescent="0.25">
      <c r="A6586" s="2"/>
      <c r="B6586" s="2"/>
      <c r="C6586" s="1"/>
      <c r="D6586" s="2"/>
      <c r="E6586" s="2"/>
      <c r="F6586" s="2"/>
      <c r="G6586" s="2"/>
      <c r="H6586" s="2"/>
      <c r="I6586" s="2"/>
      <c r="J6586" s="2"/>
      <c r="K6586" s="2"/>
      <c r="L6586" s="2"/>
      <c r="M6586" s="2"/>
      <c r="N6586" s="2"/>
      <c r="O6586" s="2"/>
      <c r="P6586" s="2"/>
      <c r="Q6586" s="2"/>
      <c r="R6586" s="2"/>
      <c r="S6586" s="2"/>
      <c r="T6586" s="2"/>
      <c r="U6586" s="2"/>
      <c r="V6586" s="2"/>
      <c r="W6586" s="2"/>
    </row>
    <row r="6587" spans="1:23" x14ac:dyDescent="0.25">
      <c r="A6587" s="2"/>
      <c r="B6587" s="2"/>
      <c r="C6587" s="1"/>
      <c r="D6587" s="2"/>
      <c r="E6587" s="2"/>
      <c r="F6587" s="2"/>
      <c r="G6587" s="2"/>
      <c r="H6587" s="2"/>
      <c r="I6587" s="2"/>
      <c r="J6587" s="2"/>
      <c r="K6587" s="2"/>
      <c r="L6587" s="2"/>
      <c r="M6587" s="2"/>
      <c r="N6587" s="2"/>
      <c r="O6587" s="2"/>
      <c r="P6587" s="2"/>
      <c r="Q6587" s="2"/>
      <c r="R6587" s="2"/>
      <c r="S6587" s="2"/>
      <c r="T6587" s="2"/>
      <c r="U6587" s="2"/>
      <c r="V6587" s="2"/>
      <c r="W6587" s="2"/>
    </row>
    <row r="6588" spans="1:23" x14ac:dyDescent="0.25">
      <c r="A6588" s="2"/>
      <c r="B6588" s="2"/>
      <c r="C6588" s="1"/>
      <c r="D6588" s="2"/>
      <c r="E6588" s="2"/>
      <c r="F6588" s="2"/>
      <c r="G6588" s="2"/>
      <c r="H6588" s="2"/>
      <c r="I6588" s="2"/>
      <c r="J6588" s="2"/>
      <c r="K6588" s="2"/>
      <c r="L6588" s="2"/>
      <c r="M6588" s="2"/>
      <c r="N6588" s="2"/>
      <c r="O6588" s="2"/>
      <c r="P6588" s="2"/>
      <c r="Q6588" s="2"/>
      <c r="R6588" s="2"/>
      <c r="S6588" s="2"/>
      <c r="T6588" s="2"/>
      <c r="U6588" s="2"/>
      <c r="V6588" s="2"/>
      <c r="W6588" s="2"/>
    </row>
    <row r="6589" spans="1:23" x14ac:dyDescent="0.25">
      <c r="A6589" s="2"/>
      <c r="B6589" s="2"/>
      <c r="C6589" s="1"/>
      <c r="D6589" s="2"/>
      <c r="E6589" s="2"/>
      <c r="F6589" s="2"/>
      <c r="G6589" s="2"/>
      <c r="H6589" s="2"/>
      <c r="I6589" s="2"/>
      <c r="J6589" s="2"/>
      <c r="K6589" s="2"/>
      <c r="L6589" s="2"/>
      <c r="M6589" s="2"/>
      <c r="N6589" s="2"/>
      <c r="O6589" s="2"/>
      <c r="P6589" s="2"/>
      <c r="Q6589" s="2"/>
      <c r="R6589" s="2"/>
      <c r="S6589" s="2"/>
      <c r="T6589" s="2"/>
      <c r="U6589" s="2"/>
      <c r="V6589" s="2"/>
      <c r="W6589" s="2"/>
    </row>
    <row r="6590" spans="1:23" x14ac:dyDescent="0.25">
      <c r="A6590" s="2"/>
      <c r="B6590" s="2"/>
      <c r="C6590" s="1"/>
      <c r="D6590" s="2"/>
      <c r="E6590" s="2"/>
      <c r="F6590" s="2"/>
      <c r="G6590" s="2"/>
      <c r="H6590" s="2"/>
      <c r="I6590" s="2"/>
      <c r="J6590" s="2"/>
      <c r="K6590" s="2"/>
      <c r="L6590" s="2"/>
      <c r="M6590" s="2"/>
      <c r="N6590" s="2"/>
      <c r="O6590" s="2"/>
      <c r="P6590" s="2"/>
      <c r="Q6590" s="2"/>
      <c r="R6590" s="2"/>
      <c r="S6590" s="2"/>
      <c r="T6590" s="2"/>
      <c r="U6590" s="2"/>
      <c r="V6590" s="2"/>
      <c r="W6590" s="2"/>
    </row>
    <row r="6591" spans="1:23" x14ac:dyDescent="0.25">
      <c r="A6591" s="2"/>
      <c r="B6591" s="2"/>
      <c r="C6591" s="1"/>
      <c r="D6591" s="2"/>
      <c r="E6591" s="2"/>
      <c r="F6591" s="2"/>
      <c r="G6591" s="2"/>
      <c r="H6591" s="2"/>
      <c r="I6591" s="2"/>
      <c r="J6591" s="2"/>
      <c r="K6591" s="2"/>
      <c r="L6591" s="2"/>
      <c r="M6591" s="2"/>
      <c r="N6591" s="2"/>
      <c r="O6591" s="2"/>
      <c r="P6591" s="2"/>
      <c r="Q6591" s="2"/>
      <c r="R6591" s="2"/>
      <c r="S6591" s="2"/>
      <c r="T6591" s="2"/>
      <c r="U6591" s="2"/>
      <c r="V6591" s="2"/>
      <c r="W6591" s="2"/>
    </row>
    <row r="6592" spans="1:23" x14ac:dyDescent="0.25">
      <c r="A6592" s="2"/>
      <c r="B6592" s="2"/>
      <c r="C6592" s="1"/>
      <c r="D6592" s="2"/>
      <c r="E6592" s="2"/>
      <c r="F6592" s="2"/>
      <c r="G6592" s="2"/>
      <c r="H6592" s="2"/>
      <c r="I6592" s="2"/>
      <c r="J6592" s="2"/>
      <c r="K6592" s="2"/>
      <c r="L6592" s="2"/>
      <c r="M6592" s="2"/>
      <c r="N6592" s="2"/>
      <c r="O6592" s="2"/>
      <c r="P6592" s="2"/>
      <c r="Q6592" s="2"/>
      <c r="R6592" s="2"/>
      <c r="S6592" s="2"/>
      <c r="T6592" s="2"/>
      <c r="U6592" s="2"/>
      <c r="V6592" s="2"/>
      <c r="W6592" s="2"/>
    </row>
    <row r="6593" spans="1:23" x14ac:dyDescent="0.25">
      <c r="A6593" s="2"/>
      <c r="B6593" s="2"/>
      <c r="C6593" s="1"/>
      <c r="D6593" s="2"/>
      <c r="E6593" s="2"/>
      <c r="F6593" s="2"/>
      <c r="G6593" s="2"/>
      <c r="H6593" s="2"/>
      <c r="I6593" s="2"/>
      <c r="J6593" s="2"/>
      <c r="K6593" s="2"/>
      <c r="L6593" s="2"/>
      <c r="M6593" s="2"/>
      <c r="N6593" s="2"/>
      <c r="O6593" s="2"/>
      <c r="P6593" s="2"/>
      <c r="Q6593" s="2"/>
      <c r="R6593" s="2"/>
      <c r="S6593" s="2"/>
      <c r="T6593" s="2"/>
      <c r="U6593" s="2"/>
      <c r="V6593" s="2"/>
      <c r="W6593" s="2"/>
    </row>
    <row r="6594" spans="1:23" x14ac:dyDescent="0.25">
      <c r="A6594" s="2"/>
      <c r="B6594" s="2"/>
      <c r="C6594" s="1"/>
      <c r="D6594" s="2"/>
      <c r="E6594" s="2"/>
      <c r="F6594" s="2"/>
      <c r="G6594" s="2"/>
      <c r="H6594" s="2"/>
      <c r="I6594" s="2"/>
      <c r="J6594" s="2"/>
      <c r="K6594" s="2"/>
      <c r="L6594" s="2"/>
      <c r="M6594" s="2"/>
      <c r="N6594" s="2"/>
      <c r="O6594" s="2"/>
      <c r="P6594" s="2"/>
      <c r="Q6594" s="2"/>
      <c r="R6594" s="2"/>
      <c r="S6594" s="2"/>
      <c r="T6594" s="2"/>
      <c r="U6594" s="2"/>
      <c r="V6594" s="2"/>
      <c r="W6594" s="2"/>
    </row>
    <row r="6595" spans="1:23" x14ac:dyDescent="0.25">
      <c r="A6595" s="2"/>
      <c r="B6595" s="2"/>
      <c r="C6595" s="1"/>
      <c r="D6595" s="2"/>
      <c r="E6595" s="2"/>
      <c r="F6595" s="2"/>
      <c r="G6595" s="2"/>
      <c r="H6595" s="2"/>
      <c r="I6595" s="2"/>
      <c r="J6595" s="2"/>
      <c r="K6595" s="2"/>
      <c r="L6595" s="2"/>
      <c r="M6595" s="2"/>
      <c r="N6595" s="2"/>
      <c r="O6595" s="2"/>
      <c r="P6595" s="2"/>
      <c r="Q6595" s="2"/>
      <c r="R6595" s="2"/>
      <c r="S6595" s="2"/>
      <c r="T6595" s="2"/>
      <c r="U6595" s="2"/>
      <c r="V6595" s="2"/>
      <c r="W6595" s="2"/>
    </row>
    <row r="6596" spans="1:23" x14ac:dyDescent="0.25">
      <c r="A6596" s="2"/>
      <c r="B6596" s="2"/>
      <c r="C6596" s="1"/>
      <c r="D6596" s="2"/>
      <c r="E6596" s="2"/>
      <c r="F6596" s="2"/>
      <c r="G6596" s="2"/>
      <c r="H6596" s="2"/>
      <c r="I6596" s="2"/>
      <c r="J6596" s="2"/>
      <c r="K6596" s="2"/>
      <c r="L6596" s="2"/>
      <c r="M6596" s="2"/>
      <c r="N6596" s="2"/>
      <c r="O6596" s="2"/>
      <c r="P6596" s="2"/>
      <c r="Q6596" s="2"/>
      <c r="R6596" s="2"/>
      <c r="S6596" s="2"/>
      <c r="T6596" s="2"/>
      <c r="U6596" s="2"/>
      <c r="V6596" s="2"/>
      <c r="W6596" s="2"/>
    </row>
    <row r="6597" spans="1:23" x14ac:dyDescent="0.25">
      <c r="A6597" s="2"/>
      <c r="B6597" s="2"/>
      <c r="C6597" s="1"/>
      <c r="D6597" s="2"/>
      <c r="E6597" s="2"/>
      <c r="F6597" s="2"/>
      <c r="G6597" s="2"/>
      <c r="H6597" s="2"/>
      <c r="I6597" s="2"/>
      <c r="J6597" s="2"/>
      <c r="K6597" s="2"/>
      <c r="L6597" s="2"/>
      <c r="M6597" s="2"/>
      <c r="N6597" s="2"/>
      <c r="O6597" s="2"/>
      <c r="P6597" s="2"/>
      <c r="Q6597" s="2"/>
      <c r="R6597" s="2"/>
      <c r="S6597" s="2"/>
      <c r="T6597" s="2"/>
      <c r="U6597" s="2"/>
      <c r="V6597" s="2"/>
      <c r="W6597" s="2"/>
    </row>
    <row r="6598" spans="1:23" x14ac:dyDescent="0.25">
      <c r="A6598" s="2"/>
      <c r="B6598" s="2"/>
      <c r="C6598" s="1"/>
      <c r="D6598" s="2"/>
      <c r="E6598" s="2"/>
      <c r="F6598" s="2"/>
      <c r="G6598" s="2"/>
      <c r="H6598" s="2"/>
      <c r="I6598" s="2"/>
      <c r="J6598" s="2"/>
      <c r="K6598" s="2"/>
      <c r="L6598" s="2"/>
      <c r="M6598" s="2"/>
      <c r="N6598" s="2"/>
      <c r="O6598" s="2"/>
      <c r="P6598" s="2"/>
      <c r="Q6598" s="2"/>
      <c r="R6598" s="2"/>
      <c r="S6598" s="2"/>
      <c r="T6598" s="2"/>
      <c r="U6598" s="2"/>
      <c r="V6598" s="2"/>
      <c r="W6598" s="2"/>
    </row>
    <row r="6599" spans="1:23" x14ac:dyDescent="0.25">
      <c r="A6599" s="2"/>
      <c r="B6599" s="2"/>
      <c r="C6599" s="1"/>
      <c r="D6599" s="2"/>
      <c r="E6599" s="2"/>
      <c r="F6599" s="2"/>
      <c r="G6599" s="2"/>
      <c r="H6599" s="2"/>
      <c r="I6599" s="2"/>
      <c r="J6599" s="2"/>
      <c r="K6599" s="2"/>
      <c r="L6599" s="2"/>
      <c r="M6599" s="2"/>
      <c r="N6599" s="2"/>
      <c r="O6599" s="2"/>
      <c r="P6599" s="2"/>
      <c r="Q6599" s="2"/>
      <c r="R6599" s="2"/>
      <c r="S6599" s="2"/>
      <c r="T6599" s="2"/>
      <c r="U6599" s="2"/>
      <c r="V6599" s="2"/>
      <c r="W6599" s="2"/>
    </row>
    <row r="6600" spans="1:23" x14ac:dyDescent="0.25">
      <c r="A6600" s="2"/>
      <c r="B6600" s="2"/>
      <c r="C6600" s="1"/>
      <c r="D6600" s="2"/>
      <c r="E6600" s="2"/>
      <c r="F6600" s="2"/>
      <c r="G6600" s="2"/>
      <c r="H6600" s="2"/>
      <c r="I6600" s="2"/>
      <c r="J6600" s="2"/>
      <c r="K6600" s="2"/>
      <c r="L6600" s="2"/>
      <c r="M6600" s="2"/>
      <c r="N6600" s="2"/>
      <c r="O6600" s="2"/>
      <c r="P6600" s="2"/>
      <c r="Q6600" s="2"/>
      <c r="R6600" s="2"/>
      <c r="S6600" s="2"/>
      <c r="T6600" s="2"/>
      <c r="U6600" s="2"/>
      <c r="V6600" s="2"/>
      <c r="W6600" s="2"/>
    </row>
    <row r="6601" spans="1:23" x14ac:dyDescent="0.25">
      <c r="A6601" s="2"/>
      <c r="B6601" s="2"/>
      <c r="C6601" s="1"/>
      <c r="D6601" s="2"/>
      <c r="E6601" s="2"/>
      <c r="F6601" s="2"/>
      <c r="G6601" s="2"/>
      <c r="H6601" s="2"/>
      <c r="I6601" s="2"/>
      <c r="J6601" s="2"/>
      <c r="K6601" s="2"/>
      <c r="L6601" s="2"/>
      <c r="M6601" s="2"/>
      <c r="N6601" s="2"/>
      <c r="O6601" s="2"/>
      <c r="P6601" s="2"/>
      <c r="Q6601" s="2"/>
      <c r="R6601" s="2"/>
      <c r="S6601" s="2"/>
      <c r="T6601" s="2"/>
      <c r="U6601" s="2"/>
      <c r="V6601" s="2"/>
      <c r="W6601" s="2"/>
    </row>
    <row r="6602" spans="1:23" x14ac:dyDescent="0.25">
      <c r="A6602" s="2"/>
      <c r="B6602" s="2"/>
      <c r="C6602" s="1"/>
      <c r="D6602" s="2"/>
      <c r="E6602" s="2"/>
      <c r="F6602" s="2"/>
      <c r="G6602" s="2"/>
      <c r="H6602" s="2"/>
      <c r="I6602" s="2"/>
      <c r="J6602" s="2"/>
      <c r="K6602" s="2"/>
      <c r="L6602" s="2"/>
      <c r="M6602" s="2"/>
      <c r="N6602" s="2"/>
      <c r="O6602" s="2"/>
      <c r="P6602" s="2"/>
      <c r="Q6602" s="2"/>
      <c r="R6602" s="2"/>
      <c r="S6602" s="2"/>
      <c r="T6602" s="2"/>
      <c r="U6602" s="2"/>
      <c r="V6602" s="2"/>
      <c r="W6602" s="2"/>
    </row>
    <row r="6603" spans="1:23" x14ac:dyDescent="0.25">
      <c r="A6603" s="2"/>
      <c r="B6603" s="2"/>
      <c r="C6603" s="1"/>
      <c r="D6603" s="2"/>
      <c r="E6603" s="2"/>
      <c r="F6603" s="2"/>
      <c r="G6603" s="2"/>
      <c r="H6603" s="2"/>
      <c r="I6603" s="2"/>
      <c r="J6603" s="2"/>
      <c r="K6603" s="2"/>
      <c r="L6603" s="2"/>
      <c r="M6603" s="2"/>
      <c r="N6603" s="2"/>
      <c r="O6603" s="2"/>
      <c r="P6603" s="2"/>
      <c r="Q6603" s="2"/>
      <c r="R6603" s="2"/>
      <c r="S6603" s="2"/>
      <c r="T6603" s="2"/>
      <c r="U6603" s="2"/>
      <c r="V6603" s="2"/>
      <c r="W6603" s="2"/>
    </row>
    <row r="6604" spans="1:23" x14ac:dyDescent="0.25">
      <c r="A6604" s="2"/>
      <c r="B6604" s="2"/>
      <c r="C6604" s="1"/>
      <c r="D6604" s="2"/>
      <c r="E6604" s="2"/>
      <c r="F6604" s="2"/>
      <c r="G6604" s="2"/>
      <c r="H6604" s="2"/>
      <c r="I6604" s="2"/>
      <c r="J6604" s="2"/>
      <c r="K6604" s="2"/>
      <c r="L6604" s="2"/>
      <c r="M6604" s="2"/>
      <c r="N6604" s="2"/>
      <c r="O6604" s="2"/>
      <c r="P6604" s="2"/>
      <c r="Q6604" s="2"/>
      <c r="R6604" s="2"/>
      <c r="S6604" s="2"/>
      <c r="T6604" s="2"/>
      <c r="U6604" s="2"/>
      <c r="V6604" s="2"/>
      <c r="W6604" s="2"/>
    </row>
    <row r="6605" spans="1:23" x14ac:dyDescent="0.25">
      <c r="A6605" s="2"/>
      <c r="B6605" s="2"/>
      <c r="C6605" s="1"/>
      <c r="D6605" s="2"/>
      <c r="E6605" s="2"/>
      <c r="F6605" s="2"/>
      <c r="G6605" s="2"/>
      <c r="H6605" s="2"/>
      <c r="I6605" s="2"/>
      <c r="J6605" s="2"/>
      <c r="K6605" s="2"/>
      <c r="L6605" s="2"/>
      <c r="M6605" s="2"/>
      <c r="N6605" s="2"/>
      <c r="O6605" s="2"/>
      <c r="P6605" s="2"/>
      <c r="Q6605" s="2"/>
      <c r="R6605" s="2"/>
      <c r="S6605" s="2"/>
      <c r="T6605" s="2"/>
      <c r="U6605" s="2"/>
      <c r="V6605" s="2"/>
      <c r="W6605" s="2"/>
    </row>
    <row r="6606" spans="1:23" x14ac:dyDescent="0.25">
      <c r="A6606" s="2"/>
      <c r="B6606" s="2"/>
      <c r="C6606" s="1"/>
      <c r="D6606" s="2"/>
      <c r="E6606" s="2"/>
      <c r="F6606" s="2"/>
      <c r="G6606" s="2"/>
      <c r="H6606" s="2"/>
      <c r="I6606" s="2"/>
      <c r="J6606" s="2"/>
      <c r="K6606" s="2"/>
      <c r="L6606" s="2"/>
      <c r="M6606" s="2"/>
      <c r="N6606" s="2"/>
      <c r="O6606" s="2"/>
      <c r="P6606" s="2"/>
      <c r="Q6606" s="2"/>
      <c r="R6606" s="2"/>
      <c r="S6606" s="2"/>
      <c r="T6606" s="2"/>
      <c r="U6606" s="2"/>
      <c r="V6606" s="2"/>
      <c r="W6606" s="2"/>
    </row>
    <row r="6607" spans="1:23" x14ac:dyDescent="0.25">
      <c r="A6607" s="2"/>
      <c r="B6607" s="2"/>
      <c r="C6607" s="1"/>
      <c r="D6607" s="2"/>
      <c r="E6607" s="2"/>
      <c r="F6607" s="2"/>
      <c r="G6607" s="2"/>
      <c r="H6607" s="2"/>
      <c r="I6607" s="2"/>
      <c r="J6607" s="2"/>
      <c r="K6607" s="2"/>
      <c r="L6607" s="2"/>
      <c r="M6607" s="2"/>
      <c r="N6607" s="2"/>
      <c r="O6607" s="2"/>
      <c r="P6607" s="2"/>
      <c r="Q6607" s="2"/>
      <c r="R6607" s="2"/>
      <c r="S6607" s="2"/>
      <c r="T6607" s="2"/>
      <c r="U6607" s="2"/>
      <c r="V6607" s="2"/>
      <c r="W6607" s="2"/>
    </row>
    <row r="6608" spans="1:23" x14ac:dyDescent="0.25">
      <c r="A6608" s="2"/>
      <c r="B6608" s="2"/>
      <c r="C6608" s="1"/>
      <c r="D6608" s="2"/>
      <c r="E6608" s="2"/>
      <c r="F6608" s="2"/>
      <c r="G6608" s="2"/>
      <c r="H6608" s="2"/>
      <c r="I6608" s="2"/>
      <c r="J6608" s="2"/>
      <c r="K6608" s="2"/>
      <c r="L6608" s="2"/>
      <c r="M6608" s="2"/>
      <c r="N6608" s="2"/>
      <c r="O6608" s="2"/>
      <c r="P6608" s="2"/>
      <c r="Q6608" s="2"/>
      <c r="R6608" s="2"/>
      <c r="S6608" s="2"/>
      <c r="T6608" s="2"/>
      <c r="U6608" s="2"/>
      <c r="V6608" s="2"/>
      <c r="W6608" s="2"/>
    </row>
    <row r="6609" spans="1:23" x14ac:dyDescent="0.25">
      <c r="A6609" s="2"/>
      <c r="B6609" s="2"/>
      <c r="C6609" s="1"/>
      <c r="D6609" s="2"/>
      <c r="E6609" s="2"/>
      <c r="F6609" s="2"/>
      <c r="G6609" s="2"/>
      <c r="H6609" s="2"/>
      <c r="I6609" s="2"/>
      <c r="J6609" s="2"/>
      <c r="K6609" s="2"/>
      <c r="L6609" s="2"/>
      <c r="M6609" s="2"/>
      <c r="N6609" s="2"/>
      <c r="O6609" s="2"/>
      <c r="P6609" s="2"/>
      <c r="Q6609" s="2"/>
      <c r="R6609" s="2"/>
      <c r="S6609" s="2"/>
      <c r="T6609" s="2"/>
      <c r="U6609" s="2"/>
      <c r="V6609" s="2"/>
      <c r="W6609" s="2"/>
    </row>
    <row r="6610" spans="1:23" x14ac:dyDescent="0.25">
      <c r="A6610" s="2"/>
      <c r="B6610" s="2"/>
      <c r="C6610" s="1"/>
      <c r="D6610" s="2"/>
      <c r="E6610" s="2"/>
      <c r="F6610" s="2"/>
      <c r="G6610" s="2"/>
      <c r="H6610" s="2"/>
      <c r="I6610" s="2"/>
      <c r="J6610" s="2"/>
      <c r="K6610" s="2"/>
      <c r="L6610" s="2"/>
      <c r="M6610" s="2"/>
      <c r="N6610" s="2"/>
      <c r="O6610" s="2"/>
      <c r="P6610" s="2"/>
      <c r="Q6610" s="2"/>
      <c r="R6610" s="2"/>
      <c r="S6610" s="2"/>
      <c r="T6610" s="2"/>
      <c r="U6610" s="2"/>
      <c r="V6610" s="2"/>
      <c r="W6610" s="2"/>
    </row>
    <row r="6611" spans="1:23" x14ac:dyDescent="0.25">
      <c r="A6611" s="2"/>
      <c r="B6611" s="2"/>
      <c r="C6611" s="1"/>
      <c r="D6611" s="2"/>
      <c r="E6611" s="2"/>
      <c r="F6611" s="2"/>
      <c r="G6611" s="2"/>
      <c r="H6611" s="2"/>
      <c r="I6611" s="2"/>
      <c r="J6611" s="2"/>
      <c r="K6611" s="2"/>
      <c r="L6611" s="2"/>
      <c r="M6611" s="2"/>
      <c r="N6611" s="2"/>
      <c r="O6611" s="2"/>
      <c r="P6611" s="2"/>
      <c r="Q6611" s="2"/>
      <c r="R6611" s="2"/>
      <c r="S6611" s="2"/>
      <c r="T6611" s="2"/>
      <c r="U6611" s="2"/>
      <c r="V6611" s="2"/>
      <c r="W6611" s="2"/>
    </row>
    <row r="6612" spans="1:23" x14ac:dyDescent="0.25">
      <c r="A6612" s="2"/>
      <c r="B6612" s="2"/>
      <c r="C6612" s="1"/>
      <c r="D6612" s="2"/>
      <c r="E6612" s="2"/>
      <c r="F6612" s="2"/>
      <c r="G6612" s="2"/>
      <c r="H6612" s="2"/>
      <c r="I6612" s="2"/>
      <c r="J6612" s="2"/>
      <c r="K6612" s="2"/>
      <c r="L6612" s="2"/>
      <c r="M6612" s="2"/>
      <c r="N6612" s="2"/>
      <c r="O6612" s="2"/>
      <c r="P6612" s="2"/>
      <c r="Q6612" s="2"/>
      <c r="R6612" s="2"/>
      <c r="S6612" s="2"/>
      <c r="T6612" s="2"/>
      <c r="U6612" s="2"/>
      <c r="V6612" s="2"/>
      <c r="W6612" s="2"/>
    </row>
    <row r="6613" spans="1:23" x14ac:dyDescent="0.25">
      <c r="A6613" s="2"/>
      <c r="B6613" s="2"/>
      <c r="C6613" s="1"/>
      <c r="D6613" s="2"/>
      <c r="E6613" s="2"/>
      <c r="F6613" s="2"/>
      <c r="G6613" s="2"/>
      <c r="H6613" s="2"/>
      <c r="I6613" s="2"/>
      <c r="J6613" s="2"/>
      <c r="K6613" s="2"/>
      <c r="L6613" s="2"/>
      <c r="M6613" s="2"/>
      <c r="N6613" s="2"/>
      <c r="O6613" s="2"/>
      <c r="P6613" s="2"/>
      <c r="Q6613" s="2"/>
      <c r="R6613" s="2"/>
      <c r="S6613" s="2"/>
      <c r="T6613" s="2"/>
      <c r="U6613" s="2"/>
      <c r="V6613" s="2"/>
      <c r="W6613" s="2"/>
    </row>
    <row r="6614" spans="1:23" x14ac:dyDescent="0.25">
      <c r="A6614" s="2"/>
      <c r="B6614" s="2"/>
      <c r="C6614" s="1"/>
      <c r="D6614" s="2"/>
      <c r="E6614" s="2"/>
      <c r="F6614" s="2"/>
      <c r="G6614" s="2"/>
      <c r="H6614" s="2"/>
      <c r="I6614" s="2"/>
      <c r="J6614" s="2"/>
      <c r="K6614" s="2"/>
      <c r="L6614" s="2"/>
      <c r="M6614" s="2"/>
      <c r="N6614" s="2"/>
      <c r="O6614" s="2"/>
      <c r="P6614" s="2"/>
      <c r="Q6614" s="2"/>
      <c r="R6614" s="2"/>
      <c r="S6614" s="2"/>
      <c r="T6614" s="2"/>
      <c r="U6614" s="2"/>
      <c r="V6614" s="2"/>
      <c r="W6614" s="2"/>
    </row>
    <row r="6615" spans="1:23" x14ac:dyDescent="0.25">
      <c r="A6615" s="2"/>
      <c r="B6615" s="2"/>
      <c r="C6615" s="1"/>
      <c r="D6615" s="2"/>
      <c r="E6615" s="2"/>
      <c r="F6615" s="2"/>
      <c r="G6615" s="2"/>
      <c r="H6615" s="2"/>
      <c r="I6615" s="2"/>
      <c r="J6615" s="2"/>
      <c r="K6615" s="2"/>
      <c r="L6615" s="2"/>
      <c r="M6615" s="2"/>
      <c r="N6615" s="2"/>
      <c r="O6615" s="2"/>
      <c r="P6615" s="2"/>
      <c r="Q6615" s="2"/>
      <c r="R6615" s="2"/>
      <c r="S6615" s="2"/>
      <c r="T6615" s="2"/>
      <c r="U6615" s="2"/>
      <c r="V6615" s="2"/>
      <c r="W6615" s="2"/>
    </row>
    <row r="6616" spans="1:23" x14ac:dyDescent="0.25">
      <c r="A6616" s="2"/>
      <c r="B6616" s="2"/>
      <c r="C6616" s="1"/>
      <c r="D6616" s="2"/>
      <c r="E6616" s="2"/>
      <c r="F6616" s="2"/>
      <c r="G6616" s="2"/>
      <c r="H6616" s="2"/>
      <c r="I6616" s="2"/>
      <c r="J6616" s="2"/>
      <c r="K6616" s="2"/>
      <c r="L6616" s="2"/>
      <c r="M6616" s="2"/>
      <c r="N6616" s="2"/>
      <c r="O6616" s="2"/>
      <c r="P6616" s="2"/>
      <c r="Q6616" s="2"/>
      <c r="R6616" s="2"/>
      <c r="S6616" s="2"/>
      <c r="T6616" s="2"/>
      <c r="U6616" s="2"/>
      <c r="V6616" s="2"/>
      <c r="W6616" s="2"/>
    </row>
    <row r="6617" spans="1:23" x14ac:dyDescent="0.25">
      <c r="A6617" s="2"/>
      <c r="B6617" s="2"/>
      <c r="C6617" s="1"/>
      <c r="D6617" s="2"/>
      <c r="E6617" s="2"/>
      <c r="F6617" s="2"/>
      <c r="G6617" s="2"/>
      <c r="H6617" s="2"/>
      <c r="I6617" s="2"/>
      <c r="J6617" s="2"/>
      <c r="K6617" s="2"/>
      <c r="L6617" s="2"/>
      <c r="M6617" s="2"/>
      <c r="N6617" s="2"/>
      <c r="O6617" s="2"/>
      <c r="P6617" s="2"/>
      <c r="Q6617" s="2"/>
      <c r="R6617" s="2"/>
      <c r="S6617" s="2"/>
      <c r="T6617" s="2"/>
      <c r="U6617" s="2"/>
      <c r="V6617" s="2"/>
      <c r="W6617" s="2"/>
    </row>
    <row r="6618" spans="1:23" x14ac:dyDescent="0.25">
      <c r="A6618" s="2"/>
      <c r="B6618" s="2"/>
      <c r="C6618" s="1"/>
      <c r="D6618" s="2"/>
      <c r="E6618" s="2"/>
      <c r="F6618" s="2"/>
      <c r="G6618" s="2"/>
      <c r="H6618" s="2"/>
      <c r="I6618" s="2"/>
      <c r="J6618" s="2"/>
      <c r="K6618" s="2"/>
      <c r="L6618" s="2"/>
      <c r="M6618" s="2"/>
      <c r="N6618" s="2"/>
      <c r="O6618" s="2"/>
      <c r="P6618" s="2"/>
      <c r="Q6618" s="2"/>
      <c r="R6618" s="2"/>
      <c r="S6618" s="2"/>
      <c r="T6618" s="2"/>
      <c r="U6618" s="2"/>
      <c r="V6618" s="2"/>
      <c r="W6618" s="2"/>
    </row>
    <row r="6619" spans="1:23" x14ac:dyDescent="0.25">
      <c r="A6619" s="2"/>
      <c r="B6619" s="2"/>
      <c r="C6619" s="1"/>
      <c r="D6619" s="2"/>
      <c r="E6619" s="2"/>
      <c r="F6619" s="2"/>
      <c r="G6619" s="2"/>
      <c r="H6619" s="2"/>
      <c r="I6619" s="2"/>
      <c r="J6619" s="2"/>
      <c r="K6619" s="2"/>
      <c r="L6619" s="2"/>
      <c r="M6619" s="2"/>
      <c r="N6619" s="2"/>
      <c r="O6619" s="2"/>
      <c r="P6619" s="2"/>
      <c r="Q6619" s="2"/>
      <c r="R6619" s="2"/>
      <c r="S6619" s="2"/>
      <c r="T6619" s="2"/>
      <c r="U6619" s="2"/>
      <c r="V6619" s="2"/>
      <c r="W6619" s="2"/>
    </row>
    <row r="6620" spans="1:23" x14ac:dyDescent="0.25">
      <c r="A6620" s="2"/>
      <c r="B6620" s="2"/>
      <c r="C6620" s="1"/>
      <c r="D6620" s="2"/>
      <c r="E6620" s="2"/>
      <c r="F6620" s="2"/>
      <c r="G6620" s="2"/>
      <c r="H6620" s="2"/>
      <c r="I6620" s="2"/>
      <c r="J6620" s="2"/>
      <c r="K6620" s="2"/>
      <c r="L6620" s="2"/>
      <c r="M6620" s="2"/>
      <c r="N6620" s="2"/>
      <c r="O6620" s="2"/>
      <c r="P6620" s="2"/>
      <c r="Q6620" s="2"/>
      <c r="R6620" s="2"/>
      <c r="S6620" s="2"/>
      <c r="T6620" s="2"/>
      <c r="U6620" s="2"/>
      <c r="V6620" s="2"/>
      <c r="W6620" s="2"/>
    </row>
    <row r="6621" spans="1:23" x14ac:dyDescent="0.25">
      <c r="A6621" s="2"/>
      <c r="B6621" s="2"/>
      <c r="C6621" s="1"/>
      <c r="D6621" s="2"/>
      <c r="E6621" s="2"/>
      <c r="F6621" s="2"/>
      <c r="G6621" s="2"/>
      <c r="H6621" s="2"/>
      <c r="I6621" s="2"/>
      <c r="J6621" s="2"/>
      <c r="K6621" s="2"/>
      <c r="L6621" s="2"/>
      <c r="M6621" s="2"/>
      <c r="N6621" s="2"/>
      <c r="O6621" s="2"/>
      <c r="P6621" s="2"/>
      <c r="Q6621" s="2"/>
      <c r="R6621" s="2"/>
      <c r="S6621" s="2"/>
      <c r="T6621" s="2"/>
      <c r="U6621" s="2"/>
      <c r="V6621" s="2"/>
      <c r="W6621" s="2"/>
    </row>
    <row r="6622" spans="1:23" x14ac:dyDescent="0.25">
      <c r="A6622" s="2"/>
      <c r="B6622" s="2"/>
      <c r="C6622" s="1"/>
      <c r="D6622" s="2"/>
      <c r="E6622" s="2"/>
      <c r="F6622" s="2"/>
      <c r="G6622" s="2"/>
      <c r="H6622" s="2"/>
      <c r="I6622" s="2"/>
      <c r="J6622" s="2"/>
      <c r="K6622" s="2"/>
      <c r="L6622" s="2"/>
      <c r="M6622" s="2"/>
      <c r="N6622" s="2"/>
      <c r="O6622" s="2"/>
      <c r="P6622" s="2"/>
      <c r="Q6622" s="2"/>
      <c r="R6622" s="2"/>
      <c r="S6622" s="2"/>
      <c r="T6622" s="2"/>
      <c r="U6622" s="2"/>
      <c r="V6622" s="2"/>
      <c r="W6622" s="2"/>
    </row>
    <row r="6623" spans="1:23" x14ac:dyDescent="0.25">
      <c r="A6623" s="2"/>
      <c r="B6623" s="2"/>
      <c r="C6623" s="1"/>
      <c r="D6623" s="2"/>
      <c r="E6623" s="2"/>
      <c r="F6623" s="2"/>
      <c r="G6623" s="2"/>
      <c r="H6623" s="2"/>
      <c r="I6623" s="2"/>
      <c r="J6623" s="2"/>
      <c r="K6623" s="2"/>
      <c r="L6623" s="2"/>
      <c r="M6623" s="2"/>
      <c r="N6623" s="2"/>
      <c r="O6623" s="2"/>
      <c r="P6623" s="2"/>
      <c r="Q6623" s="2"/>
      <c r="R6623" s="2"/>
      <c r="S6623" s="2"/>
      <c r="T6623" s="2"/>
      <c r="U6623" s="2"/>
      <c r="V6623" s="2"/>
      <c r="W6623" s="2"/>
    </row>
    <row r="6624" spans="1:23" x14ac:dyDescent="0.25">
      <c r="A6624" s="2"/>
      <c r="B6624" s="2"/>
      <c r="C6624" s="1"/>
      <c r="D6624" s="2"/>
      <c r="E6624" s="2"/>
      <c r="F6624" s="2"/>
      <c r="G6624" s="2"/>
      <c r="H6624" s="2"/>
      <c r="I6624" s="2"/>
      <c r="J6624" s="2"/>
      <c r="K6624" s="2"/>
      <c r="L6624" s="2"/>
      <c r="M6624" s="2"/>
      <c r="N6624" s="2"/>
      <c r="O6624" s="2"/>
      <c r="P6624" s="2"/>
      <c r="Q6624" s="2"/>
      <c r="R6624" s="2"/>
      <c r="S6624" s="2"/>
      <c r="T6624" s="2"/>
      <c r="U6624" s="2"/>
      <c r="V6624" s="2"/>
      <c r="W6624" s="2"/>
    </row>
    <row r="6625" spans="1:23" x14ac:dyDescent="0.25">
      <c r="A6625" s="2"/>
      <c r="B6625" s="2"/>
      <c r="C6625" s="1"/>
      <c r="D6625" s="2"/>
      <c r="E6625" s="2"/>
      <c r="F6625" s="2"/>
      <c r="G6625" s="2"/>
      <c r="H6625" s="2"/>
      <c r="I6625" s="2"/>
      <c r="J6625" s="2"/>
      <c r="K6625" s="2"/>
      <c r="L6625" s="2"/>
      <c r="M6625" s="2"/>
      <c r="N6625" s="2"/>
      <c r="O6625" s="2"/>
      <c r="P6625" s="2"/>
      <c r="Q6625" s="2"/>
      <c r="R6625" s="2"/>
      <c r="S6625" s="2"/>
      <c r="T6625" s="2"/>
      <c r="U6625" s="2"/>
      <c r="V6625" s="2"/>
      <c r="W6625" s="2"/>
    </row>
    <row r="6626" spans="1:23" x14ac:dyDescent="0.25">
      <c r="A6626" s="2"/>
      <c r="B6626" s="2"/>
      <c r="C6626" s="1"/>
      <c r="D6626" s="2"/>
      <c r="E6626" s="2"/>
      <c r="F6626" s="2"/>
      <c r="G6626" s="2"/>
      <c r="H6626" s="2"/>
      <c r="I6626" s="2"/>
      <c r="J6626" s="2"/>
      <c r="K6626" s="2"/>
      <c r="L6626" s="2"/>
      <c r="M6626" s="2"/>
      <c r="N6626" s="2"/>
      <c r="O6626" s="2"/>
      <c r="P6626" s="2"/>
      <c r="Q6626" s="2"/>
      <c r="R6626" s="2"/>
      <c r="S6626" s="2"/>
      <c r="T6626" s="2"/>
      <c r="U6626" s="2"/>
      <c r="V6626" s="2"/>
      <c r="W6626" s="2"/>
    </row>
    <row r="6627" spans="1:23" x14ac:dyDescent="0.25">
      <c r="A6627" s="2"/>
      <c r="B6627" s="2"/>
      <c r="C6627" s="1"/>
      <c r="D6627" s="2"/>
      <c r="E6627" s="2"/>
      <c r="F6627" s="2"/>
      <c r="G6627" s="2"/>
      <c r="H6627" s="2"/>
      <c r="I6627" s="2"/>
      <c r="J6627" s="2"/>
      <c r="K6627" s="2"/>
      <c r="L6627" s="2"/>
      <c r="M6627" s="2"/>
      <c r="N6627" s="2"/>
      <c r="O6627" s="2"/>
      <c r="P6627" s="2"/>
      <c r="Q6627" s="2"/>
      <c r="R6627" s="2"/>
      <c r="S6627" s="2"/>
      <c r="T6627" s="2"/>
      <c r="U6627" s="2"/>
      <c r="V6627" s="2"/>
      <c r="W6627" s="2"/>
    </row>
    <row r="6628" spans="1:23" x14ac:dyDescent="0.25">
      <c r="A6628" s="2"/>
      <c r="B6628" s="2"/>
      <c r="C6628" s="1"/>
      <c r="D6628" s="2"/>
      <c r="E6628" s="2"/>
      <c r="F6628" s="2"/>
      <c r="G6628" s="2"/>
      <c r="H6628" s="2"/>
      <c r="I6628" s="2"/>
      <c r="J6628" s="2"/>
      <c r="K6628" s="2"/>
      <c r="L6628" s="2"/>
      <c r="M6628" s="2"/>
      <c r="N6628" s="2"/>
      <c r="O6628" s="2"/>
      <c r="P6628" s="2"/>
      <c r="Q6628" s="2"/>
      <c r="R6628" s="2"/>
      <c r="S6628" s="2"/>
      <c r="T6628" s="2"/>
      <c r="U6628" s="2"/>
      <c r="V6628" s="2"/>
      <c r="W6628" s="2"/>
    </row>
    <row r="6629" spans="1:23" x14ac:dyDescent="0.25">
      <c r="A6629" s="2"/>
      <c r="B6629" s="2"/>
      <c r="C6629" s="1"/>
      <c r="D6629" s="2"/>
      <c r="E6629" s="2"/>
      <c r="F6629" s="2"/>
      <c r="G6629" s="2"/>
      <c r="H6629" s="2"/>
      <c r="I6629" s="2"/>
      <c r="J6629" s="2"/>
      <c r="K6629" s="2"/>
      <c r="L6629" s="2"/>
      <c r="M6629" s="2"/>
      <c r="N6629" s="2"/>
      <c r="O6629" s="2"/>
      <c r="P6629" s="2"/>
      <c r="Q6629" s="2"/>
      <c r="R6629" s="2"/>
      <c r="S6629" s="2"/>
      <c r="T6629" s="2"/>
      <c r="U6629" s="2"/>
      <c r="V6629" s="2"/>
      <c r="W6629" s="2"/>
    </row>
    <row r="6630" spans="1:23" x14ac:dyDescent="0.25">
      <c r="A6630" s="2"/>
      <c r="B6630" s="2"/>
      <c r="C6630" s="1"/>
      <c r="D6630" s="2"/>
      <c r="E6630" s="2"/>
      <c r="F6630" s="2"/>
      <c r="G6630" s="2"/>
      <c r="H6630" s="2"/>
      <c r="I6630" s="2"/>
      <c r="J6630" s="2"/>
      <c r="K6630" s="2"/>
      <c r="L6630" s="2"/>
      <c r="M6630" s="2"/>
      <c r="N6630" s="2"/>
      <c r="O6630" s="2"/>
      <c r="P6630" s="2"/>
      <c r="Q6630" s="2"/>
      <c r="R6630" s="2"/>
      <c r="S6630" s="2"/>
      <c r="T6630" s="2"/>
      <c r="U6630" s="2"/>
      <c r="V6630" s="2"/>
      <c r="W6630" s="2"/>
    </row>
    <row r="6631" spans="1:23" x14ac:dyDescent="0.25">
      <c r="A6631" s="2"/>
      <c r="B6631" s="2"/>
      <c r="C6631" s="1"/>
      <c r="D6631" s="2"/>
      <c r="E6631" s="2"/>
      <c r="F6631" s="2"/>
      <c r="G6631" s="2"/>
      <c r="H6631" s="2"/>
      <c r="I6631" s="2"/>
      <c r="J6631" s="2"/>
      <c r="K6631" s="2"/>
      <c r="L6631" s="2"/>
      <c r="M6631" s="2"/>
      <c r="N6631" s="2"/>
      <c r="O6631" s="2"/>
      <c r="P6631" s="2"/>
      <c r="Q6631" s="2"/>
      <c r="R6631" s="2"/>
      <c r="S6631" s="2"/>
      <c r="T6631" s="2"/>
      <c r="U6631" s="2"/>
      <c r="V6631" s="2"/>
      <c r="W6631" s="2"/>
    </row>
    <row r="6632" spans="1:23" x14ac:dyDescent="0.25">
      <c r="A6632" s="2"/>
      <c r="B6632" s="2"/>
      <c r="C6632" s="1"/>
      <c r="D6632" s="2"/>
      <c r="E6632" s="2"/>
      <c r="F6632" s="2"/>
      <c r="G6632" s="2"/>
      <c r="H6632" s="2"/>
      <c r="I6632" s="2"/>
      <c r="J6632" s="2"/>
      <c r="K6632" s="2"/>
      <c r="L6632" s="2"/>
      <c r="M6632" s="2"/>
      <c r="N6632" s="2"/>
      <c r="O6632" s="2"/>
      <c r="P6632" s="2"/>
      <c r="Q6632" s="2"/>
      <c r="R6632" s="2"/>
      <c r="S6632" s="2"/>
      <c r="T6632" s="2"/>
      <c r="U6632" s="2"/>
      <c r="V6632" s="2"/>
      <c r="W6632" s="2"/>
    </row>
    <row r="6633" spans="1:23" x14ac:dyDescent="0.25">
      <c r="A6633" s="2"/>
      <c r="B6633" s="2"/>
      <c r="C6633" s="1"/>
      <c r="D6633" s="2"/>
      <c r="E6633" s="2"/>
      <c r="F6633" s="2"/>
      <c r="G6633" s="2"/>
      <c r="H6633" s="2"/>
      <c r="I6633" s="2"/>
      <c r="J6633" s="2"/>
      <c r="K6633" s="2"/>
      <c r="L6633" s="2"/>
      <c r="M6633" s="2"/>
      <c r="N6633" s="2"/>
      <c r="O6633" s="2"/>
      <c r="P6633" s="2"/>
      <c r="Q6633" s="2"/>
      <c r="R6633" s="2"/>
      <c r="S6633" s="2"/>
      <c r="T6633" s="2"/>
      <c r="U6633" s="2"/>
      <c r="V6633" s="2"/>
      <c r="W6633" s="2"/>
    </row>
    <row r="6634" spans="1:23" x14ac:dyDescent="0.25">
      <c r="A6634" s="2"/>
      <c r="B6634" s="2"/>
      <c r="C6634" s="1"/>
      <c r="D6634" s="2"/>
      <c r="E6634" s="2"/>
      <c r="F6634" s="2"/>
      <c r="G6634" s="2"/>
      <c r="H6634" s="2"/>
      <c r="I6634" s="2"/>
      <c r="J6634" s="2"/>
      <c r="K6634" s="2"/>
      <c r="L6634" s="2"/>
      <c r="M6634" s="2"/>
      <c r="N6634" s="2"/>
      <c r="O6634" s="2"/>
      <c r="P6634" s="2"/>
      <c r="Q6634" s="2"/>
      <c r="R6634" s="2"/>
      <c r="S6634" s="2"/>
      <c r="T6634" s="2"/>
      <c r="U6634" s="2"/>
      <c r="V6634" s="2"/>
      <c r="W6634" s="2"/>
    </row>
    <row r="6635" spans="1:23" x14ac:dyDescent="0.25">
      <c r="A6635" s="2"/>
      <c r="B6635" s="2"/>
      <c r="C6635" s="1"/>
      <c r="D6635" s="2"/>
      <c r="E6635" s="2"/>
      <c r="F6635" s="2"/>
      <c r="G6635" s="2"/>
      <c r="H6635" s="2"/>
      <c r="I6635" s="2"/>
      <c r="J6635" s="2"/>
      <c r="K6635" s="2"/>
      <c r="L6635" s="2"/>
      <c r="M6635" s="2"/>
      <c r="N6635" s="2"/>
      <c r="O6635" s="2"/>
      <c r="P6635" s="2"/>
      <c r="Q6635" s="2"/>
      <c r="R6635" s="2"/>
      <c r="S6635" s="2"/>
      <c r="T6635" s="2"/>
      <c r="U6635" s="2"/>
      <c r="V6635" s="2"/>
      <c r="W6635" s="2"/>
    </row>
    <row r="6636" spans="1:23" x14ac:dyDescent="0.25">
      <c r="A6636" s="2"/>
      <c r="B6636" s="2"/>
      <c r="C6636" s="1"/>
      <c r="D6636" s="2"/>
      <c r="E6636" s="2"/>
      <c r="F6636" s="2"/>
      <c r="G6636" s="2"/>
      <c r="H6636" s="2"/>
      <c r="I6636" s="2"/>
      <c r="J6636" s="2"/>
      <c r="K6636" s="2"/>
      <c r="L6636" s="2"/>
      <c r="M6636" s="2"/>
      <c r="N6636" s="2"/>
      <c r="O6636" s="2"/>
      <c r="P6636" s="2"/>
      <c r="Q6636" s="2"/>
      <c r="R6636" s="2"/>
      <c r="S6636" s="2"/>
      <c r="T6636" s="2"/>
      <c r="U6636" s="2"/>
      <c r="V6636" s="2"/>
      <c r="W6636" s="2"/>
    </row>
    <row r="6637" spans="1:23" x14ac:dyDescent="0.25">
      <c r="A6637" s="2"/>
      <c r="B6637" s="2"/>
      <c r="C6637" s="1"/>
      <c r="D6637" s="2"/>
      <c r="E6637" s="2"/>
      <c r="F6637" s="2"/>
      <c r="G6637" s="2"/>
      <c r="H6637" s="2"/>
      <c r="I6637" s="2"/>
      <c r="J6637" s="2"/>
      <c r="K6637" s="2"/>
      <c r="L6637" s="2"/>
      <c r="M6637" s="2"/>
      <c r="N6637" s="2"/>
      <c r="O6637" s="2"/>
      <c r="P6637" s="2"/>
      <c r="Q6637" s="2"/>
      <c r="R6637" s="2"/>
      <c r="S6637" s="2"/>
      <c r="T6637" s="2"/>
      <c r="U6637" s="2"/>
      <c r="V6637" s="2"/>
      <c r="W6637" s="2"/>
    </row>
    <row r="6638" spans="1:23" x14ac:dyDescent="0.25">
      <c r="A6638" s="2"/>
      <c r="B6638" s="2"/>
      <c r="C6638" s="1"/>
      <c r="D6638" s="2"/>
      <c r="E6638" s="2"/>
      <c r="F6638" s="2"/>
      <c r="G6638" s="2"/>
      <c r="H6638" s="2"/>
      <c r="I6638" s="2"/>
      <c r="J6638" s="2"/>
      <c r="K6638" s="2"/>
      <c r="L6638" s="2"/>
      <c r="M6638" s="2"/>
      <c r="N6638" s="2"/>
      <c r="O6638" s="2"/>
      <c r="P6638" s="2"/>
      <c r="Q6638" s="2"/>
      <c r="R6638" s="2"/>
      <c r="S6638" s="2"/>
      <c r="T6638" s="2"/>
      <c r="U6638" s="2"/>
      <c r="V6638" s="2"/>
      <c r="W6638" s="2"/>
    </row>
    <row r="6639" spans="1:23" x14ac:dyDescent="0.25">
      <c r="A6639" s="2"/>
      <c r="B6639" s="2"/>
      <c r="C6639" s="1"/>
      <c r="D6639" s="2"/>
      <c r="E6639" s="2"/>
      <c r="F6639" s="2"/>
      <c r="G6639" s="2"/>
      <c r="H6639" s="2"/>
      <c r="I6639" s="2"/>
      <c r="J6639" s="2"/>
      <c r="K6639" s="2"/>
      <c r="L6639" s="2"/>
      <c r="M6639" s="2"/>
      <c r="N6639" s="2"/>
      <c r="O6639" s="2"/>
      <c r="P6639" s="2"/>
      <c r="Q6639" s="2"/>
      <c r="R6639" s="2"/>
      <c r="S6639" s="2"/>
      <c r="T6639" s="2"/>
      <c r="U6639" s="2"/>
      <c r="V6639" s="2"/>
      <c r="W6639" s="2"/>
    </row>
    <row r="6640" spans="1:23" x14ac:dyDescent="0.25">
      <c r="A6640" s="2"/>
      <c r="B6640" s="2"/>
      <c r="C6640" s="1"/>
      <c r="D6640" s="2"/>
      <c r="E6640" s="2"/>
      <c r="F6640" s="2"/>
      <c r="G6640" s="2"/>
      <c r="H6640" s="2"/>
      <c r="I6640" s="2"/>
      <c r="J6640" s="2"/>
      <c r="K6640" s="2"/>
      <c r="L6640" s="2"/>
      <c r="M6640" s="2"/>
      <c r="N6640" s="2"/>
      <c r="O6640" s="2"/>
      <c r="P6640" s="2"/>
      <c r="Q6640" s="2"/>
      <c r="R6640" s="2"/>
      <c r="S6640" s="2"/>
      <c r="T6640" s="2"/>
      <c r="U6640" s="2"/>
      <c r="V6640" s="2"/>
      <c r="W6640" s="2"/>
    </row>
    <row r="6641" spans="1:23" x14ac:dyDescent="0.25">
      <c r="A6641" s="2"/>
      <c r="B6641" s="2"/>
      <c r="C6641" s="1"/>
      <c r="D6641" s="2"/>
      <c r="E6641" s="2"/>
      <c r="F6641" s="2"/>
      <c r="G6641" s="2"/>
      <c r="H6641" s="2"/>
      <c r="I6641" s="2"/>
      <c r="J6641" s="2"/>
      <c r="K6641" s="2"/>
      <c r="L6641" s="2"/>
      <c r="M6641" s="2"/>
      <c r="N6641" s="2"/>
      <c r="O6641" s="2"/>
      <c r="P6641" s="2"/>
      <c r="Q6641" s="2"/>
      <c r="R6641" s="2"/>
      <c r="S6641" s="2"/>
      <c r="T6641" s="2"/>
      <c r="U6641" s="2"/>
      <c r="V6641" s="2"/>
      <c r="W6641" s="2"/>
    </row>
    <row r="6642" spans="1:23" x14ac:dyDescent="0.25">
      <c r="A6642" s="2"/>
      <c r="B6642" s="2"/>
      <c r="C6642" s="1"/>
      <c r="D6642" s="2"/>
      <c r="E6642" s="2"/>
      <c r="F6642" s="2"/>
      <c r="G6642" s="2"/>
      <c r="H6642" s="2"/>
      <c r="I6642" s="2"/>
      <c r="J6642" s="2"/>
      <c r="K6642" s="2"/>
      <c r="L6642" s="2"/>
      <c r="M6642" s="2"/>
      <c r="N6642" s="2"/>
      <c r="O6642" s="2"/>
      <c r="P6642" s="2"/>
      <c r="Q6642" s="2"/>
      <c r="R6642" s="2"/>
      <c r="S6642" s="2"/>
      <c r="T6642" s="2"/>
      <c r="U6642" s="2"/>
      <c r="V6642" s="2"/>
      <c r="W6642" s="2"/>
    </row>
    <row r="6643" spans="1:23" x14ac:dyDescent="0.25">
      <c r="A6643" s="2"/>
      <c r="B6643" s="2"/>
      <c r="C6643" s="1"/>
      <c r="D6643" s="2"/>
      <c r="E6643" s="2"/>
      <c r="F6643" s="2"/>
      <c r="G6643" s="2"/>
      <c r="H6643" s="2"/>
      <c r="I6643" s="2"/>
      <c r="J6643" s="2"/>
      <c r="K6643" s="2"/>
      <c r="L6643" s="2"/>
      <c r="M6643" s="2"/>
      <c r="N6643" s="2"/>
      <c r="O6643" s="2"/>
      <c r="P6643" s="2"/>
      <c r="Q6643" s="2"/>
      <c r="R6643" s="2"/>
      <c r="S6643" s="2"/>
      <c r="T6643" s="2"/>
      <c r="U6643" s="2"/>
      <c r="V6643" s="2"/>
      <c r="W6643" s="2"/>
    </row>
    <row r="6644" spans="1:23" x14ac:dyDescent="0.25">
      <c r="A6644" s="2"/>
      <c r="B6644" s="2"/>
      <c r="C6644" s="1"/>
      <c r="D6644" s="2"/>
      <c r="E6644" s="2"/>
      <c r="F6644" s="2"/>
      <c r="G6644" s="2"/>
      <c r="H6644" s="2"/>
      <c r="I6644" s="2"/>
      <c r="J6644" s="2"/>
      <c r="K6644" s="2"/>
      <c r="L6644" s="2"/>
      <c r="M6644" s="2"/>
      <c r="N6644" s="2"/>
      <c r="O6644" s="2"/>
      <c r="P6644" s="2"/>
      <c r="Q6644" s="2"/>
      <c r="R6644" s="2"/>
      <c r="S6644" s="2"/>
      <c r="T6644" s="2"/>
      <c r="U6644" s="2"/>
      <c r="V6644" s="2"/>
      <c r="W6644" s="2"/>
    </row>
    <row r="6645" spans="1:23" x14ac:dyDescent="0.25">
      <c r="A6645" s="2"/>
      <c r="B6645" s="2"/>
      <c r="C6645" s="1"/>
      <c r="D6645" s="2"/>
      <c r="E6645" s="2"/>
      <c r="F6645" s="2"/>
      <c r="G6645" s="2"/>
      <c r="H6645" s="2"/>
      <c r="I6645" s="2"/>
      <c r="J6645" s="2"/>
      <c r="K6645" s="2"/>
      <c r="L6645" s="2"/>
      <c r="M6645" s="2"/>
      <c r="N6645" s="2"/>
      <c r="O6645" s="2"/>
      <c r="P6645" s="2"/>
      <c r="Q6645" s="2"/>
      <c r="R6645" s="2"/>
      <c r="S6645" s="2"/>
      <c r="T6645" s="2"/>
      <c r="U6645" s="2"/>
      <c r="V6645" s="2"/>
      <c r="W6645" s="2"/>
    </row>
    <row r="6646" spans="1:23" x14ac:dyDescent="0.25">
      <c r="A6646" s="2"/>
      <c r="B6646" s="2"/>
      <c r="C6646" s="1"/>
      <c r="D6646" s="2"/>
      <c r="E6646" s="2"/>
      <c r="F6646" s="2"/>
      <c r="G6646" s="2"/>
      <c r="H6646" s="2"/>
      <c r="I6646" s="2"/>
      <c r="J6646" s="2"/>
      <c r="K6646" s="2"/>
      <c r="L6646" s="2"/>
      <c r="M6646" s="2"/>
      <c r="N6646" s="2"/>
      <c r="O6646" s="2"/>
      <c r="P6646" s="2"/>
      <c r="Q6646" s="2"/>
      <c r="R6646" s="2"/>
      <c r="S6646" s="2"/>
      <c r="T6646" s="2"/>
      <c r="U6646" s="2"/>
      <c r="V6646" s="2"/>
      <c r="W6646" s="2"/>
    </row>
    <row r="6647" spans="1:23" x14ac:dyDescent="0.25">
      <c r="A6647" s="2"/>
      <c r="B6647" s="2"/>
      <c r="C6647" s="1"/>
      <c r="D6647" s="2"/>
      <c r="E6647" s="2"/>
      <c r="F6647" s="2"/>
      <c r="G6647" s="2"/>
      <c r="H6647" s="2"/>
      <c r="I6647" s="2"/>
      <c r="J6647" s="2"/>
      <c r="K6647" s="2"/>
      <c r="L6647" s="2"/>
      <c r="M6647" s="2"/>
      <c r="N6647" s="2"/>
      <c r="O6647" s="2"/>
      <c r="P6647" s="2"/>
      <c r="Q6647" s="2"/>
      <c r="R6647" s="2"/>
      <c r="S6647" s="2"/>
      <c r="T6647" s="2"/>
      <c r="U6647" s="2"/>
      <c r="V6647" s="2"/>
      <c r="W6647" s="2"/>
    </row>
    <row r="6648" spans="1:23" x14ac:dyDescent="0.25">
      <c r="A6648" s="2"/>
      <c r="B6648" s="2"/>
      <c r="C6648" s="1"/>
      <c r="D6648" s="2"/>
      <c r="E6648" s="2"/>
      <c r="F6648" s="2"/>
      <c r="G6648" s="2"/>
      <c r="H6648" s="2"/>
      <c r="I6648" s="2"/>
      <c r="J6648" s="2"/>
      <c r="K6648" s="2"/>
      <c r="L6648" s="2"/>
      <c r="M6648" s="2"/>
      <c r="N6648" s="2"/>
      <c r="O6648" s="2"/>
      <c r="P6648" s="2"/>
      <c r="Q6648" s="2"/>
      <c r="R6648" s="2"/>
      <c r="S6648" s="2"/>
      <c r="T6648" s="2"/>
      <c r="U6648" s="2"/>
      <c r="V6648" s="2"/>
      <c r="W6648" s="2"/>
    </row>
    <row r="6649" spans="1:23" x14ac:dyDescent="0.25">
      <c r="A6649" s="2"/>
      <c r="B6649" s="2"/>
      <c r="C6649" s="1"/>
      <c r="D6649" s="2"/>
      <c r="E6649" s="2"/>
      <c r="F6649" s="2"/>
      <c r="G6649" s="2"/>
      <c r="H6649" s="2"/>
      <c r="I6649" s="2"/>
      <c r="J6649" s="2"/>
      <c r="K6649" s="2"/>
      <c r="L6649" s="2"/>
      <c r="M6649" s="2"/>
      <c r="N6649" s="2"/>
      <c r="O6649" s="2"/>
      <c r="P6649" s="2"/>
      <c r="Q6649" s="2"/>
      <c r="R6649" s="2"/>
      <c r="S6649" s="2"/>
      <c r="T6649" s="2"/>
      <c r="U6649" s="2"/>
      <c r="V6649" s="2"/>
      <c r="W6649" s="2"/>
    </row>
    <row r="6650" spans="1:23" x14ac:dyDescent="0.25">
      <c r="A6650" s="2"/>
      <c r="B6650" s="2"/>
      <c r="C6650" s="1"/>
      <c r="D6650" s="2"/>
      <c r="E6650" s="2"/>
      <c r="F6650" s="2"/>
      <c r="G6650" s="2"/>
      <c r="H6650" s="2"/>
      <c r="I6650" s="2"/>
      <c r="J6650" s="2"/>
      <c r="K6650" s="2"/>
      <c r="L6650" s="2"/>
      <c r="M6650" s="2"/>
      <c r="N6650" s="2"/>
      <c r="O6650" s="2"/>
      <c r="P6650" s="2"/>
      <c r="Q6650" s="2"/>
      <c r="R6650" s="2"/>
      <c r="S6650" s="2"/>
      <c r="T6650" s="2"/>
      <c r="U6650" s="2"/>
      <c r="V6650" s="2"/>
      <c r="W6650" s="2"/>
    </row>
    <row r="6651" spans="1:23" x14ac:dyDescent="0.25">
      <c r="A6651" s="2"/>
      <c r="B6651" s="2"/>
      <c r="C6651" s="1"/>
      <c r="D6651" s="2"/>
      <c r="E6651" s="2"/>
      <c r="F6651" s="2"/>
      <c r="G6651" s="2"/>
      <c r="H6651" s="2"/>
      <c r="I6651" s="2"/>
      <c r="J6651" s="2"/>
      <c r="K6651" s="2"/>
      <c r="L6651" s="2"/>
      <c r="M6651" s="2"/>
      <c r="N6651" s="2"/>
      <c r="O6651" s="2"/>
      <c r="P6651" s="2"/>
      <c r="Q6651" s="2"/>
      <c r="R6651" s="2"/>
      <c r="S6651" s="2"/>
      <c r="T6651" s="2"/>
      <c r="U6651" s="2"/>
      <c r="V6651" s="2"/>
      <c r="W6651" s="2"/>
    </row>
    <row r="6652" spans="1:23" x14ac:dyDescent="0.25">
      <c r="A6652" s="2"/>
      <c r="B6652" s="2"/>
      <c r="C6652" s="1"/>
      <c r="D6652" s="2"/>
      <c r="E6652" s="2"/>
      <c r="F6652" s="2"/>
      <c r="G6652" s="2"/>
      <c r="H6652" s="2"/>
      <c r="I6652" s="2"/>
      <c r="J6652" s="2"/>
      <c r="K6652" s="2"/>
      <c r="L6652" s="2"/>
      <c r="M6652" s="2"/>
      <c r="N6652" s="2"/>
      <c r="O6652" s="2"/>
      <c r="P6652" s="2"/>
      <c r="Q6652" s="2"/>
      <c r="R6652" s="2"/>
      <c r="S6652" s="2"/>
      <c r="T6652" s="2"/>
      <c r="U6652" s="2"/>
      <c r="V6652" s="2"/>
      <c r="W6652" s="2"/>
    </row>
    <row r="6653" spans="1:23" x14ac:dyDescent="0.25">
      <c r="A6653" s="2"/>
      <c r="B6653" s="2"/>
      <c r="C6653" s="1"/>
      <c r="D6653" s="2"/>
      <c r="E6653" s="2"/>
      <c r="F6653" s="2"/>
      <c r="G6653" s="2"/>
      <c r="H6653" s="2"/>
      <c r="I6653" s="2"/>
      <c r="J6653" s="2"/>
      <c r="K6653" s="2"/>
      <c r="L6653" s="2"/>
      <c r="M6653" s="2"/>
      <c r="N6653" s="2"/>
      <c r="O6653" s="2"/>
      <c r="P6653" s="2"/>
      <c r="Q6653" s="2"/>
      <c r="R6653" s="2"/>
      <c r="S6653" s="2"/>
      <c r="T6653" s="2"/>
      <c r="U6653" s="2"/>
      <c r="V6653" s="2"/>
      <c r="W6653" s="2"/>
    </row>
    <row r="6654" spans="1:23" x14ac:dyDescent="0.25">
      <c r="A6654" s="2"/>
      <c r="B6654" s="2"/>
      <c r="C6654" s="1"/>
      <c r="D6654" s="2"/>
      <c r="E6654" s="2"/>
      <c r="F6654" s="2"/>
      <c r="G6654" s="2"/>
      <c r="H6654" s="2"/>
      <c r="I6654" s="2"/>
      <c r="J6654" s="2"/>
      <c r="K6654" s="2"/>
      <c r="L6654" s="2"/>
      <c r="M6654" s="2"/>
      <c r="N6654" s="2"/>
      <c r="O6654" s="2"/>
      <c r="P6654" s="2"/>
      <c r="Q6654" s="2"/>
      <c r="R6654" s="2"/>
      <c r="S6654" s="2"/>
      <c r="T6654" s="2"/>
      <c r="U6654" s="2"/>
      <c r="V6654" s="2"/>
      <c r="W6654" s="2"/>
    </row>
    <row r="6655" spans="1:23" x14ac:dyDescent="0.25">
      <c r="A6655" s="2"/>
      <c r="B6655" s="2"/>
      <c r="C6655" s="1"/>
      <c r="D6655" s="2"/>
      <c r="E6655" s="2"/>
      <c r="F6655" s="2"/>
      <c r="G6655" s="2"/>
      <c r="H6655" s="2"/>
      <c r="I6655" s="2"/>
      <c r="J6655" s="2"/>
      <c r="K6655" s="2"/>
      <c r="L6655" s="2"/>
      <c r="M6655" s="2"/>
      <c r="N6655" s="2"/>
      <c r="O6655" s="2"/>
      <c r="P6655" s="2"/>
      <c r="Q6655" s="2"/>
      <c r="R6655" s="2"/>
      <c r="S6655" s="2"/>
      <c r="T6655" s="2"/>
      <c r="U6655" s="2"/>
      <c r="V6655" s="2"/>
      <c r="W6655" s="2"/>
    </row>
    <row r="6656" spans="1:23" x14ac:dyDescent="0.25">
      <c r="A6656" s="2"/>
      <c r="B6656" s="2"/>
      <c r="C6656" s="1"/>
      <c r="D6656" s="2"/>
      <c r="E6656" s="2"/>
      <c r="F6656" s="2"/>
      <c r="G6656" s="2"/>
      <c r="H6656" s="2"/>
      <c r="I6656" s="2"/>
      <c r="J6656" s="2"/>
      <c r="K6656" s="2"/>
      <c r="L6656" s="2"/>
      <c r="M6656" s="2"/>
      <c r="N6656" s="2"/>
      <c r="O6656" s="2"/>
      <c r="P6656" s="2"/>
      <c r="Q6656" s="2"/>
      <c r="R6656" s="2"/>
      <c r="S6656" s="2"/>
      <c r="T6656" s="2"/>
      <c r="U6656" s="2"/>
      <c r="V6656" s="2"/>
      <c r="W6656" s="2"/>
    </row>
    <row r="6657" spans="1:23" x14ac:dyDescent="0.25">
      <c r="A6657" s="2"/>
      <c r="B6657" s="2"/>
      <c r="C6657" s="1"/>
      <c r="D6657" s="2"/>
      <c r="E6657" s="2"/>
      <c r="F6657" s="2"/>
      <c r="G6657" s="2"/>
      <c r="H6657" s="2"/>
      <c r="I6657" s="2"/>
      <c r="J6657" s="2"/>
      <c r="K6657" s="2"/>
      <c r="L6657" s="2"/>
      <c r="M6657" s="2"/>
      <c r="N6657" s="2"/>
      <c r="O6657" s="2"/>
      <c r="P6657" s="2"/>
      <c r="Q6657" s="2"/>
      <c r="R6657" s="2"/>
      <c r="S6657" s="2"/>
      <c r="T6657" s="2"/>
      <c r="U6657" s="2"/>
      <c r="V6657" s="2"/>
      <c r="W6657" s="2"/>
    </row>
    <row r="6658" spans="1:23" x14ac:dyDescent="0.25">
      <c r="A6658" s="2"/>
      <c r="B6658" s="2"/>
      <c r="C6658" s="1"/>
      <c r="D6658" s="2"/>
      <c r="E6658" s="2"/>
      <c r="F6658" s="2"/>
      <c r="G6658" s="2"/>
      <c r="H6658" s="2"/>
      <c r="I6658" s="2"/>
      <c r="J6658" s="2"/>
      <c r="K6658" s="2"/>
      <c r="L6658" s="2"/>
      <c r="M6658" s="2"/>
      <c r="N6658" s="2"/>
      <c r="O6658" s="2"/>
      <c r="P6658" s="2"/>
      <c r="Q6658" s="2"/>
      <c r="R6658" s="2"/>
      <c r="S6658" s="2"/>
      <c r="T6658" s="2"/>
      <c r="U6658" s="2"/>
      <c r="V6658" s="2"/>
      <c r="W6658" s="2"/>
    </row>
    <row r="6659" spans="1:23" x14ac:dyDescent="0.25">
      <c r="A6659" s="2"/>
      <c r="B6659" s="2"/>
      <c r="C6659" s="1"/>
      <c r="D6659" s="2"/>
      <c r="E6659" s="2"/>
      <c r="F6659" s="2"/>
      <c r="G6659" s="2"/>
      <c r="H6659" s="2"/>
      <c r="I6659" s="2"/>
      <c r="J6659" s="2"/>
      <c r="K6659" s="2"/>
      <c r="L6659" s="2"/>
      <c r="M6659" s="2"/>
      <c r="N6659" s="2"/>
      <c r="O6659" s="2"/>
      <c r="P6659" s="2"/>
      <c r="Q6659" s="2"/>
      <c r="R6659" s="2"/>
      <c r="S6659" s="2"/>
      <c r="T6659" s="2"/>
      <c r="U6659" s="2"/>
      <c r="V6659" s="2"/>
      <c r="W6659" s="2"/>
    </row>
    <row r="6660" spans="1:23" x14ac:dyDescent="0.25">
      <c r="A6660" s="2"/>
      <c r="B6660" s="2"/>
      <c r="C6660" s="1"/>
      <c r="D6660" s="2"/>
      <c r="E6660" s="2"/>
      <c r="F6660" s="2"/>
      <c r="G6660" s="2"/>
      <c r="H6660" s="2"/>
      <c r="I6660" s="2"/>
      <c r="J6660" s="2"/>
      <c r="K6660" s="2"/>
      <c r="L6660" s="2"/>
      <c r="M6660" s="2"/>
      <c r="N6660" s="2"/>
      <c r="O6660" s="2"/>
      <c r="P6660" s="2"/>
      <c r="Q6660" s="2"/>
      <c r="R6660" s="2"/>
      <c r="S6660" s="2"/>
      <c r="T6660" s="2"/>
      <c r="U6660" s="2"/>
      <c r="V6660" s="2"/>
      <c r="W6660" s="2"/>
    </row>
    <row r="6661" spans="1:23" x14ac:dyDescent="0.25">
      <c r="A6661" s="2"/>
      <c r="B6661" s="2"/>
      <c r="C6661" s="1"/>
      <c r="D6661" s="2"/>
      <c r="E6661" s="2"/>
      <c r="F6661" s="2"/>
      <c r="G6661" s="2"/>
      <c r="H6661" s="2"/>
      <c r="I6661" s="2"/>
      <c r="J6661" s="2"/>
      <c r="K6661" s="2"/>
      <c r="L6661" s="2"/>
      <c r="M6661" s="2"/>
      <c r="N6661" s="2"/>
      <c r="O6661" s="2"/>
      <c r="P6661" s="2"/>
      <c r="Q6661" s="2"/>
      <c r="R6661" s="2"/>
      <c r="S6661" s="2"/>
      <c r="T6661" s="2"/>
      <c r="U6661" s="2"/>
      <c r="V6661" s="2"/>
      <c r="W6661" s="2"/>
    </row>
    <row r="6662" spans="1:23" x14ac:dyDescent="0.25">
      <c r="A6662" s="2"/>
      <c r="B6662" s="2"/>
      <c r="C6662" s="1"/>
      <c r="D6662" s="2"/>
      <c r="E6662" s="2"/>
      <c r="F6662" s="2"/>
      <c r="G6662" s="2"/>
      <c r="H6662" s="2"/>
      <c r="I6662" s="2"/>
      <c r="J6662" s="2"/>
      <c r="K6662" s="2"/>
      <c r="L6662" s="2"/>
      <c r="M6662" s="2"/>
      <c r="N6662" s="2"/>
      <c r="O6662" s="2"/>
      <c r="P6662" s="2"/>
      <c r="Q6662" s="2"/>
      <c r="R6662" s="2"/>
      <c r="S6662" s="2"/>
      <c r="T6662" s="2"/>
      <c r="U6662" s="2"/>
      <c r="V6662" s="2"/>
      <c r="W6662" s="2"/>
    </row>
    <row r="6663" spans="1:23" x14ac:dyDescent="0.25">
      <c r="A6663" s="2"/>
      <c r="B6663" s="2"/>
      <c r="C6663" s="1"/>
      <c r="D6663" s="2"/>
      <c r="E6663" s="2"/>
      <c r="F6663" s="2"/>
      <c r="G6663" s="2"/>
      <c r="H6663" s="2"/>
      <c r="I6663" s="2"/>
      <c r="J6663" s="2"/>
      <c r="K6663" s="2"/>
      <c r="L6663" s="2"/>
      <c r="M6663" s="2"/>
      <c r="N6663" s="2"/>
      <c r="O6663" s="2"/>
      <c r="P6663" s="2"/>
      <c r="Q6663" s="2"/>
      <c r="R6663" s="2"/>
      <c r="S6663" s="2"/>
      <c r="T6663" s="2"/>
      <c r="U6663" s="2"/>
      <c r="V6663" s="2"/>
      <c r="W6663" s="2"/>
    </row>
    <row r="6664" spans="1:23" x14ac:dyDescent="0.25">
      <c r="A6664" s="2"/>
      <c r="B6664" s="2"/>
      <c r="C6664" s="1"/>
      <c r="D6664" s="2"/>
      <c r="E6664" s="2"/>
      <c r="F6664" s="2"/>
      <c r="G6664" s="2"/>
      <c r="H6664" s="2"/>
      <c r="I6664" s="2"/>
      <c r="J6664" s="2"/>
      <c r="K6664" s="2"/>
      <c r="L6664" s="2"/>
      <c r="M6664" s="2"/>
      <c r="N6664" s="2"/>
      <c r="O6664" s="2"/>
      <c r="P6664" s="2"/>
      <c r="Q6664" s="2"/>
      <c r="R6664" s="2"/>
      <c r="S6664" s="2"/>
      <c r="T6664" s="2"/>
      <c r="U6664" s="2"/>
      <c r="V6664" s="2"/>
      <c r="W6664" s="2"/>
    </row>
    <row r="6665" spans="1:23" x14ac:dyDescent="0.25">
      <c r="A6665" s="2"/>
      <c r="B6665" s="2"/>
      <c r="C6665" s="1"/>
      <c r="D6665" s="2"/>
      <c r="E6665" s="2"/>
      <c r="F6665" s="2"/>
      <c r="G6665" s="2"/>
      <c r="H6665" s="2"/>
      <c r="I6665" s="2"/>
      <c r="J6665" s="2"/>
      <c r="K6665" s="2"/>
      <c r="L6665" s="2"/>
      <c r="M6665" s="2"/>
      <c r="N6665" s="2"/>
      <c r="O6665" s="2"/>
      <c r="P6665" s="2"/>
      <c r="Q6665" s="2"/>
      <c r="R6665" s="2"/>
      <c r="S6665" s="2"/>
      <c r="T6665" s="2"/>
      <c r="U6665" s="2"/>
      <c r="V6665" s="2"/>
      <c r="W6665" s="2"/>
    </row>
    <row r="6666" spans="1:23" x14ac:dyDescent="0.25">
      <c r="A6666" s="2"/>
      <c r="B6666" s="2"/>
      <c r="C6666" s="1"/>
      <c r="D6666" s="2"/>
      <c r="E6666" s="2"/>
      <c r="F6666" s="2"/>
      <c r="G6666" s="2"/>
      <c r="H6666" s="2"/>
      <c r="I6666" s="2"/>
      <c r="J6666" s="2"/>
      <c r="K6666" s="2"/>
      <c r="L6666" s="2"/>
      <c r="M6666" s="2"/>
      <c r="N6666" s="2"/>
      <c r="O6666" s="2"/>
      <c r="P6666" s="2"/>
      <c r="Q6666" s="2"/>
      <c r="R6666" s="2"/>
      <c r="S6666" s="2"/>
      <c r="T6666" s="2"/>
      <c r="U6666" s="2"/>
      <c r="V6666" s="2"/>
      <c r="W6666" s="2"/>
    </row>
    <row r="6667" spans="1:23" x14ac:dyDescent="0.25">
      <c r="A6667" s="2"/>
      <c r="B6667" s="2"/>
      <c r="C6667" s="1"/>
      <c r="D6667" s="2"/>
      <c r="E6667" s="2"/>
      <c r="F6667" s="2"/>
      <c r="G6667" s="2"/>
      <c r="H6667" s="2"/>
      <c r="I6667" s="2"/>
      <c r="J6667" s="2"/>
      <c r="K6667" s="2"/>
      <c r="L6667" s="2"/>
      <c r="M6667" s="2"/>
      <c r="N6667" s="2"/>
      <c r="O6667" s="2"/>
      <c r="P6667" s="2"/>
      <c r="Q6667" s="2"/>
      <c r="R6667" s="2"/>
      <c r="S6667" s="2"/>
      <c r="T6667" s="2"/>
      <c r="U6667" s="2"/>
      <c r="V6667" s="2"/>
      <c r="W6667" s="2"/>
    </row>
    <row r="6668" spans="1:23" x14ac:dyDescent="0.25">
      <c r="A6668" s="2"/>
      <c r="B6668" s="2"/>
      <c r="C6668" s="1"/>
      <c r="D6668" s="2"/>
      <c r="E6668" s="2"/>
      <c r="F6668" s="2"/>
      <c r="G6668" s="2"/>
      <c r="H6668" s="2"/>
      <c r="I6668" s="2"/>
      <c r="J6668" s="2"/>
      <c r="K6668" s="2"/>
      <c r="L6668" s="2"/>
      <c r="M6668" s="2"/>
      <c r="N6668" s="2"/>
      <c r="O6668" s="2"/>
      <c r="P6668" s="2"/>
      <c r="Q6668" s="2"/>
      <c r="R6668" s="2"/>
      <c r="S6668" s="2"/>
      <c r="T6668" s="2"/>
      <c r="U6668" s="2"/>
      <c r="V6668" s="2"/>
      <c r="W6668" s="2"/>
    </row>
    <row r="6669" spans="1:23" x14ac:dyDescent="0.25">
      <c r="A6669" s="2"/>
      <c r="B6669" s="2"/>
      <c r="C6669" s="1"/>
      <c r="D6669" s="2"/>
      <c r="E6669" s="2"/>
      <c r="F6669" s="2"/>
      <c r="G6669" s="2"/>
      <c r="H6669" s="2"/>
      <c r="I6669" s="2"/>
      <c r="J6669" s="2"/>
      <c r="K6669" s="2"/>
      <c r="L6669" s="2"/>
      <c r="M6669" s="2"/>
      <c r="N6669" s="2"/>
      <c r="O6669" s="2"/>
      <c r="P6669" s="2"/>
      <c r="Q6669" s="2"/>
      <c r="R6669" s="2"/>
      <c r="S6669" s="2"/>
      <c r="T6669" s="2"/>
      <c r="U6669" s="2"/>
      <c r="V6669" s="2"/>
      <c r="W6669" s="2"/>
    </row>
    <row r="6670" spans="1:23" x14ac:dyDescent="0.25">
      <c r="A6670" s="2"/>
      <c r="B6670" s="2"/>
      <c r="C6670" s="1"/>
      <c r="D6670" s="2"/>
      <c r="E6670" s="2"/>
      <c r="F6670" s="2"/>
      <c r="G6670" s="2"/>
      <c r="H6670" s="2"/>
      <c r="I6670" s="2"/>
      <c r="J6670" s="2"/>
      <c r="K6670" s="2"/>
      <c r="L6670" s="2"/>
      <c r="M6670" s="2"/>
      <c r="N6670" s="2"/>
      <c r="O6670" s="2"/>
      <c r="P6670" s="2"/>
      <c r="Q6670" s="2"/>
      <c r="R6670" s="2"/>
      <c r="S6670" s="2"/>
      <c r="T6670" s="2"/>
      <c r="U6670" s="2"/>
      <c r="V6670" s="2"/>
      <c r="W6670" s="2"/>
    </row>
    <row r="6671" spans="1:23" x14ac:dyDescent="0.25">
      <c r="A6671" s="2"/>
      <c r="B6671" s="2"/>
      <c r="C6671" s="1"/>
      <c r="D6671" s="2"/>
      <c r="E6671" s="2"/>
      <c r="F6671" s="2"/>
      <c r="G6671" s="2"/>
      <c r="H6671" s="2"/>
      <c r="I6671" s="2"/>
      <c r="J6671" s="2"/>
      <c r="K6671" s="2"/>
      <c r="L6671" s="2"/>
      <c r="M6671" s="2"/>
      <c r="N6671" s="2"/>
      <c r="O6671" s="2"/>
      <c r="P6671" s="2"/>
      <c r="Q6671" s="2"/>
      <c r="R6671" s="2"/>
      <c r="S6671" s="2"/>
      <c r="T6671" s="2"/>
      <c r="U6671" s="2"/>
      <c r="V6671" s="2"/>
      <c r="W6671" s="2"/>
    </row>
    <row r="6672" spans="1:23" x14ac:dyDescent="0.25">
      <c r="A6672" s="2"/>
      <c r="B6672" s="2"/>
      <c r="C6672" s="1"/>
      <c r="D6672" s="2"/>
      <c r="E6672" s="2"/>
      <c r="F6672" s="2"/>
      <c r="G6672" s="2"/>
      <c r="H6672" s="2"/>
      <c r="I6672" s="2"/>
      <c r="J6672" s="2"/>
      <c r="K6672" s="2"/>
      <c r="L6672" s="2"/>
      <c r="M6672" s="2"/>
      <c r="N6672" s="2"/>
      <c r="O6672" s="2"/>
      <c r="P6672" s="2"/>
      <c r="Q6672" s="2"/>
      <c r="R6672" s="2"/>
      <c r="S6672" s="2"/>
      <c r="T6672" s="2"/>
      <c r="U6672" s="2"/>
      <c r="V6672" s="2"/>
      <c r="W6672" s="2"/>
    </row>
    <row r="6673" spans="1:23" x14ac:dyDescent="0.25">
      <c r="A6673" s="2"/>
      <c r="B6673" s="2"/>
      <c r="C6673" s="1"/>
      <c r="D6673" s="2"/>
      <c r="E6673" s="2"/>
      <c r="F6673" s="2"/>
      <c r="G6673" s="2"/>
      <c r="H6673" s="2"/>
      <c r="I6673" s="2"/>
      <c r="J6673" s="2"/>
      <c r="K6673" s="2"/>
      <c r="L6673" s="2"/>
      <c r="M6673" s="2"/>
      <c r="N6673" s="2"/>
      <c r="O6673" s="2"/>
      <c r="P6673" s="2"/>
      <c r="Q6673" s="2"/>
      <c r="R6673" s="2"/>
      <c r="S6673" s="2"/>
      <c r="T6673" s="2"/>
      <c r="U6673" s="2"/>
      <c r="V6673" s="2"/>
      <c r="W6673" s="2"/>
    </row>
    <row r="6674" spans="1:23" x14ac:dyDescent="0.25">
      <c r="A6674" s="2"/>
      <c r="B6674" s="2"/>
      <c r="C6674" s="1"/>
      <c r="D6674" s="2"/>
      <c r="E6674" s="2"/>
      <c r="F6674" s="2"/>
      <c r="G6674" s="2"/>
      <c r="H6674" s="2"/>
      <c r="I6674" s="2"/>
      <c r="J6674" s="2"/>
      <c r="K6674" s="2"/>
      <c r="L6674" s="2"/>
      <c r="M6674" s="2"/>
      <c r="N6674" s="2"/>
      <c r="O6674" s="2"/>
      <c r="P6674" s="2"/>
      <c r="Q6674" s="2"/>
      <c r="R6674" s="2"/>
      <c r="S6674" s="2"/>
      <c r="T6674" s="2"/>
      <c r="U6674" s="2"/>
      <c r="V6674" s="2"/>
      <c r="W6674" s="2"/>
    </row>
    <row r="6675" spans="1:23" x14ac:dyDescent="0.25">
      <c r="A6675" s="2"/>
      <c r="B6675" s="2"/>
      <c r="C6675" s="1"/>
      <c r="D6675" s="2"/>
      <c r="E6675" s="2"/>
      <c r="F6675" s="2"/>
      <c r="G6675" s="2"/>
      <c r="H6675" s="2"/>
      <c r="I6675" s="2"/>
      <c r="J6675" s="2"/>
      <c r="K6675" s="2"/>
      <c r="L6675" s="2"/>
      <c r="M6675" s="2"/>
      <c r="N6675" s="2"/>
      <c r="O6675" s="2"/>
      <c r="P6675" s="2"/>
      <c r="Q6675" s="2"/>
      <c r="R6675" s="2"/>
      <c r="S6675" s="2"/>
      <c r="T6675" s="2"/>
      <c r="U6675" s="2"/>
      <c r="V6675" s="2"/>
      <c r="W6675" s="2"/>
    </row>
    <row r="6676" spans="1:23" x14ac:dyDescent="0.25">
      <c r="A6676" s="2"/>
      <c r="B6676" s="2"/>
      <c r="C6676" s="1"/>
      <c r="D6676" s="2"/>
      <c r="E6676" s="2"/>
      <c r="F6676" s="2"/>
      <c r="G6676" s="2"/>
      <c r="H6676" s="2"/>
      <c r="I6676" s="2"/>
      <c r="J6676" s="2"/>
      <c r="K6676" s="2"/>
      <c r="L6676" s="2"/>
      <c r="M6676" s="2"/>
      <c r="N6676" s="2"/>
      <c r="O6676" s="2"/>
      <c r="P6676" s="2"/>
      <c r="Q6676" s="2"/>
      <c r="R6676" s="2"/>
      <c r="S6676" s="2"/>
      <c r="T6676" s="2"/>
      <c r="U6676" s="2"/>
      <c r="V6676" s="2"/>
      <c r="W6676" s="2"/>
    </row>
    <row r="6677" spans="1:23" x14ac:dyDescent="0.25">
      <c r="A6677" s="2"/>
      <c r="B6677" s="2"/>
      <c r="C6677" s="1"/>
      <c r="D6677" s="2"/>
      <c r="E6677" s="2"/>
      <c r="F6677" s="2"/>
      <c r="G6677" s="2"/>
      <c r="H6677" s="2"/>
      <c r="I6677" s="2"/>
      <c r="J6677" s="2"/>
      <c r="K6677" s="2"/>
      <c r="L6677" s="2"/>
      <c r="M6677" s="2"/>
      <c r="N6677" s="2"/>
      <c r="O6677" s="2"/>
      <c r="P6677" s="2"/>
      <c r="Q6677" s="2"/>
      <c r="R6677" s="2"/>
      <c r="S6677" s="2"/>
      <c r="T6677" s="2"/>
      <c r="U6677" s="2"/>
      <c r="V6677" s="2"/>
      <c r="W6677" s="2"/>
    </row>
    <row r="6678" spans="1:23" x14ac:dyDescent="0.25">
      <c r="A6678" s="2"/>
      <c r="B6678" s="2"/>
      <c r="C6678" s="1"/>
      <c r="D6678" s="2"/>
      <c r="E6678" s="2"/>
      <c r="F6678" s="2"/>
      <c r="G6678" s="2"/>
      <c r="H6678" s="2"/>
      <c r="I6678" s="2"/>
      <c r="J6678" s="2"/>
      <c r="K6678" s="2"/>
      <c r="L6678" s="2"/>
      <c r="M6678" s="2"/>
      <c r="N6678" s="2"/>
      <c r="O6678" s="2"/>
      <c r="P6678" s="2"/>
      <c r="Q6678" s="2"/>
      <c r="R6678" s="2"/>
      <c r="S6678" s="2"/>
      <c r="T6678" s="2"/>
      <c r="U6678" s="2"/>
      <c r="V6678" s="2"/>
      <c r="W6678" s="2"/>
    </row>
    <row r="6679" spans="1:23" x14ac:dyDescent="0.25">
      <c r="A6679" s="2"/>
      <c r="B6679" s="2"/>
      <c r="C6679" s="1"/>
      <c r="D6679" s="2"/>
      <c r="E6679" s="2"/>
      <c r="F6679" s="2"/>
      <c r="G6679" s="2"/>
      <c r="H6679" s="2"/>
      <c r="I6679" s="2"/>
      <c r="J6679" s="2"/>
      <c r="K6679" s="2"/>
      <c r="L6679" s="2"/>
      <c r="M6679" s="2"/>
      <c r="N6679" s="2"/>
      <c r="O6679" s="2"/>
      <c r="P6679" s="2"/>
      <c r="Q6679" s="2"/>
      <c r="R6679" s="2"/>
      <c r="S6679" s="2"/>
      <c r="T6679" s="2"/>
      <c r="U6679" s="2"/>
      <c r="V6679" s="2"/>
      <c r="W6679" s="2"/>
    </row>
    <row r="6680" spans="1:23" x14ac:dyDescent="0.25">
      <c r="A6680" s="2"/>
      <c r="B6680" s="2"/>
      <c r="C6680" s="1"/>
      <c r="D6680" s="2"/>
      <c r="E6680" s="2"/>
      <c r="F6680" s="2"/>
      <c r="G6680" s="2"/>
      <c r="H6680" s="2"/>
      <c r="I6680" s="2"/>
      <c r="J6680" s="2"/>
      <c r="K6680" s="2"/>
      <c r="L6680" s="2"/>
      <c r="M6680" s="2"/>
      <c r="N6680" s="2"/>
      <c r="O6680" s="2"/>
      <c r="P6680" s="2"/>
      <c r="Q6680" s="2"/>
      <c r="R6680" s="2"/>
      <c r="S6680" s="2"/>
      <c r="T6680" s="2"/>
      <c r="U6680" s="2"/>
      <c r="V6680" s="2"/>
      <c r="W6680" s="2"/>
    </row>
    <row r="6681" spans="1:23" x14ac:dyDescent="0.25">
      <c r="A6681" s="2"/>
      <c r="B6681" s="2"/>
      <c r="C6681" s="1"/>
      <c r="D6681" s="2"/>
      <c r="E6681" s="2"/>
      <c r="F6681" s="2"/>
      <c r="G6681" s="2"/>
      <c r="H6681" s="2"/>
      <c r="I6681" s="2"/>
      <c r="J6681" s="2"/>
      <c r="K6681" s="2"/>
      <c r="L6681" s="2"/>
      <c r="M6681" s="2"/>
      <c r="N6681" s="2"/>
      <c r="O6681" s="2"/>
      <c r="P6681" s="2"/>
      <c r="Q6681" s="2"/>
      <c r="R6681" s="2"/>
      <c r="S6681" s="2"/>
      <c r="T6681" s="2"/>
      <c r="U6681" s="2"/>
      <c r="V6681" s="2"/>
      <c r="W6681" s="2"/>
    </row>
    <row r="6682" spans="1:23" x14ac:dyDescent="0.25">
      <c r="A6682" s="2"/>
      <c r="B6682" s="2"/>
      <c r="C6682" s="1"/>
      <c r="D6682" s="2"/>
      <c r="E6682" s="2"/>
      <c r="F6682" s="2"/>
      <c r="G6682" s="2"/>
      <c r="H6682" s="2"/>
      <c r="I6682" s="2"/>
      <c r="J6682" s="2"/>
      <c r="K6682" s="2"/>
      <c r="L6682" s="2"/>
      <c r="M6682" s="2"/>
      <c r="N6682" s="2"/>
      <c r="O6682" s="2"/>
      <c r="P6682" s="2"/>
      <c r="Q6682" s="2"/>
      <c r="R6682" s="2"/>
      <c r="S6682" s="2"/>
      <c r="T6682" s="2"/>
      <c r="U6682" s="2"/>
      <c r="V6682" s="2"/>
      <c r="W6682" s="2"/>
    </row>
    <row r="6683" spans="1:23" x14ac:dyDescent="0.25">
      <c r="A6683" s="2"/>
      <c r="B6683" s="2"/>
      <c r="C6683" s="1"/>
      <c r="D6683" s="2"/>
      <c r="E6683" s="2"/>
      <c r="F6683" s="2"/>
      <c r="G6683" s="2"/>
      <c r="H6683" s="2"/>
      <c r="I6683" s="2"/>
      <c r="J6683" s="2"/>
      <c r="K6683" s="2"/>
      <c r="L6683" s="2"/>
      <c r="M6683" s="2"/>
      <c r="N6683" s="2"/>
      <c r="O6683" s="2"/>
      <c r="P6683" s="2"/>
      <c r="Q6683" s="2"/>
      <c r="R6683" s="2"/>
      <c r="S6683" s="2"/>
      <c r="T6683" s="2"/>
      <c r="U6683" s="2"/>
      <c r="V6683" s="2"/>
      <c r="W6683" s="2"/>
    </row>
    <row r="6684" spans="1:23" x14ac:dyDescent="0.25">
      <c r="A6684" s="2"/>
      <c r="B6684" s="2"/>
      <c r="C6684" s="1"/>
      <c r="D6684" s="2"/>
      <c r="E6684" s="2"/>
      <c r="F6684" s="2"/>
      <c r="G6684" s="2"/>
      <c r="H6684" s="2"/>
      <c r="I6684" s="2"/>
      <c r="J6684" s="2"/>
      <c r="K6684" s="2"/>
      <c r="L6684" s="2"/>
      <c r="M6684" s="2"/>
      <c r="N6684" s="2"/>
      <c r="O6684" s="2"/>
      <c r="P6684" s="2"/>
      <c r="Q6684" s="2"/>
      <c r="R6684" s="2"/>
      <c r="S6684" s="2"/>
      <c r="T6684" s="2"/>
      <c r="U6684" s="2"/>
      <c r="V6684" s="2"/>
      <c r="W6684" s="2"/>
    </row>
    <row r="6685" spans="1:23" x14ac:dyDescent="0.25">
      <c r="A6685" s="2"/>
      <c r="B6685" s="2"/>
      <c r="C6685" s="1"/>
      <c r="D6685" s="2"/>
      <c r="E6685" s="2"/>
      <c r="F6685" s="2"/>
      <c r="G6685" s="2"/>
      <c r="H6685" s="2"/>
      <c r="I6685" s="2"/>
      <c r="J6685" s="2"/>
      <c r="K6685" s="2"/>
      <c r="L6685" s="2"/>
      <c r="M6685" s="2"/>
      <c r="N6685" s="2"/>
      <c r="O6685" s="2"/>
      <c r="P6685" s="2"/>
      <c r="Q6685" s="2"/>
      <c r="R6685" s="2"/>
      <c r="S6685" s="2"/>
      <c r="T6685" s="2"/>
      <c r="U6685" s="2"/>
      <c r="V6685" s="2"/>
      <c r="W6685" s="2"/>
    </row>
    <row r="6686" spans="1:23" x14ac:dyDescent="0.25">
      <c r="A6686" s="2"/>
      <c r="B6686" s="2"/>
      <c r="C6686" s="1"/>
      <c r="D6686" s="2"/>
      <c r="E6686" s="2"/>
      <c r="F6686" s="2"/>
      <c r="G6686" s="2"/>
      <c r="H6686" s="2"/>
      <c r="I6686" s="2"/>
      <c r="J6686" s="2"/>
      <c r="K6686" s="2"/>
      <c r="L6686" s="2"/>
      <c r="M6686" s="2"/>
      <c r="N6686" s="2"/>
      <c r="O6686" s="2"/>
      <c r="P6686" s="2"/>
      <c r="Q6686" s="2"/>
      <c r="R6686" s="2"/>
      <c r="S6686" s="2"/>
      <c r="T6686" s="2"/>
      <c r="U6686" s="2"/>
      <c r="V6686" s="2"/>
      <c r="W6686" s="2"/>
    </row>
    <row r="6687" spans="1:23" x14ac:dyDescent="0.25">
      <c r="A6687" s="2"/>
      <c r="B6687" s="2"/>
      <c r="C6687" s="1"/>
      <c r="D6687" s="2"/>
      <c r="E6687" s="2"/>
      <c r="F6687" s="2"/>
      <c r="G6687" s="2"/>
      <c r="H6687" s="2"/>
      <c r="I6687" s="2"/>
      <c r="J6687" s="2"/>
      <c r="K6687" s="2"/>
      <c r="L6687" s="2"/>
      <c r="M6687" s="2"/>
      <c r="N6687" s="2"/>
      <c r="O6687" s="2"/>
      <c r="P6687" s="2"/>
      <c r="Q6687" s="2"/>
      <c r="R6687" s="2"/>
      <c r="S6687" s="2"/>
      <c r="T6687" s="2"/>
      <c r="U6687" s="2"/>
      <c r="V6687" s="2"/>
      <c r="W6687" s="2"/>
    </row>
    <row r="6688" spans="1:23" x14ac:dyDescent="0.25">
      <c r="A6688" s="2"/>
      <c r="B6688" s="2"/>
      <c r="C6688" s="1"/>
      <c r="D6688" s="2"/>
      <c r="E6688" s="2"/>
      <c r="F6688" s="2"/>
      <c r="G6688" s="2"/>
      <c r="H6688" s="2"/>
      <c r="I6688" s="2"/>
      <c r="J6688" s="2"/>
      <c r="K6688" s="2"/>
      <c r="L6688" s="2"/>
      <c r="M6688" s="2"/>
      <c r="N6688" s="2"/>
      <c r="O6688" s="2"/>
      <c r="P6688" s="2"/>
      <c r="Q6688" s="2"/>
      <c r="R6688" s="2"/>
      <c r="S6688" s="2"/>
      <c r="T6688" s="2"/>
      <c r="U6688" s="2"/>
      <c r="V6688" s="2"/>
      <c r="W6688" s="2"/>
    </row>
    <row r="6689" spans="1:23" x14ac:dyDescent="0.25">
      <c r="A6689" s="2"/>
      <c r="B6689" s="2"/>
      <c r="C6689" s="1"/>
      <c r="D6689" s="2"/>
      <c r="E6689" s="2"/>
      <c r="F6689" s="2"/>
      <c r="G6689" s="2"/>
      <c r="H6689" s="2"/>
      <c r="I6689" s="2"/>
      <c r="J6689" s="2"/>
      <c r="K6689" s="2"/>
      <c r="L6689" s="2"/>
      <c r="M6689" s="2"/>
      <c r="N6689" s="2"/>
      <c r="O6689" s="2"/>
      <c r="P6689" s="2"/>
      <c r="Q6689" s="2"/>
      <c r="R6689" s="2"/>
      <c r="S6689" s="2"/>
      <c r="T6689" s="2"/>
      <c r="U6689" s="2"/>
      <c r="V6689" s="2"/>
      <c r="W6689" s="2"/>
    </row>
    <row r="6690" spans="1:23" x14ac:dyDescent="0.25">
      <c r="A6690" s="2"/>
      <c r="B6690" s="2"/>
      <c r="C6690" s="1"/>
      <c r="D6690" s="2"/>
      <c r="E6690" s="2"/>
      <c r="F6690" s="2"/>
      <c r="G6690" s="2"/>
      <c r="H6690" s="2"/>
      <c r="I6690" s="2"/>
      <c r="J6690" s="2"/>
      <c r="K6690" s="2"/>
      <c r="L6690" s="2"/>
      <c r="M6690" s="2"/>
      <c r="N6690" s="2"/>
      <c r="O6690" s="2"/>
      <c r="P6690" s="2"/>
      <c r="Q6690" s="2"/>
      <c r="R6690" s="2"/>
      <c r="S6690" s="2"/>
      <c r="T6690" s="2"/>
      <c r="U6690" s="2"/>
      <c r="V6690" s="2"/>
      <c r="W6690" s="2"/>
    </row>
    <row r="6691" spans="1:23" x14ac:dyDescent="0.25">
      <c r="A6691" s="2"/>
      <c r="B6691" s="2"/>
      <c r="C6691" s="1"/>
      <c r="D6691" s="2"/>
      <c r="E6691" s="2"/>
      <c r="F6691" s="2"/>
      <c r="G6691" s="2"/>
      <c r="H6691" s="2"/>
      <c r="I6691" s="2"/>
      <c r="J6691" s="2"/>
      <c r="K6691" s="2"/>
      <c r="L6691" s="2"/>
      <c r="M6691" s="2"/>
      <c r="N6691" s="2"/>
      <c r="O6691" s="2"/>
      <c r="P6691" s="2"/>
      <c r="Q6691" s="2"/>
      <c r="R6691" s="2"/>
      <c r="S6691" s="2"/>
      <c r="T6691" s="2"/>
      <c r="U6691" s="2"/>
      <c r="V6691" s="2"/>
      <c r="W6691" s="2"/>
    </row>
    <row r="6692" spans="1:23" x14ac:dyDescent="0.25">
      <c r="A6692" s="2"/>
      <c r="B6692" s="2"/>
      <c r="C6692" s="1"/>
      <c r="D6692" s="2"/>
      <c r="E6692" s="2"/>
      <c r="F6692" s="2"/>
      <c r="G6692" s="2"/>
      <c r="H6692" s="2"/>
      <c r="I6692" s="2"/>
      <c r="J6692" s="2"/>
      <c r="K6692" s="2"/>
      <c r="L6692" s="2"/>
      <c r="M6692" s="2"/>
      <c r="N6692" s="2"/>
      <c r="O6692" s="2"/>
      <c r="P6692" s="2"/>
      <c r="Q6692" s="2"/>
      <c r="R6692" s="2"/>
      <c r="S6692" s="2"/>
      <c r="T6692" s="2"/>
      <c r="U6692" s="2"/>
      <c r="V6692" s="2"/>
      <c r="W6692" s="2"/>
    </row>
    <row r="6693" spans="1:23" x14ac:dyDescent="0.25">
      <c r="A6693" s="2"/>
      <c r="B6693" s="2"/>
      <c r="C6693" s="1"/>
      <c r="D6693" s="2"/>
      <c r="E6693" s="2"/>
      <c r="F6693" s="2"/>
      <c r="G6693" s="2"/>
      <c r="H6693" s="2"/>
      <c r="I6693" s="2"/>
      <c r="J6693" s="2"/>
      <c r="K6693" s="2"/>
      <c r="L6693" s="2"/>
      <c r="M6693" s="2"/>
      <c r="N6693" s="2"/>
      <c r="O6693" s="2"/>
      <c r="P6693" s="2"/>
      <c r="Q6693" s="2"/>
      <c r="R6693" s="2"/>
      <c r="S6693" s="2"/>
      <c r="T6693" s="2"/>
      <c r="U6693" s="2"/>
      <c r="V6693" s="2"/>
      <c r="W6693" s="2"/>
    </row>
    <row r="6694" spans="1:23" x14ac:dyDescent="0.25">
      <c r="A6694" s="2"/>
      <c r="B6694" s="2"/>
      <c r="C6694" s="1"/>
      <c r="D6694" s="2"/>
      <c r="E6694" s="2"/>
      <c r="F6694" s="2"/>
      <c r="G6694" s="2"/>
      <c r="H6694" s="2"/>
      <c r="I6694" s="2"/>
      <c r="J6694" s="2"/>
      <c r="K6694" s="2"/>
      <c r="L6694" s="2"/>
      <c r="M6694" s="2"/>
      <c r="N6694" s="2"/>
      <c r="O6694" s="2"/>
      <c r="P6694" s="2"/>
      <c r="Q6694" s="2"/>
      <c r="R6694" s="2"/>
      <c r="S6694" s="2"/>
      <c r="T6694" s="2"/>
      <c r="U6694" s="2"/>
      <c r="V6694" s="2"/>
      <c r="W6694" s="2"/>
    </row>
    <row r="6695" spans="1:23" x14ac:dyDescent="0.25">
      <c r="A6695" s="2"/>
      <c r="B6695" s="2"/>
      <c r="C6695" s="1"/>
      <c r="D6695" s="2"/>
      <c r="E6695" s="2"/>
      <c r="F6695" s="2"/>
      <c r="G6695" s="2"/>
      <c r="H6695" s="2"/>
      <c r="I6695" s="2"/>
      <c r="J6695" s="2"/>
      <c r="K6695" s="2"/>
      <c r="L6695" s="2"/>
      <c r="M6695" s="2"/>
      <c r="N6695" s="2"/>
      <c r="O6695" s="2"/>
      <c r="P6695" s="2"/>
      <c r="Q6695" s="2"/>
      <c r="R6695" s="2"/>
      <c r="S6695" s="2"/>
      <c r="T6695" s="2"/>
      <c r="U6695" s="2"/>
      <c r="V6695" s="2"/>
      <c r="W6695" s="2"/>
    </row>
    <row r="6696" spans="1:23" x14ac:dyDescent="0.25">
      <c r="A6696" s="2"/>
      <c r="B6696" s="2"/>
      <c r="C6696" s="1"/>
      <c r="D6696" s="2"/>
      <c r="E6696" s="2"/>
      <c r="F6696" s="2"/>
      <c r="G6696" s="2"/>
      <c r="H6696" s="2"/>
      <c r="I6696" s="2"/>
      <c r="J6696" s="2"/>
      <c r="K6696" s="2"/>
      <c r="L6696" s="2"/>
      <c r="M6696" s="2"/>
      <c r="N6696" s="2"/>
      <c r="O6696" s="2"/>
      <c r="P6696" s="2"/>
      <c r="Q6696" s="2"/>
      <c r="R6696" s="2"/>
      <c r="S6696" s="2"/>
      <c r="T6696" s="2"/>
      <c r="U6696" s="2"/>
      <c r="V6696" s="2"/>
      <c r="W6696" s="2"/>
    </row>
    <row r="6697" spans="1:23" x14ac:dyDescent="0.25">
      <c r="A6697" s="2"/>
      <c r="B6697" s="2"/>
      <c r="C6697" s="1"/>
      <c r="D6697" s="2"/>
      <c r="E6697" s="2"/>
      <c r="F6697" s="2"/>
      <c r="G6697" s="2"/>
      <c r="H6697" s="2"/>
      <c r="I6697" s="2"/>
      <c r="J6697" s="2"/>
      <c r="K6697" s="2"/>
      <c r="L6697" s="2"/>
      <c r="M6697" s="2"/>
      <c r="N6697" s="2"/>
      <c r="O6697" s="2"/>
      <c r="P6697" s="2"/>
      <c r="Q6697" s="2"/>
      <c r="R6697" s="2"/>
      <c r="S6697" s="2"/>
      <c r="T6697" s="2"/>
      <c r="U6697" s="2"/>
      <c r="V6697" s="2"/>
      <c r="W6697" s="2"/>
    </row>
    <row r="6698" spans="1:23" x14ac:dyDescent="0.25">
      <c r="A6698" s="2"/>
      <c r="B6698" s="2"/>
      <c r="C6698" s="1"/>
      <c r="D6698" s="2"/>
      <c r="E6698" s="2"/>
      <c r="F6698" s="2"/>
      <c r="G6698" s="2"/>
      <c r="H6698" s="2"/>
      <c r="I6698" s="2"/>
      <c r="J6698" s="2"/>
      <c r="K6698" s="2"/>
      <c r="L6698" s="2"/>
      <c r="M6698" s="2"/>
      <c r="N6698" s="2"/>
      <c r="O6698" s="2"/>
      <c r="P6698" s="2"/>
      <c r="Q6698" s="2"/>
      <c r="R6698" s="2"/>
      <c r="S6698" s="2"/>
      <c r="T6698" s="2"/>
      <c r="U6698" s="2"/>
      <c r="V6698" s="2"/>
      <c r="W6698" s="2"/>
    </row>
    <row r="6699" spans="1:23" x14ac:dyDescent="0.25">
      <c r="A6699" s="2"/>
      <c r="B6699" s="2"/>
      <c r="C6699" s="1"/>
      <c r="D6699" s="2"/>
      <c r="E6699" s="2"/>
      <c r="F6699" s="2"/>
      <c r="G6699" s="2"/>
      <c r="H6699" s="2"/>
      <c r="I6699" s="2"/>
      <c r="J6699" s="2"/>
      <c r="K6699" s="2"/>
      <c r="L6699" s="2"/>
      <c r="M6699" s="2"/>
      <c r="N6699" s="2"/>
      <c r="O6699" s="2"/>
      <c r="P6699" s="2"/>
      <c r="Q6699" s="2"/>
      <c r="R6699" s="2"/>
      <c r="S6699" s="2"/>
      <c r="T6699" s="2"/>
      <c r="U6699" s="2"/>
      <c r="V6699" s="2"/>
      <c r="W6699" s="2"/>
    </row>
    <row r="6700" spans="1:23" x14ac:dyDescent="0.25">
      <c r="A6700" s="2"/>
      <c r="B6700" s="2"/>
      <c r="C6700" s="1"/>
      <c r="D6700" s="2"/>
      <c r="E6700" s="2"/>
      <c r="F6700" s="2"/>
      <c r="G6700" s="2"/>
      <c r="H6700" s="2"/>
      <c r="I6700" s="2"/>
      <c r="J6700" s="2"/>
      <c r="K6700" s="2"/>
      <c r="L6700" s="2"/>
      <c r="M6700" s="2"/>
      <c r="N6700" s="2"/>
      <c r="O6700" s="2"/>
      <c r="P6700" s="2"/>
      <c r="Q6700" s="2"/>
      <c r="R6700" s="2"/>
      <c r="S6700" s="2"/>
      <c r="T6700" s="2"/>
      <c r="U6700" s="2"/>
      <c r="V6700" s="2"/>
      <c r="W6700" s="2"/>
    </row>
    <row r="6701" spans="1:23" x14ac:dyDescent="0.25">
      <c r="A6701" s="2"/>
      <c r="B6701" s="2"/>
      <c r="C6701" s="1"/>
      <c r="D6701" s="2"/>
      <c r="E6701" s="2"/>
      <c r="F6701" s="2"/>
      <c r="G6701" s="2"/>
      <c r="H6701" s="2"/>
      <c r="I6701" s="2"/>
      <c r="J6701" s="2"/>
      <c r="K6701" s="2"/>
      <c r="L6701" s="2"/>
      <c r="M6701" s="2"/>
      <c r="N6701" s="2"/>
      <c r="O6701" s="2"/>
      <c r="P6701" s="2"/>
      <c r="Q6701" s="2"/>
      <c r="R6701" s="2"/>
      <c r="S6701" s="2"/>
      <c r="T6701" s="2"/>
      <c r="U6701" s="2"/>
      <c r="V6701" s="2"/>
      <c r="W6701" s="2"/>
    </row>
    <row r="6702" spans="1:23" x14ac:dyDescent="0.25">
      <c r="A6702" s="2"/>
      <c r="B6702" s="2"/>
      <c r="C6702" s="1"/>
      <c r="D6702" s="2"/>
      <c r="E6702" s="2"/>
      <c r="F6702" s="2"/>
      <c r="G6702" s="2"/>
      <c r="H6702" s="2"/>
      <c r="I6702" s="2"/>
      <c r="J6702" s="2"/>
      <c r="K6702" s="2"/>
      <c r="L6702" s="2"/>
      <c r="M6702" s="2"/>
      <c r="N6702" s="2"/>
      <c r="O6702" s="2"/>
      <c r="P6702" s="2"/>
      <c r="Q6702" s="2"/>
      <c r="R6702" s="2"/>
      <c r="S6702" s="2"/>
      <c r="T6702" s="2"/>
      <c r="U6702" s="2"/>
      <c r="V6702" s="2"/>
      <c r="W6702" s="2"/>
    </row>
    <row r="6703" spans="1:23" x14ac:dyDescent="0.25">
      <c r="A6703" s="2"/>
      <c r="B6703" s="2"/>
      <c r="C6703" s="1"/>
      <c r="D6703" s="2"/>
      <c r="E6703" s="2"/>
      <c r="F6703" s="2"/>
      <c r="G6703" s="2"/>
      <c r="H6703" s="2"/>
      <c r="I6703" s="2"/>
      <c r="J6703" s="2"/>
      <c r="K6703" s="2"/>
      <c r="L6703" s="2"/>
      <c r="M6703" s="2"/>
      <c r="N6703" s="2"/>
      <c r="O6703" s="2"/>
      <c r="P6703" s="2"/>
      <c r="Q6703" s="2"/>
      <c r="R6703" s="2"/>
      <c r="S6703" s="2"/>
      <c r="T6703" s="2"/>
      <c r="U6703" s="2"/>
      <c r="V6703" s="2"/>
      <c r="W6703" s="2"/>
    </row>
    <row r="6704" spans="1:23" x14ac:dyDescent="0.25">
      <c r="A6704" s="2"/>
      <c r="B6704" s="2"/>
      <c r="C6704" s="1"/>
      <c r="D6704" s="2"/>
      <c r="E6704" s="2"/>
      <c r="F6704" s="2"/>
      <c r="G6704" s="2"/>
      <c r="H6704" s="2"/>
      <c r="I6704" s="2"/>
      <c r="J6704" s="2"/>
      <c r="K6704" s="2"/>
      <c r="L6704" s="2"/>
      <c r="M6704" s="2"/>
      <c r="N6704" s="2"/>
      <c r="O6704" s="2"/>
      <c r="P6704" s="2"/>
      <c r="Q6704" s="2"/>
      <c r="R6704" s="2"/>
      <c r="S6704" s="2"/>
      <c r="T6704" s="2"/>
      <c r="U6704" s="2"/>
      <c r="V6704" s="2"/>
      <c r="W6704" s="2"/>
    </row>
    <row r="6705" spans="1:23" x14ac:dyDescent="0.25">
      <c r="A6705" s="2"/>
      <c r="B6705" s="2"/>
      <c r="C6705" s="1"/>
      <c r="D6705" s="2"/>
      <c r="E6705" s="2"/>
      <c r="F6705" s="2"/>
      <c r="G6705" s="2"/>
      <c r="H6705" s="2"/>
      <c r="I6705" s="2"/>
      <c r="J6705" s="2"/>
      <c r="K6705" s="2"/>
      <c r="L6705" s="2"/>
      <c r="M6705" s="2"/>
      <c r="N6705" s="2"/>
      <c r="O6705" s="2"/>
      <c r="P6705" s="2"/>
      <c r="Q6705" s="2"/>
      <c r="R6705" s="2"/>
      <c r="S6705" s="2"/>
      <c r="T6705" s="2"/>
      <c r="U6705" s="2"/>
      <c r="V6705" s="2"/>
      <c r="W6705" s="2"/>
    </row>
    <row r="6706" spans="1:23" x14ac:dyDescent="0.25">
      <c r="A6706" s="2"/>
      <c r="B6706" s="2"/>
      <c r="C6706" s="1"/>
      <c r="D6706" s="2"/>
      <c r="E6706" s="2"/>
      <c r="F6706" s="2"/>
      <c r="G6706" s="2"/>
      <c r="H6706" s="2"/>
      <c r="I6706" s="2"/>
      <c r="J6706" s="2"/>
      <c r="K6706" s="2"/>
      <c r="L6706" s="2"/>
      <c r="M6706" s="2"/>
      <c r="N6706" s="2"/>
      <c r="O6706" s="2"/>
      <c r="P6706" s="2"/>
      <c r="Q6706" s="2"/>
      <c r="R6706" s="2"/>
      <c r="S6706" s="2"/>
      <c r="T6706" s="2"/>
      <c r="U6706" s="2"/>
      <c r="V6706" s="2"/>
      <c r="W6706" s="2"/>
    </row>
    <row r="6707" spans="1:23" x14ac:dyDescent="0.25">
      <c r="A6707" s="2"/>
      <c r="B6707" s="2"/>
      <c r="C6707" s="1"/>
      <c r="D6707" s="2"/>
      <c r="E6707" s="2"/>
      <c r="F6707" s="2"/>
      <c r="G6707" s="2"/>
      <c r="H6707" s="2"/>
      <c r="I6707" s="2"/>
      <c r="J6707" s="2"/>
      <c r="K6707" s="2"/>
      <c r="L6707" s="2"/>
      <c r="M6707" s="2"/>
      <c r="N6707" s="2"/>
      <c r="O6707" s="2"/>
      <c r="P6707" s="2"/>
      <c r="Q6707" s="2"/>
      <c r="R6707" s="2"/>
      <c r="S6707" s="2"/>
      <c r="T6707" s="2"/>
      <c r="U6707" s="2"/>
      <c r="V6707" s="2"/>
      <c r="W6707" s="2"/>
    </row>
    <row r="6708" spans="1:23" x14ac:dyDescent="0.25">
      <c r="A6708" s="2"/>
      <c r="B6708" s="2"/>
      <c r="C6708" s="1"/>
      <c r="D6708" s="2"/>
      <c r="E6708" s="2"/>
      <c r="F6708" s="2"/>
      <c r="G6708" s="2"/>
      <c r="H6708" s="2"/>
      <c r="I6708" s="2"/>
      <c r="J6708" s="2"/>
      <c r="K6708" s="2"/>
      <c r="L6708" s="2"/>
      <c r="M6708" s="2"/>
      <c r="N6708" s="2"/>
      <c r="O6708" s="2"/>
      <c r="P6708" s="2"/>
      <c r="Q6708" s="2"/>
      <c r="R6708" s="2"/>
      <c r="S6708" s="2"/>
      <c r="T6708" s="2"/>
      <c r="U6708" s="2"/>
      <c r="V6708" s="2"/>
      <c r="W6708" s="2"/>
    </row>
    <row r="6709" spans="1:23" x14ac:dyDescent="0.25">
      <c r="A6709" s="2"/>
      <c r="B6709" s="2"/>
      <c r="C6709" s="1"/>
      <c r="D6709" s="2"/>
      <c r="E6709" s="2"/>
      <c r="F6709" s="2"/>
      <c r="G6709" s="2"/>
      <c r="H6709" s="2"/>
      <c r="I6709" s="2"/>
      <c r="J6709" s="2"/>
      <c r="K6709" s="2"/>
      <c r="L6709" s="2"/>
      <c r="M6709" s="2"/>
      <c r="N6709" s="2"/>
      <c r="O6709" s="2"/>
      <c r="P6709" s="2"/>
      <c r="Q6709" s="2"/>
      <c r="R6709" s="2"/>
      <c r="S6709" s="2"/>
      <c r="T6709" s="2"/>
      <c r="U6709" s="2"/>
      <c r="V6709" s="2"/>
      <c r="W6709" s="2"/>
    </row>
    <row r="6710" spans="1:23" x14ac:dyDescent="0.25">
      <c r="A6710" s="2"/>
      <c r="B6710" s="2"/>
      <c r="C6710" s="1"/>
      <c r="D6710" s="2"/>
      <c r="E6710" s="2"/>
      <c r="F6710" s="2"/>
      <c r="G6710" s="2"/>
      <c r="H6710" s="2"/>
      <c r="I6710" s="2"/>
      <c r="J6710" s="2"/>
      <c r="K6710" s="2"/>
      <c r="L6710" s="2"/>
      <c r="M6710" s="2"/>
      <c r="N6710" s="2"/>
      <c r="O6710" s="2"/>
      <c r="P6710" s="2"/>
      <c r="Q6710" s="2"/>
      <c r="R6710" s="2"/>
      <c r="S6710" s="2"/>
      <c r="T6710" s="2"/>
      <c r="U6710" s="2"/>
      <c r="V6710" s="2"/>
      <c r="W6710" s="2"/>
    </row>
    <row r="6711" spans="1:23" x14ac:dyDescent="0.25">
      <c r="A6711" s="2"/>
      <c r="B6711" s="2"/>
      <c r="C6711" s="1"/>
      <c r="D6711" s="2"/>
      <c r="E6711" s="2"/>
      <c r="F6711" s="2"/>
      <c r="G6711" s="2"/>
      <c r="H6711" s="2"/>
      <c r="I6711" s="2"/>
      <c r="J6711" s="2"/>
      <c r="K6711" s="2"/>
      <c r="L6711" s="2"/>
      <c r="M6711" s="2"/>
      <c r="N6711" s="2"/>
      <c r="O6711" s="2"/>
      <c r="P6711" s="2"/>
      <c r="Q6711" s="2"/>
      <c r="R6711" s="2"/>
      <c r="S6711" s="2"/>
      <c r="T6711" s="2"/>
      <c r="U6711" s="2"/>
      <c r="V6711" s="2"/>
      <c r="W6711" s="2"/>
    </row>
    <row r="6712" spans="1:23" x14ac:dyDescent="0.25">
      <c r="A6712" s="2"/>
      <c r="B6712" s="2"/>
      <c r="C6712" s="1"/>
      <c r="D6712" s="2"/>
      <c r="E6712" s="2"/>
      <c r="F6712" s="2"/>
      <c r="G6712" s="2"/>
      <c r="H6712" s="2"/>
      <c r="I6712" s="2"/>
      <c r="J6712" s="2"/>
      <c r="K6712" s="2"/>
      <c r="L6712" s="2"/>
      <c r="M6712" s="2"/>
      <c r="N6712" s="2"/>
      <c r="O6712" s="2"/>
      <c r="P6712" s="2"/>
      <c r="Q6712" s="2"/>
      <c r="R6712" s="2"/>
      <c r="S6712" s="2"/>
      <c r="T6712" s="2"/>
      <c r="U6712" s="2"/>
      <c r="V6712" s="2"/>
      <c r="W6712" s="2"/>
    </row>
    <row r="6713" spans="1:23" x14ac:dyDescent="0.25">
      <c r="A6713" s="2"/>
      <c r="B6713" s="2"/>
      <c r="C6713" s="1"/>
      <c r="D6713" s="2"/>
      <c r="E6713" s="2"/>
      <c r="F6713" s="2"/>
      <c r="G6713" s="2"/>
      <c r="H6713" s="2"/>
      <c r="I6713" s="2"/>
      <c r="J6713" s="2"/>
      <c r="K6713" s="2"/>
      <c r="L6713" s="2"/>
      <c r="M6713" s="2"/>
      <c r="N6713" s="2"/>
      <c r="O6713" s="2"/>
      <c r="P6713" s="2"/>
      <c r="Q6713" s="2"/>
      <c r="R6713" s="2"/>
      <c r="S6713" s="2"/>
      <c r="T6713" s="2"/>
      <c r="U6713" s="2"/>
      <c r="V6713" s="2"/>
      <c r="W6713" s="2"/>
    </row>
    <row r="6714" spans="1:23" x14ac:dyDescent="0.25">
      <c r="A6714" s="2"/>
      <c r="B6714" s="2"/>
      <c r="C6714" s="1"/>
      <c r="D6714" s="2"/>
      <c r="E6714" s="2"/>
      <c r="F6714" s="2"/>
      <c r="G6714" s="2"/>
      <c r="H6714" s="2"/>
      <c r="I6714" s="2"/>
      <c r="J6714" s="2"/>
      <c r="K6714" s="2"/>
      <c r="L6714" s="2"/>
      <c r="M6714" s="2"/>
      <c r="N6714" s="2"/>
      <c r="O6714" s="2"/>
      <c r="P6714" s="2"/>
      <c r="Q6714" s="2"/>
      <c r="R6714" s="2"/>
      <c r="S6714" s="2"/>
      <c r="T6714" s="2"/>
      <c r="U6714" s="2"/>
      <c r="V6714" s="2"/>
      <c r="W6714" s="2"/>
    </row>
    <row r="6715" spans="1:23" x14ac:dyDescent="0.25">
      <c r="A6715" s="2"/>
      <c r="B6715" s="2"/>
      <c r="C6715" s="1"/>
      <c r="D6715" s="2"/>
      <c r="E6715" s="2"/>
      <c r="F6715" s="2"/>
      <c r="G6715" s="2"/>
      <c r="H6715" s="2"/>
      <c r="I6715" s="2"/>
      <c r="J6715" s="2"/>
      <c r="K6715" s="2"/>
      <c r="L6715" s="2"/>
      <c r="M6715" s="2"/>
      <c r="N6715" s="2"/>
      <c r="O6715" s="2"/>
      <c r="P6715" s="2"/>
      <c r="Q6715" s="2"/>
      <c r="R6715" s="2"/>
      <c r="S6715" s="2"/>
      <c r="T6715" s="2"/>
      <c r="U6715" s="2"/>
      <c r="V6715" s="2"/>
      <c r="W6715" s="2"/>
    </row>
    <row r="6716" spans="1:23" x14ac:dyDescent="0.25">
      <c r="A6716" s="2"/>
      <c r="B6716" s="2"/>
      <c r="C6716" s="1"/>
      <c r="D6716" s="2"/>
      <c r="E6716" s="2"/>
      <c r="F6716" s="2"/>
      <c r="G6716" s="2"/>
      <c r="H6716" s="2"/>
      <c r="I6716" s="2"/>
      <c r="J6716" s="2"/>
      <c r="K6716" s="2"/>
      <c r="L6716" s="2"/>
      <c r="M6716" s="2"/>
      <c r="N6716" s="2"/>
      <c r="O6716" s="2"/>
      <c r="P6716" s="2"/>
      <c r="Q6716" s="2"/>
      <c r="R6716" s="2"/>
      <c r="S6716" s="2"/>
      <c r="T6716" s="2"/>
      <c r="U6716" s="2"/>
      <c r="V6716" s="2"/>
      <c r="W6716" s="2"/>
    </row>
    <row r="6717" spans="1:23" x14ac:dyDescent="0.25">
      <c r="A6717" s="2"/>
      <c r="B6717" s="2"/>
      <c r="C6717" s="1"/>
      <c r="D6717" s="2"/>
      <c r="E6717" s="2"/>
      <c r="F6717" s="2"/>
      <c r="G6717" s="2"/>
      <c r="H6717" s="2"/>
      <c r="I6717" s="2"/>
      <c r="J6717" s="2"/>
      <c r="K6717" s="2"/>
      <c r="L6717" s="2"/>
      <c r="M6717" s="2"/>
      <c r="N6717" s="2"/>
      <c r="O6717" s="2"/>
      <c r="P6717" s="2"/>
      <c r="Q6717" s="2"/>
      <c r="R6717" s="2"/>
      <c r="S6717" s="2"/>
      <c r="T6717" s="2"/>
      <c r="U6717" s="2"/>
      <c r="V6717" s="2"/>
      <c r="W6717" s="2"/>
    </row>
    <row r="6718" spans="1:23" x14ac:dyDescent="0.25">
      <c r="A6718" s="2"/>
      <c r="B6718" s="2"/>
      <c r="C6718" s="1"/>
      <c r="D6718" s="2"/>
      <c r="E6718" s="2"/>
      <c r="F6718" s="2"/>
      <c r="G6718" s="2"/>
      <c r="H6718" s="2"/>
      <c r="I6718" s="2"/>
      <c r="J6718" s="2"/>
      <c r="K6718" s="2"/>
      <c r="L6718" s="2"/>
      <c r="M6718" s="2"/>
      <c r="N6718" s="2"/>
      <c r="O6718" s="2"/>
      <c r="P6718" s="2"/>
      <c r="Q6718" s="2"/>
      <c r="R6718" s="2"/>
      <c r="S6718" s="2"/>
      <c r="T6718" s="2"/>
      <c r="U6718" s="2"/>
      <c r="V6718" s="2"/>
      <c r="W6718" s="2"/>
    </row>
    <row r="6719" spans="1:23" x14ac:dyDescent="0.25">
      <c r="A6719" s="2"/>
      <c r="B6719" s="2"/>
      <c r="C6719" s="1"/>
      <c r="D6719" s="2"/>
      <c r="E6719" s="2"/>
      <c r="F6719" s="2"/>
      <c r="G6719" s="2"/>
      <c r="H6719" s="2"/>
      <c r="I6719" s="2"/>
      <c r="J6719" s="2"/>
      <c r="K6719" s="2"/>
      <c r="L6719" s="2"/>
      <c r="M6719" s="2"/>
      <c r="N6719" s="2"/>
      <c r="O6719" s="2"/>
      <c r="P6719" s="2"/>
      <c r="Q6719" s="2"/>
      <c r="R6719" s="2"/>
      <c r="S6719" s="2"/>
      <c r="T6719" s="2"/>
      <c r="U6719" s="2"/>
      <c r="V6719" s="2"/>
      <c r="W6719" s="2"/>
    </row>
    <row r="6720" spans="1:23" x14ac:dyDescent="0.25">
      <c r="A6720" s="2"/>
      <c r="B6720" s="2"/>
      <c r="C6720" s="1"/>
      <c r="D6720" s="2"/>
      <c r="E6720" s="2"/>
      <c r="F6720" s="2"/>
      <c r="G6720" s="2"/>
      <c r="H6720" s="2"/>
      <c r="I6720" s="2"/>
      <c r="J6720" s="2"/>
      <c r="K6720" s="2"/>
      <c r="L6720" s="2"/>
      <c r="M6720" s="2"/>
      <c r="N6720" s="2"/>
      <c r="O6720" s="2"/>
      <c r="P6720" s="2"/>
      <c r="Q6720" s="2"/>
      <c r="R6720" s="2"/>
      <c r="S6720" s="2"/>
      <c r="T6720" s="2"/>
      <c r="U6720" s="2"/>
      <c r="V6720" s="2"/>
      <c r="W6720" s="2"/>
    </row>
    <row r="6721" spans="1:23" x14ac:dyDescent="0.25">
      <c r="A6721" s="2"/>
      <c r="B6721" s="2"/>
      <c r="C6721" s="1"/>
      <c r="D6721" s="2"/>
      <c r="E6721" s="2"/>
      <c r="F6721" s="2"/>
      <c r="G6721" s="2"/>
      <c r="H6721" s="2"/>
      <c r="I6721" s="2"/>
      <c r="J6721" s="2"/>
      <c r="K6721" s="2"/>
      <c r="L6721" s="2"/>
      <c r="M6721" s="2"/>
      <c r="N6721" s="2"/>
      <c r="O6721" s="2"/>
      <c r="P6721" s="2"/>
      <c r="Q6721" s="2"/>
      <c r="R6721" s="2"/>
      <c r="S6721" s="2"/>
      <c r="T6721" s="2"/>
      <c r="U6721" s="2"/>
      <c r="V6721" s="2"/>
      <c r="W6721" s="2"/>
    </row>
    <row r="6722" spans="1:23" x14ac:dyDescent="0.25">
      <c r="A6722" s="2"/>
      <c r="B6722" s="2"/>
      <c r="C6722" s="1"/>
      <c r="D6722" s="2"/>
      <c r="E6722" s="2"/>
      <c r="F6722" s="2"/>
      <c r="G6722" s="2"/>
      <c r="H6722" s="2"/>
      <c r="I6722" s="2"/>
      <c r="J6722" s="2"/>
      <c r="K6722" s="2"/>
      <c r="L6722" s="2"/>
      <c r="M6722" s="2"/>
      <c r="N6722" s="2"/>
      <c r="O6722" s="2"/>
      <c r="P6722" s="2"/>
      <c r="Q6722" s="2"/>
      <c r="R6722" s="2"/>
      <c r="S6722" s="2"/>
      <c r="T6722" s="2"/>
      <c r="U6722" s="2"/>
      <c r="V6722" s="2"/>
      <c r="W6722" s="2"/>
    </row>
    <row r="6723" spans="1:23" x14ac:dyDescent="0.25">
      <c r="A6723" s="2"/>
      <c r="B6723" s="2"/>
      <c r="C6723" s="1"/>
      <c r="D6723" s="2"/>
      <c r="E6723" s="2"/>
      <c r="F6723" s="2"/>
      <c r="G6723" s="2"/>
      <c r="H6723" s="2"/>
      <c r="I6723" s="2"/>
      <c r="J6723" s="2"/>
      <c r="K6723" s="2"/>
      <c r="L6723" s="2"/>
      <c r="M6723" s="2"/>
      <c r="N6723" s="2"/>
      <c r="O6723" s="2"/>
      <c r="P6723" s="2"/>
      <c r="Q6723" s="2"/>
      <c r="R6723" s="2"/>
      <c r="S6723" s="2"/>
      <c r="T6723" s="2"/>
      <c r="U6723" s="2"/>
      <c r="V6723" s="2"/>
      <c r="W6723" s="2"/>
    </row>
    <row r="6724" spans="1:23" x14ac:dyDescent="0.25">
      <c r="A6724" s="2"/>
      <c r="B6724" s="2"/>
      <c r="C6724" s="1"/>
      <c r="D6724" s="2"/>
      <c r="E6724" s="2"/>
      <c r="F6724" s="2"/>
      <c r="G6724" s="2"/>
      <c r="H6724" s="2"/>
      <c r="I6724" s="2"/>
      <c r="J6724" s="2"/>
      <c r="K6724" s="2"/>
      <c r="L6724" s="2"/>
      <c r="M6724" s="2"/>
      <c r="N6724" s="2"/>
      <c r="O6724" s="2"/>
      <c r="P6724" s="2"/>
      <c r="Q6724" s="2"/>
      <c r="R6724" s="2"/>
      <c r="S6724" s="2"/>
      <c r="T6724" s="2"/>
      <c r="U6724" s="2"/>
      <c r="V6724" s="2"/>
      <c r="W6724" s="2"/>
    </row>
    <row r="6725" spans="1:23" x14ac:dyDescent="0.25">
      <c r="A6725" s="2"/>
      <c r="B6725" s="2"/>
      <c r="C6725" s="1"/>
      <c r="D6725" s="2"/>
      <c r="E6725" s="2"/>
      <c r="F6725" s="2"/>
      <c r="G6725" s="2"/>
      <c r="H6725" s="2"/>
      <c r="I6725" s="2"/>
      <c r="J6725" s="2"/>
      <c r="K6725" s="2"/>
      <c r="L6725" s="2"/>
      <c r="M6725" s="2"/>
      <c r="N6725" s="2"/>
      <c r="O6725" s="2"/>
      <c r="P6725" s="2"/>
      <c r="Q6725" s="2"/>
      <c r="R6725" s="2"/>
      <c r="S6725" s="2"/>
      <c r="T6725" s="2"/>
      <c r="U6725" s="2"/>
      <c r="V6725" s="2"/>
      <c r="W6725" s="2"/>
    </row>
    <row r="6726" spans="1:23" x14ac:dyDescent="0.25">
      <c r="A6726" s="2"/>
      <c r="B6726" s="2"/>
      <c r="C6726" s="1"/>
      <c r="D6726" s="2"/>
      <c r="E6726" s="2"/>
      <c r="F6726" s="2"/>
      <c r="G6726" s="2"/>
      <c r="H6726" s="2"/>
      <c r="I6726" s="2"/>
      <c r="J6726" s="2"/>
      <c r="K6726" s="2"/>
      <c r="L6726" s="2"/>
      <c r="M6726" s="2"/>
      <c r="N6726" s="2"/>
      <c r="O6726" s="2"/>
      <c r="P6726" s="2"/>
      <c r="Q6726" s="2"/>
      <c r="R6726" s="2"/>
      <c r="S6726" s="2"/>
      <c r="T6726" s="2"/>
      <c r="U6726" s="2"/>
      <c r="V6726" s="2"/>
      <c r="W6726" s="2"/>
    </row>
    <row r="6727" spans="1:23" x14ac:dyDescent="0.25">
      <c r="A6727" s="2"/>
      <c r="B6727" s="2"/>
      <c r="C6727" s="1"/>
      <c r="D6727" s="2"/>
      <c r="E6727" s="2"/>
      <c r="F6727" s="2"/>
      <c r="G6727" s="2"/>
      <c r="H6727" s="2"/>
      <c r="I6727" s="2"/>
      <c r="J6727" s="2"/>
      <c r="K6727" s="2"/>
      <c r="L6727" s="2"/>
      <c r="M6727" s="2"/>
      <c r="N6727" s="2"/>
      <c r="O6727" s="2"/>
      <c r="P6727" s="2"/>
      <c r="Q6727" s="2"/>
      <c r="R6727" s="2"/>
      <c r="S6727" s="2"/>
      <c r="T6727" s="2"/>
      <c r="U6727" s="2"/>
      <c r="V6727" s="2"/>
      <c r="W6727" s="2"/>
    </row>
    <row r="6728" spans="1:23" x14ac:dyDescent="0.25">
      <c r="A6728" s="2"/>
      <c r="B6728" s="2"/>
      <c r="C6728" s="1"/>
      <c r="D6728" s="2"/>
      <c r="E6728" s="2"/>
      <c r="F6728" s="2"/>
      <c r="G6728" s="2"/>
      <c r="H6728" s="2"/>
      <c r="I6728" s="2"/>
      <c r="J6728" s="2"/>
      <c r="K6728" s="2"/>
      <c r="L6728" s="2"/>
      <c r="M6728" s="2"/>
      <c r="N6728" s="2"/>
      <c r="O6728" s="2"/>
      <c r="P6728" s="2"/>
      <c r="Q6728" s="2"/>
      <c r="R6728" s="2"/>
      <c r="S6728" s="2"/>
      <c r="T6728" s="2"/>
      <c r="U6728" s="2"/>
      <c r="V6728" s="2"/>
      <c r="W6728" s="2"/>
    </row>
    <row r="6729" spans="1:23" x14ac:dyDescent="0.25">
      <c r="A6729" s="2"/>
      <c r="B6729" s="2"/>
      <c r="C6729" s="1"/>
      <c r="D6729" s="2"/>
      <c r="E6729" s="2"/>
      <c r="F6729" s="2"/>
      <c r="G6729" s="2"/>
      <c r="H6729" s="2"/>
      <c r="I6729" s="2"/>
      <c r="J6729" s="2"/>
      <c r="K6729" s="2"/>
      <c r="L6729" s="2"/>
      <c r="M6729" s="2"/>
      <c r="N6729" s="2"/>
      <c r="O6729" s="2"/>
      <c r="P6729" s="2"/>
      <c r="Q6729" s="2"/>
      <c r="R6729" s="2"/>
      <c r="S6729" s="2"/>
      <c r="T6729" s="2"/>
      <c r="U6729" s="2"/>
      <c r="V6729" s="2"/>
      <c r="W6729" s="2"/>
    </row>
    <row r="6730" spans="1:23" x14ac:dyDescent="0.25">
      <c r="A6730" s="2"/>
      <c r="B6730" s="2"/>
      <c r="C6730" s="1"/>
      <c r="D6730" s="2"/>
      <c r="E6730" s="2"/>
      <c r="F6730" s="2"/>
      <c r="G6730" s="2"/>
      <c r="H6730" s="2"/>
      <c r="I6730" s="2"/>
      <c r="J6730" s="2"/>
      <c r="K6730" s="2"/>
      <c r="L6730" s="2"/>
      <c r="M6730" s="2"/>
      <c r="N6730" s="2"/>
      <c r="O6730" s="2"/>
      <c r="P6730" s="2"/>
      <c r="Q6730" s="2"/>
      <c r="R6730" s="2"/>
      <c r="S6730" s="2"/>
      <c r="T6730" s="2"/>
      <c r="U6730" s="2"/>
      <c r="V6730" s="2"/>
      <c r="W6730" s="2"/>
    </row>
    <row r="6731" spans="1:23" x14ac:dyDescent="0.25">
      <c r="A6731" s="2"/>
      <c r="B6731" s="2"/>
      <c r="C6731" s="1"/>
      <c r="D6731" s="2"/>
      <c r="E6731" s="2"/>
      <c r="F6731" s="2"/>
      <c r="G6731" s="2"/>
      <c r="H6731" s="2"/>
      <c r="I6731" s="2"/>
      <c r="J6731" s="2"/>
      <c r="K6731" s="2"/>
      <c r="L6731" s="2"/>
      <c r="M6731" s="2"/>
      <c r="N6731" s="2"/>
      <c r="O6731" s="2"/>
      <c r="P6731" s="2"/>
      <c r="Q6731" s="2"/>
      <c r="R6731" s="2"/>
      <c r="S6731" s="2"/>
      <c r="T6731" s="2"/>
      <c r="U6731" s="2"/>
      <c r="V6731" s="2"/>
      <c r="W6731" s="2"/>
    </row>
    <row r="6732" spans="1:23" x14ac:dyDescent="0.25">
      <c r="A6732" s="2"/>
      <c r="B6732" s="2"/>
      <c r="C6732" s="1"/>
      <c r="D6732" s="2"/>
      <c r="E6732" s="2"/>
      <c r="F6732" s="2"/>
      <c r="G6732" s="2"/>
      <c r="H6732" s="2"/>
      <c r="I6732" s="2"/>
      <c r="J6732" s="2"/>
      <c r="K6732" s="2"/>
      <c r="L6732" s="2"/>
      <c r="M6732" s="2"/>
      <c r="N6732" s="2"/>
      <c r="O6732" s="2"/>
      <c r="P6732" s="2"/>
      <c r="Q6732" s="2"/>
      <c r="R6732" s="2"/>
      <c r="S6732" s="2"/>
      <c r="T6732" s="2"/>
      <c r="U6732" s="2"/>
      <c r="V6732" s="2"/>
      <c r="W6732" s="2"/>
    </row>
    <row r="6733" spans="1:23" x14ac:dyDescent="0.25">
      <c r="A6733" s="2"/>
      <c r="B6733" s="2"/>
      <c r="C6733" s="1"/>
      <c r="D6733" s="2"/>
      <c r="E6733" s="2"/>
      <c r="F6733" s="2"/>
      <c r="G6733" s="2"/>
      <c r="H6733" s="2"/>
      <c r="I6733" s="2"/>
      <c r="J6733" s="2"/>
      <c r="K6733" s="2"/>
      <c r="L6733" s="2"/>
      <c r="M6733" s="2"/>
      <c r="N6733" s="2"/>
      <c r="O6733" s="2"/>
      <c r="P6733" s="2"/>
      <c r="Q6733" s="2"/>
      <c r="R6733" s="2"/>
      <c r="S6733" s="2"/>
      <c r="T6733" s="2"/>
      <c r="U6733" s="2"/>
      <c r="V6733" s="2"/>
      <c r="W6733" s="2"/>
    </row>
    <row r="6734" spans="1:23" x14ac:dyDescent="0.25">
      <c r="A6734" s="2"/>
      <c r="B6734" s="2"/>
      <c r="C6734" s="1"/>
      <c r="D6734" s="2"/>
      <c r="E6734" s="2"/>
      <c r="F6734" s="2"/>
      <c r="G6734" s="2"/>
      <c r="H6734" s="2"/>
      <c r="I6734" s="2"/>
      <c r="J6734" s="2"/>
      <c r="K6734" s="2"/>
      <c r="L6734" s="2"/>
      <c r="M6734" s="2"/>
      <c r="N6734" s="2"/>
      <c r="O6734" s="2"/>
      <c r="P6734" s="2"/>
      <c r="Q6734" s="2"/>
      <c r="R6734" s="2"/>
      <c r="S6734" s="2"/>
      <c r="T6734" s="2"/>
      <c r="U6734" s="2"/>
      <c r="V6734" s="2"/>
      <c r="W6734" s="2"/>
    </row>
    <row r="6735" spans="1:23" x14ac:dyDescent="0.25">
      <c r="A6735" s="2"/>
      <c r="B6735" s="2"/>
      <c r="C6735" s="1"/>
      <c r="D6735" s="2"/>
      <c r="E6735" s="2"/>
      <c r="F6735" s="2"/>
      <c r="G6735" s="2"/>
      <c r="H6735" s="2"/>
      <c r="I6735" s="2"/>
      <c r="J6735" s="2"/>
      <c r="K6735" s="2"/>
      <c r="L6735" s="2"/>
      <c r="M6735" s="2"/>
      <c r="N6735" s="2"/>
      <c r="O6735" s="2"/>
      <c r="P6735" s="2"/>
      <c r="Q6735" s="2"/>
      <c r="R6735" s="2"/>
      <c r="S6735" s="2"/>
      <c r="T6735" s="2"/>
      <c r="U6735" s="2"/>
      <c r="V6735" s="2"/>
      <c r="W6735" s="2"/>
    </row>
    <row r="6736" spans="1:23" x14ac:dyDescent="0.25">
      <c r="A6736" s="2"/>
      <c r="B6736" s="2"/>
      <c r="C6736" s="1"/>
      <c r="D6736" s="2"/>
      <c r="E6736" s="2"/>
      <c r="F6736" s="2"/>
      <c r="G6736" s="2"/>
      <c r="H6736" s="2"/>
      <c r="I6736" s="2"/>
      <c r="J6736" s="2"/>
      <c r="K6736" s="2"/>
      <c r="L6736" s="2"/>
      <c r="M6736" s="2"/>
      <c r="N6736" s="2"/>
      <c r="O6736" s="2"/>
      <c r="P6736" s="2"/>
      <c r="Q6736" s="2"/>
      <c r="R6736" s="2"/>
      <c r="S6736" s="2"/>
      <c r="T6736" s="2"/>
      <c r="U6736" s="2"/>
      <c r="V6736" s="2"/>
      <c r="W6736" s="2"/>
    </row>
    <row r="6737" spans="1:23" x14ac:dyDescent="0.25">
      <c r="A6737" s="2"/>
      <c r="B6737" s="2"/>
      <c r="C6737" s="1"/>
      <c r="D6737" s="2"/>
      <c r="E6737" s="2"/>
      <c r="F6737" s="2"/>
      <c r="G6737" s="2"/>
      <c r="H6737" s="2"/>
      <c r="I6737" s="2"/>
      <c r="J6737" s="2"/>
      <c r="K6737" s="2"/>
      <c r="L6737" s="2"/>
      <c r="M6737" s="2"/>
      <c r="N6737" s="2"/>
      <c r="O6737" s="2"/>
      <c r="P6737" s="2"/>
      <c r="Q6737" s="2"/>
      <c r="R6737" s="2"/>
      <c r="S6737" s="2"/>
      <c r="T6737" s="2"/>
      <c r="U6737" s="2"/>
      <c r="V6737" s="2"/>
      <c r="W6737" s="2"/>
    </row>
    <row r="6738" spans="1:23" x14ac:dyDescent="0.25">
      <c r="A6738" s="2"/>
      <c r="B6738" s="2"/>
      <c r="C6738" s="1"/>
      <c r="D6738" s="2"/>
      <c r="E6738" s="2"/>
      <c r="F6738" s="2"/>
      <c r="G6738" s="2"/>
      <c r="H6738" s="2"/>
      <c r="I6738" s="2"/>
      <c r="J6738" s="2"/>
      <c r="K6738" s="2"/>
      <c r="L6738" s="2"/>
      <c r="M6738" s="2"/>
      <c r="N6738" s="2"/>
      <c r="O6738" s="2"/>
      <c r="P6738" s="2"/>
      <c r="Q6738" s="2"/>
      <c r="R6738" s="2"/>
      <c r="S6738" s="2"/>
      <c r="T6738" s="2"/>
      <c r="U6738" s="2"/>
      <c r="V6738" s="2"/>
      <c r="W6738" s="2"/>
    </row>
    <row r="6739" spans="1:23" x14ac:dyDescent="0.25">
      <c r="A6739" s="2"/>
      <c r="B6739" s="2"/>
      <c r="C6739" s="1"/>
      <c r="D6739" s="2"/>
      <c r="E6739" s="2"/>
      <c r="F6739" s="2"/>
      <c r="G6739" s="2"/>
      <c r="H6739" s="2"/>
      <c r="I6739" s="2"/>
      <c r="J6739" s="2"/>
      <c r="K6739" s="2"/>
      <c r="L6739" s="2"/>
      <c r="M6739" s="2"/>
      <c r="N6739" s="2"/>
      <c r="O6739" s="2"/>
      <c r="P6739" s="2"/>
      <c r="Q6739" s="2"/>
      <c r="R6739" s="2"/>
      <c r="S6739" s="2"/>
      <c r="T6739" s="2"/>
      <c r="U6739" s="2"/>
      <c r="V6739" s="2"/>
      <c r="W6739" s="2"/>
    </row>
    <row r="6740" spans="1:23" x14ac:dyDescent="0.25">
      <c r="A6740" s="2"/>
      <c r="B6740" s="2"/>
      <c r="C6740" s="1"/>
      <c r="D6740" s="2"/>
      <c r="E6740" s="2"/>
      <c r="F6740" s="2"/>
      <c r="G6740" s="2"/>
      <c r="H6740" s="2"/>
      <c r="I6740" s="2"/>
      <c r="J6740" s="2"/>
      <c r="K6740" s="2"/>
      <c r="L6740" s="2"/>
      <c r="M6740" s="2"/>
      <c r="N6740" s="2"/>
      <c r="O6740" s="2"/>
      <c r="P6740" s="2"/>
      <c r="Q6740" s="2"/>
      <c r="R6740" s="2"/>
      <c r="S6740" s="2"/>
      <c r="T6740" s="2"/>
      <c r="U6740" s="2"/>
      <c r="V6740" s="2"/>
      <c r="W6740" s="2"/>
    </row>
    <row r="6741" spans="1:23" x14ac:dyDescent="0.25">
      <c r="A6741" s="2"/>
      <c r="B6741" s="2"/>
      <c r="C6741" s="1"/>
      <c r="D6741" s="2"/>
      <c r="E6741" s="2"/>
      <c r="F6741" s="2"/>
      <c r="G6741" s="2"/>
      <c r="H6741" s="2"/>
      <c r="I6741" s="2"/>
      <c r="J6741" s="2"/>
      <c r="K6741" s="2"/>
      <c r="L6741" s="2"/>
      <c r="M6741" s="2"/>
      <c r="N6741" s="2"/>
      <c r="O6741" s="2"/>
      <c r="P6741" s="2"/>
      <c r="Q6741" s="2"/>
      <c r="R6741" s="2"/>
      <c r="S6741" s="2"/>
      <c r="T6741" s="2"/>
      <c r="U6741" s="2"/>
      <c r="V6741" s="2"/>
      <c r="W6741" s="2"/>
    </row>
    <row r="6742" spans="1:23" x14ac:dyDescent="0.25">
      <c r="A6742" s="2"/>
      <c r="B6742" s="2"/>
      <c r="C6742" s="1"/>
      <c r="D6742" s="2"/>
      <c r="E6742" s="2"/>
      <c r="F6742" s="2"/>
      <c r="G6742" s="2"/>
      <c r="H6742" s="2"/>
      <c r="I6742" s="2"/>
      <c r="J6742" s="2"/>
      <c r="K6742" s="2"/>
      <c r="L6742" s="2"/>
      <c r="M6742" s="2"/>
      <c r="N6742" s="2"/>
      <c r="O6742" s="2"/>
      <c r="P6742" s="2"/>
      <c r="Q6742" s="2"/>
      <c r="R6742" s="2"/>
      <c r="S6742" s="2"/>
      <c r="T6742" s="2"/>
      <c r="U6742" s="2"/>
      <c r="V6742" s="2"/>
      <c r="W6742" s="2"/>
    </row>
    <row r="6743" spans="1:23" x14ac:dyDescent="0.25">
      <c r="A6743" s="2"/>
      <c r="B6743" s="2"/>
      <c r="C6743" s="1"/>
      <c r="D6743" s="2"/>
      <c r="E6743" s="2"/>
      <c r="F6743" s="2"/>
      <c r="G6743" s="2"/>
      <c r="H6743" s="2"/>
      <c r="I6743" s="2"/>
      <c r="J6743" s="2"/>
      <c r="K6743" s="2"/>
      <c r="L6743" s="2"/>
      <c r="M6743" s="2"/>
      <c r="N6743" s="2"/>
      <c r="O6743" s="2"/>
      <c r="P6743" s="2"/>
      <c r="Q6743" s="2"/>
      <c r="R6743" s="2"/>
      <c r="S6743" s="2"/>
      <c r="T6743" s="2"/>
      <c r="U6743" s="2"/>
      <c r="V6743" s="2"/>
      <c r="W6743" s="2"/>
    </row>
    <row r="6744" spans="1:23" x14ac:dyDescent="0.25">
      <c r="A6744" s="2"/>
      <c r="B6744" s="2"/>
      <c r="C6744" s="1"/>
      <c r="D6744" s="2"/>
      <c r="E6744" s="2"/>
      <c r="F6744" s="2"/>
      <c r="G6744" s="2"/>
      <c r="H6744" s="2"/>
      <c r="I6744" s="2"/>
      <c r="J6744" s="2"/>
      <c r="K6744" s="2"/>
      <c r="L6744" s="2"/>
      <c r="M6744" s="2"/>
      <c r="N6744" s="2"/>
      <c r="O6744" s="2"/>
      <c r="P6744" s="2"/>
      <c r="Q6744" s="2"/>
      <c r="R6744" s="2"/>
      <c r="S6744" s="2"/>
      <c r="T6744" s="2"/>
      <c r="U6744" s="2"/>
      <c r="V6744" s="2"/>
      <c r="W6744" s="2"/>
    </row>
    <row r="6745" spans="1:23" x14ac:dyDescent="0.25">
      <c r="A6745" s="2"/>
      <c r="B6745" s="2"/>
      <c r="C6745" s="1"/>
      <c r="D6745" s="2"/>
      <c r="E6745" s="2"/>
      <c r="F6745" s="2"/>
      <c r="G6745" s="2"/>
      <c r="H6745" s="2"/>
      <c r="I6745" s="2"/>
      <c r="J6745" s="2"/>
      <c r="K6745" s="2"/>
      <c r="L6745" s="2"/>
      <c r="M6745" s="2"/>
      <c r="N6745" s="2"/>
      <c r="O6745" s="2"/>
      <c r="P6745" s="2"/>
      <c r="Q6745" s="2"/>
      <c r="R6745" s="2"/>
      <c r="S6745" s="2"/>
      <c r="T6745" s="2"/>
      <c r="U6745" s="2"/>
      <c r="V6745" s="2"/>
      <c r="W6745" s="2"/>
    </row>
    <row r="6746" spans="1:23" x14ac:dyDescent="0.25">
      <c r="A6746" s="2"/>
      <c r="B6746" s="2"/>
      <c r="C6746" s="1"/>
      <c r="D6746" s="2"/>
      <c r="E6746" s="2"/>
      <c r="F6746" s="2"/>
      <c r="G6746" s="2"/>
      <c r="H6746" s="2"/>
      <c r="I6746" s="2"/>
      <c r="J6746" s="2"/>
      <c r="K6746" s="2"/>
      <c r="L6746" s="2"/>
      <c r="M6746" s="2"/>
      <c r="N6746" s="2"/>
      <c r="O6746" s="2"/>
      <c r="P6746" s="2"/>
      <c r="Q6746" s="2"/>
      <c r="R6746" s="2"/>
      <c r="S6746" s="2"/>
      <c r="T6746" s="2"/>
      <c r="U6746" s="2"/>
      <c r="V6746" s="2"/>
      <c r="W6746" s="2"/>
    </row>
    <row r="6747" spans="1:23" x14ac:dyDescent="0.25">
      <c r="A6747" s="2"/>
      <c r="B6747" s="2"/>
      <c r="C6747" s="1"/>
      <c r="D6747" s="2"/>
      <c r="E6747" s="2"/>
      <c r="F6747" s="2"/>
      <c r="G6747" s="2"/>
      <c r="H6747" s="2"/>
      <c r="I6747" s="2"/>
      <c r="J6747" s="2"/>
      <c r="K6747" s="2"/>
      <c r="L6747" s="2"/>
      <c r="M6747" s="2"/>
      <c r="N6747" s="2"/>
      <c r="O6747" s="2"/>
      <c r="P6747" s="2"/>
      <c r="Q6747" s="2"/>
      <c r="R6747" s="2"/>
      <c r="S6747" s="2"/>
      <c r="T6747" s="2"/>
      <c r="U6747" s="2"/>
      <c r="V6747" s="2"/>
      <c r="W6747" s="2"/>
    </row>
    <row r="6748" spans="1:23" x14ac:dyDescent="0.25">
      <c r="A6748" s="2"/>
      <c r="B6748" s="2"/>
      <c r="C6748" s="1"/>
      <c r="D6748" s="2"/>
      <c r="E6748" s="2"/>
      <c r="F6748" s="2"/>
      <c r="G6748" s="2"/>
      <c r="H6748" s="2"/>
      <c r="I6748" s="2"/>
      <c r="J6748" s="2"/>
      <c r="K6748" s="2"/>
      <c r="L6748" s="2"/>
      <c r="M6748" s="2"/>
      <c r="N6748" s="2"/>
      <c r="O6748" s="2"/>
      <c r="P6748" s="2"/>
      <c r="Q6748" s="2"/>
      <c r="R6748" s="2"/>
      <c r="S6748" s="2"/>
      <c r="T6748" s="2"/>
      <c r="U6748" s="2"/>
      <c r="V6748" s="2"/>
      <c r="W6748" s="2"/>
    </row>
    <row r="6749" spans="1:23" x14ac:dyDescent="0.25">
      <c r="A6749" s="2"/>
      <c r="B6749" s="2"/>
      <c r="C6749" s="1"/>
      <c r="D6749" s="2"/>
      <c r="E6749" s="2"/>
      <c r="F6749" s="2"/>
      <c r="G6749" s="2"/>
      <c r="H6749" s="2"/>
      <c r="I6749" s="2"/>
      <c r="J6749" s="2"/>
      <c r="K6749" s="2"/>
      <c r="L6749" s="2"/>
      <c r="M6749" s="2"/>
      <c r="N6749" s="2"/>
      <c r="O6749" s="2"/>
      <c r="P6749" s="2"/>
      <c r="Q6749" s="2"/>
      <c r="R6749" s="2"/>
      <c r="S6749" s="2"/>
      <c r="T6749" s="2"/>
      <c r="U6749" s="2"/>
      <c r="V6749" s="2"/>
      <c r="W6749" s="2"/>
    </row>
    <row r="6750" spans="1:23" x14ac:dyDescent="0.25">
      <c r="A6750" s="2"/>
      <c r="B6750" s="2"/>
      <c r="C6750" s="1"/>
      <c r="D6750" s="2"/>
      <c r="E6750" s="2"/>
      <c r="F6750" s="2"/>
      <c r="G6750" s="2"/>
      <c r="H6750" s="2"/>
      <c r="I6750" s="2"/>
      <c r="J6750" s="2"/>
      <c r="K6750" s="2"/>
      <c r="L6750" s="2"/>
      <c r="M6750" s="2"/>
      <c r="N6750" s="2"/>
      <c r="O6750" s="2"/>
      <c r="P6750" s="2"/>
      <c r="Q6750" s="2"/>
      <c r="R6750" s="2"/>
      <c r="S6750" s="2"/>
      <c r="T6750" s="2"/>
      <c r="U6750" s="2"/>
      <c r="V6750" s="2"/>
      <c r="W6750" s="2"/>
    </row>
    <row r="6751" spans="1:23" x14ac:dyDescent="0.25">
      <c r="A6751" s="2"/>
      <c r="B6751" s="2"/>
      <c r="C6751" s="1"/>
      <c r="D6751" s="2"/>
      <c r="E6751" s="2"/>
      <c r="F6751" s="2"/>
      <c r="G6751" s="2"/>
      <c r="H6751" s="2"/>
      <c r="I6751" s="2"/>
      <c r="J6751" s="2"/>
      <c r="K6751" s="2"/>
      <c r="L6751" s="2"/>
      <c r="M6751" s="2"/>
      <c r="N6751" s="2"/>
      <c r="O6751" s="2"/>
      <c r="P6751" s="2"/>
      <c r="Q6751" s="2"/>
      <c r="R6751" s="2"/>
      <c r="S6751" s="2"/>
      <c r="T6751" s="2"/>
      <c r="U6751" s="2"/>
      <c r="V6751" s="2"/>
      <c r="W6751" s="2"/>
    </row>
    <row r="6752" spans="1:23" x14ac:dyDescent="0.25">
      <c r="A6752" s="2"/>
      <c r="B6752" s="2"/>
      <c r="C6752" s="1"/>
      <c r="D6752" s="2"/>
      <c r="E6752" s="2"/>
      <c r="F6752" s="2"/>
      <c r="G6752" s="2"/>
      <c r="H6752" s="2"/>
      <c r="I6752" s="2"/>
      <c r="J6752" s="2"/>
      <c r="K6752" s="2"/>
      <c r="L6752" s="2"/>
      <c r="M6752" s="2"/>
      <c r="N6752" s="2"/>
      <c r="O6752" s="2"/>
      <c r="P6752" s="2"/>
      <c r="Q6752" s="2"/>
      <c r="R6752" s="2"/>
      <c r="S6752" s="2"/>
      <c r="T6752" s="2"/>
      <c r="U6752" s="2"/>
      <c r="V6752" s="2"/>
      <c r="W6752" s="2"/>
    </row>
    <row r="6753" spans="1:23" x14ac:dyDescent="0.25">
      <c r="A6753" s="2"/>
      <c r="B6753" s="2"/>
      <c r="C6753" s="1"/>
      <c r="D6753" s="2"/>
      <c r="E6753" s="2"/>
      <c r="F6753" s="2"/>
      <c r="G6753" s="2"/>
      <c r="H6753" s="2"/>
      <c r="I6753" s="2"/>
      <c r="J6753" s="2"/>
      <c r="K6753" s="2"/>
      <c r="L6753" s="2"/>
      <c r="M6753" s="2"/>
      <c r="N6753" s="2"/>
      <c r="O6753" s="2"/>
      <c r="P6753" s="2"/>
      <c r="Q6753" s="2"/>
      <c r="R6753" s="2"/>
      <c r="S6753" s="2"/>
      <c r="T6753" s="2"/>
      <c r="U6753" s="2"/>
      <c r="V6753" s="2"/>
      <c r="W6753" s="2"/>
    </row>
    <row r="6754" spans="1:23" x14ac:dyDescent="0.25">
      <c r="A6754" s="2"/>
      <c r="B6754" s="2"/>
      <c r="C6754" s="1"/>
      <c r="D6754" s="2"/>
      <c r="E6754" s="2"/>
      <c r="F6754" s="2"/>
      <c r="G6754" s="2"/>
      <c r="H6754" s="2"/>
      <c r="I6754" s="2"/>
      <c r="J6754" s="2"/>
      <c r="K6754" s="2"/>
      <c r="L6754" s="2"/>
      <c r="M6754" s="2"/>
      <c r="N6754" s="2"/>
      <c r="O6754" s="2"/>
      <c r="P6754" s="2"/>
      <c r="Q6754" s="2"/>
      <c r="R6754" s="2"/>
      <c r="S6754" s="2"/>
      <c r="T6754" s="2"/>
      <c r="U6754" s="2"/>
      <c r="V6754" s="2"/>
      <c r="W6754" s="2"/>
    </row>
    <row r="6755" spans="1:23" x14ac:dyDescent="0.25">
      <c r="A6755" s="2"/>
      <c r="B6755" s="2"/>
      <c r="C6755" s="1"/>
      <c r="D6755" s="2"/>
      <c r="E6755" s="2"/>
      <c r="F6755" s="2"/>
      <c r="G6755" s="2"/>
      <c r="H6755" s="2"/>
      <c r="I6755" s="2"/>
      <c r="J6755" s="2"/>
      <c r="K6755" s="2"/>
      <c r="L6755" s="2"/>
      <c r="M6755" s="2"/>
      <c r="N6755" s="2"/>
      <c r="O6755" s="2"/>
      <c r="P6755" s="2"/>
      <c r="Q6755" s="2"/>
      <c r="R6755" s="2"/>
      <c r="S6755" s="2"/>
      <c r="T6755" s="2"/>
      <c r="U6755" s="2"/>
      <c r="V6755" s="2"/>
      <c r="W6755" s="2"/>
    </row>
    <row r="6756" spans="1:23" x14ac:dyDescent="0.25">
      <c r="A6756" s="2"/>
      <c r="B6756" s="2"/>
      <c r="C6756" s="1"/>
      <c r="D6756" s="2"/>
      <c r="E6756" s="2"/>
      <c r="F6756" s="2"/>
      <c r="G6756" s="2"/>
      <c r="H6756" s="2"/>
      <c r="I6756" s="2"/>
      <c r="J6756" s="2"/>
      <c r="K6756" s="2"/>
      <c r="L6756" s="2"/>
      <c r="M6756" s="2"/>
      <c r="N6756" s="2"/>
      <c r="O6756" s="2"/>
      <c r="P6756" s="2"/>
      <c r="Q6756" s="2"/>
      <c r="R6756" s="2"/>
      <c r="S6756" s="2"/>
      <c r="T6756" s="2"/>
      <c r="U6756" s="2"/>
      <c r="V6756" s="2"/>
      <c r="W6756" s="2"/>
    </row>
    <row r="6757" spans="1:23" x14ac:dyDescent="0.25">
      <c r="A6757" s="2"/>
      <c r="B6757" s="2"/>
      <c r="C6757" s="1"/>
      <c r="D6757" s="2"/>
      <c r="E6757" s="2"/>
      <c r="F6757" s="2"/>
      <c r="G6757" s="2"/>
      <c r="H6757" s="2"/>
      <c r="I6757" s="2"/>
      <c r="J6757" s="2"/>
      <c r="K6757" s="2"/>
      <c r="L6757" s="2"/>
      <c r="M6757" s="2"/>
      <c r="N6757" s="2"/>
      <c r="O6757" s="2"/>
      <c r="P6757" s="2"/>
      <c r="Q6757" s="2"/>
      <c r="R6757" s="2"/>
      <c r="S6757" s="2"/>
      <c r="T6757" s="2"/>
      <c r="U6757" s="2"/>
      <c r="V6757" s="2"/>
      <c r="W6757" s="2"/>
    </row>
    <row r="6758" spans="1:23" x14ac:dyDescent="0.25">
      <c r="A6758" s="2"/>
      <c r="B6758" s="2"/>
      <c r="C6758" s="1"/>
      <c r="D6758" s="2"/>
      <c r="E6758" s="2"/>
      <c r="F6758" s="2"/>
      <c r="G6758" s="2"/>
      <c r="H6758" s="2"/>
      <c r="I6758" s="2"/>
      <c r="J6758" s="2"/>
      <c r="K6758" s="2"/>
      <c r="L6758" s="2"/>
      <c r="M6758" s="2"/>
      <c r="N6758" s="2"/>
      <c r="O6758" s="2"/>
      <c r="P6758" s="2"/>
      <c r="Q6758" s="2"/>
      <c r="R6758" s="2"/>
      <c r="S6758" s="2"/>
      <c r="T6758" s="2"/>
      <c r="U6758" s="2"/>
      <c r="V6758" s="2"/>
      <c r="W6758" s="2"/>
    </row>
    <row r="6759" spans="1:23" x14ac:dyDescent="0.25">
      <c r="A6759" s="2"/>
      <c r="B6759" s="2"/>
      <c r="C6759" s="1"/>
      <c r="D6759" s="2"/>
      <c r="E6759" s="2"/>
      <c r="F6759" s="2"/>
      <c r="G6759" s="2"/>
      <c r="H6759" s="2"/>
      <c r="I6759" s="2"/>
      <c r="J6759" s="2"/>
      <c r="K6759" s="2"/>
      <c r="L6759" s="2"/>
      <c r="M6759" s="2"/>
      <c r="N6759" s="2"/>
      <c r="O6759" s="2"/>
      <c r="P6759" s="2"/>
      <c r="Q6759" s="2"/>
      <c r="R6759" s="2"/>
      <c r="S6759" s="2"/>
      <c r="T6759" s="2"/>
      <c r="U6759" s="2"/>
      <c r="V6759" s="2"/>
      <c r="W6759" s="2"/>
    </row>
    <row r="6760" spans="1:23" x14ac:dyDescent="0.25">
      <c r="A6760" s="2"/>
      <c r="B6760" s="2"/>
      <c r="C6760" s="1"/>
      <c r="D6760" s="2"/>
      <c r="E6760" s="2"/>
      <c r="F6760" s="2"/>
      <c r="G6760" s="2"/>
      <c r="H6760" s="2"/>
      <c r="I6760" s="2"/>
      <c r="J6760" s="2"/>
      <c r="K6760" s="2"/>
      <c r="L6760" s="2"/>
      <c r="M6760" s="2"/>
      <c r="N6760" s="2"/>
      <c r="O6760" s="2"/>
      <c r="P6760" s="2"/>
      <c r="Q6760" s="2"/>
      <c r="R6760" s="2"/>
      <c r="S6760" s="2"/>
      <c r="T6760" s="2"/>
      <c r="U6760" s="2"/>
      <c r="V6760" s="2"/>
      <c r="W6760" s="2"/>
    </row>
    <row r="6761" spans="1:23" x14ac:dyDescent="0.25">
      <c r="A6761" s="2"/>
      <c r="B6761" s="2"/>
      <c r="C6761" s="1"/>
      <c r="D6761" s="2"/>
      <c r="E6761" s="2"/>
      <c r="F6761" s="2"/>
      <c r="G6761" s="2"/>
      <c r="H6761" s="2"/>
      <c r="I6761" s="2"/>
      <c r="J6761" s="2"/>
      <c r="K6761" s="2"/>
      <c r="L6761" s="2"/>
      <c r="M6761" s="2"/>
      <c r="N6761" s="2"/>
      <c r="O6761" s="2"/>
      <c r="P6761" s="2"/>
      <c r="Q6761" s="2"/>
      <c r="R6761" s="2"/>
      <c r="S6761" s="2"/>
      <c r="T6761" s="2"/>
      <c r="U6761" s="2"/>
      <c r="V6761" s="2"/>
      <c r="W6761" s="2"/>
    </row>
    <row r="6762" spans="1:23" x14ac:dyDescent="0.25">
      <c r="A6762" s="2"/>
      <c r="B6762" s="2"/>
      <c r="C6762" s="1"/>
      <c r="D6762" s="2"/>
      <c r="E6762" s="2"/>
      <c r="F6762" s="2"/>
      <c r="G6762" s="2"/>
      <c r="H6762" s="2"/>
      <c r="I6762" s="2"/>
      <c r="J6762" s="2"/>
      <c r="K6762" s="2"/>
      <c r="L6762" s="2"/>
      <c r="M6762" s="2"/>
      <c r="N6762" s="2"/>
      <c r="O6762" s="2"/>
      <c r="P6762" s="2"/>
      <c r="Q6762" s="2"/>
      <c r="R6762" s="2"/>
      <c r="S6762" s="2"/>
      <c r="T6762" s="2"/>
      <c r="U6762" s="2"/>
      <c r="V6762" s="2"/>
      <c r="W6762" s="2"/>
    </row>
    <row r="6763" spans="1:23" x14ac:dyDescent="0.25">
      <c r="A6763" s="2"/>
      <c r="B6763" s="2"/>
      <c r="C6763" s="1"/>
      <c r="D6763" s="2"/>
      <c r="E6763" s="2"/>
      <c r="F6763" s="2"/>
      <c r="G6763" s="2"/>
      <c r="H6763" s="2"/>
      <c r="I6763" s="2"/>
      <c r="J6763" s="2"/>
      <c r="K6763" s="2"/>
      <c r="L6763" s="2"/>
      <c r="M6763" s="2"/>
      <c r="N6763" s="2"/>
      <c r="O6763" s="2"/>
      <c r="P6763" s="2"/>
      <c r="Q6763" s="2"/>
      <c r="R6763" s="2"/>
      <c r="S6763" s="2"/>
      <c r="T6763" s="2"/>
      <c r="U6763" s="2"/>
      <c r="V6763" s="2"/>
      <c r="W6763" s="2"/>
    </row>
    <row r="6764" spans="1:23" x14ac:dyDescent="0.25">
      <c r="A6764" s="2"/>
      <c r="B6764" s="2"/>
      <c r="C6764" s="1"/>
      <c r="D6764" s="2"/>
      <c r="E6764" s="2"/>
      <c r="F6764" s="2"/>
      <c r="G6764" s="2"/>
      <c r="H6764" s="2"/>
      <c r="I6764" s="2"/>
      <c r="J6764" s="2"/>
      <c r="K6764" s="2"/>
      <c r="L6764" s="2"/>
      <c r="M6764" s="2"/>
      <c r="N6764" s="2"/>
      <c r="O6764" s="2"/>
      <c r="P6764" s="2"/>
      <c r="Q6764" s="2"/>
      <c r="R6764" s="2"/>
      <c r="S6764" s="2"/>
      <c r="T6764" s="2"/>
      <c r="U6764" s="2"/>
      <c r="V6764" s="2"/>
      <c r="W6764" s="2"/>
    </row>
    <row r="6765" spans="1:23" x14ac:dyDescent="0.25">
      <c r="A6765" s="2"/>
      <c r="B6765" s="2"/>
      <c r="C6765" s="1"/>
      <c r="D6765" s="2"/>
      <c r="E6765" s="2"/>
      <c r="F6765" s="2"/>
      <c r="G6765" s="2"/>
      <c r="H6765" s="2"/>
      <c r="I6765" s="2"/>
      <c r="J6765" s="2"/>
      <c r="K6765" s="2"/>
      <c r="L6765" s="2"/>
      <c r="M6765" s="2"/>
      <c r="N6765" s="2"/>
      <c r="O6765" s="2"/>
      <c r="P6765" s="2"/>
      <c r="Q6765" s="2"/>
      <c r="R6765" s="2"/>
      <c r="S6765" s="2"/>
      <c r="T6765" s="2"/>
      <c r="U6765" s="2"/>
      <c r="V6765" s="2"/>
      <c r="W6765" s="2"/>
    </row>
    <row r="6766" spans="1:23" x14ac:dyDescent="0.25">
      <c r="A6766" s="2"/>
      <c r="B6766" s="2"/>
      <c r="C6766" s="1"/>
      <c r="D6766" s="2"/>
      <c r="E6766" s="2"/>
      <c r="F6766" s="2"/>
      <c r="G6766" s="2"/>
      <c r="H6766" s="2"/>
      <c r="I6766" s="2"/>
      <c r="J6766" s="2"/>
      <c r="K6766" s="2"/>
      <c r="L6766" s="2"/>
      <c r="M6766" s="2"/>
      <c r="N6766" s="2"/>
      <c r="O6766" s="2"/>
      <c r="P6766" s="2"/>
      <c r="Q6766" s="2"/>
      <c r="R6766" s="2"/>
      <c r="S6766" s="2"/>
      <c r="T6766" s="2"/>
      <c r="U6766" s="2"/>
      <c r="V6766" s="2"/>
      <c r="W6766" s="2"/>
    </row>
    <row r="6767" spans="1:23" x14ac:dyDescent="0.25">
      <c r="A6767" s="2"/>
      <c r="B6767" s="2"/>
      <c r="C6767" s="1"/>
      <c r="D6767" s="2"/>
      <c r="E6767" s="2"/>
      <c r="F6767" s="2"/>
      <c r="G6767" s="2"/>
      <c r="H6767" s="2"/>
      <c r="I6767" s="2"/>
      <c r="J6767" s="2"/>
      <c r="K6767" s="2"/>
      <c r="L6767" s="2"/>
      <c r="M6767" s="2"/>
      <c r="N6767" s="2"/>
      <c r="O6767" s="2"/>
      <c r="P6767" s="2"/>
      <c r="Q6767" s="2"/>
      <c r="R6767" s="2"/>
      <c r="S6767" s="2"/>
      <c r="T6767" s="2"/>
      <c r="U6767" s="2"/>
      <c r="V6767" s="2"/>
      <c r="W6767" s="2"/>
    </row>
    <row r="6768" spans="1:23" x14ac:dyDescent="0.25">
      <c r="A6768" s="2"/>
      <c r="B6768" s="2"/>
      <c r="C6768" s="1"/>
      <c r="D6768" s="2"/>
      <c r="E6768" s="2"/>
      <c r="F6768" s="2"/>
      <c r="G6768" s="2"/>
      <c r="H6768" s="2"/>
      <c r="I6768" s="2"/>
      <c r="J6768" s="2"/>
      <c r="K6768" s="2"/>
      <c r="L6768" s="2"/>
      <c r="M6768" s="2"/>
      <c r="N6768" s="2"/>
      <c r="O6768" s="2"/>
      <c r="P6768" s="2"/>
      <c r="Q6768" s="2"/>
      <c r="R6768" s="2"/>
      <c r="S6768" s="2"/>
      <c r="T6768" s="2"/>
      <c r="U6768" s="2"/>
      <c r="V6768" s="2"/>
      <c r="W6768" s="2"/>
    </row>
    <row r="6769" spans="1:23" x14ac:dyDescent="0.25">
      <c r="A6769" s="2"/>
      <c r="B6769" s="2"/>
      <c r="C6769" s="1"/>
      <c r="D6769" s="2"/>
      <c r="E6769" s="2"/>
      <c r="F6769" s="2"/>
      <c r="G6769" s="2"/>
      <c r="H6769" s="2"/>
      <c r="I6769" s="2"/>
      <c r="J6769" s="2"/>
      <c r="K6769" s="2"/>
      <c r="L6769" s="2"/>
      <c r="M6769" s="2"/>
      <c r="N6769" s="2"/>
      <c r="O6769" s="2"/>
      <c r="P6769" s="2"/>
      <c r="Q6769" s="2"/>
      <c r="R6769" s="2"/>
      <c r="S6769" s="2"/>
      <c r="T6769" s="2"/>
      <c r="U6769" s="2"/>
      <c r="V6769" s="2"/>
      <c r="W6769" s="2"/>
    </row>
    <row r="6770" spans="1:23" x14ac:dyDescent="0.25">
      <c r="A6770" s="2"/>
      <c r="B6770" s="2"/>
      <c r="C6770" s="1"/>
      <c r="D6770" s="2"/>
      <c r="E6770" s="2"/>
      <c r="F6770" s="2"/>
      <c r="G6770" s="2"/>
      <c r="H6770" s="2"/>
      <c r="I6770" s="2"/>
      <c r="J6770" s="2"/>
      <c r="K6770" s="2"/>
      <c r="L6770" s="2"/>
      <c r="M6770" s="2"/>
      <c r="N6770" s="2"/>
      <c r="O6770" s="2"/>
      <c r="P6770" s="2"/>
      <c r="Q6770" s="2"/>
      <c r="R6770" s="2"/>
      <c r="S6770" s="2"/>
      <c r="T6770" s="2"/>
      <c r="U6770" s="2"/>
      <c r="V6770" s="2"/>
      <c r="W6770" s="2"/>
    </row>
    <row r="6771" spans="1:23" x14ac:dyDescent="0.25">
      <c r="A6771" s="2"/>
      <c r="B6771" s="2"/>
      <c r="C6771" s="1"/>
      <c r="D6771" s="2"/>
      <c r="E6771" s="2"/>
      <c r="F6771" s="2"/>
      <c r="G6771" s="2"/>
      <c r="H6771" s="2"/>
      <c r="I6771" s="2"/>
      <c r="J6771" s="2"/>
      <c r="K6771" s="2"/>
      <c r="L6771" s="2"/>
      <c r="M6771" s="2"/>
      <c r="N6771" s="2"/>
      <c r="O6771" s="2"/>
      <c r="P6771" s="2"/>
      <c r="Q6771" s="2"/>
      <c r="R6771" s="2"/>
      <c r="S6771" s="2"/>
      <c r="T6771" s="2"/>
      <c r="U6771" s="2"/>
      <c r="V6771" s="2"/>
      <c r="W6771" s="2"/>
    </row>
    <row r="6772" spans="1:23" x14ac:dyDescent="0.25">
      <c r="A6772" s="2"/>
      <c r="B6772" s="2"/>
      <c r="C6772" s="1"/>
      <c r="D6772" s="2"/>
      <c r="E6772" s="2"/>
      <c r="F6772" s="2"/>
      <c r="G6772" s="2"/>
      <c r="H6772" s="2"/>
      <c r="I6772" s="2"/>
      <c r="J6772" s="2"/>
      <c r="K6772" s="2"/>
      <c r="L6772" s="2"/>
      <c r="M6772" s="2"/>
      <c r="N6772" s="2"/>
      <c r="O6772" s="2"/>
      <c r="P6772" s="2"/>
      <c r="Q6772" s="2"/>
      <c r="R6772" s="2"/>
      <c r="S6772" s="2"/>
      <c r="T6772" s="2"/>
      <c r="U6772" s="2"/>
      <c r="V6772" s="2"/>
      <c r="W6772" s="2"/>
    </row>
    <row r="6773" spans="1:23" x14ac:dyDescent="0.25">
      <c r="A6773" s="2"/>
      <c r="B6773" s="2"/>
      <c r="C6773" s="1"/>
      <c r="D6773" s="2"/>
      <c r="E6773" s="2"/>
      <c r="F6773" s="2"/>
      <c r="G6773" s="2"/>
      <c r="H6773" s="2"/>
      <c r="I6773" s="2"/>
      <c r="J6773" s="2"/>
      <c r="K6773" s="2"/>
      <c r="L6773" s="2"/>
      <c r="M6773" s="2"/>
      <c r="N6773" s="2"/>
      <c r="O6773" s="2"/>
      <c r="P6773" s="2"/>
      <c r="Q6773" s="2"/>
      <c r="R6773" s="2"/>
      <c r="S6773" s="2"/>
      <c r="T6773" s="2"/>
      <c r="U6773" s="2"/>
      <c r="V6773" s="2"/>
      <c r="W6773" s="2"/>
    </row>
    <row r="6774" spans="1:23" x14ac:dyDescent="0.25">
      <c r="A6774" s="2"/>
      <c r="B6774" s="2"/>
      <c r="C6774" s="1"/>
      <c r="D6774" s="2"/>
      <c r="E6774" s="2"/>
      <c r="F6774" s="2"/>
      <c r="G6774" s="2"/>
      <c r="H6774" s="2"/>
      <c r="I6774" s="2"/>
      <c r="J6774" s="2"/>
      <c r="K6774" s="2"/>
      <c r="L6774" s="2"/>
      <c r="M6774" s="2"/>
      <c r="N6774" s="2"/>
      <c r="O6774" s="2"/>
      <c r="P6774" s="2"/>
      <c r="Q6774" s="2"/>
      <c r="R6774" s="2"/>
      <c r="S6774" s="2"/>
      <c r="T6774" s="2"/>
      <c r="U6774" s="2"/>
      <c r="V6774" s="2"/>
      <c r="W6774" s="2"/>
    </row>
    <row r="6775" spans="1:23" x14ac:dyDescent="0.25">
      <c r="A6775" s="2"/>
      <c r="B6775" s="2"/>
      <c r="C6775" s="1"/>
      <c r="D6775" s="2"/>
      <c r="E6775" s="2"/>
      <c r="F6775" s="2"/>
      <c r="G6775" s="2"/>
      <c r="H6775" s="2"/>
      <c r="I6775" s="2"/>
      <c r="J6775" s="2"/>
      <c r="K6775" s="2"/>
      <c r="L6775" s="2"/>
      <c r="M6775" s="2"/>
      <c r="N6775" s="2"/>
      <c r="O6775" s="2"/>
      <c r="P6775" s="2"/>
      <c r="Q6775" s="2"/>
      <c r="R6775" s="2"/>
      <c r="S6775" s="2"/>
      <c r="T6775" s="2"/>
      <c r="U6775" s="2"/>
      <c r="V6775" s="2"/>
      <c r="W6775" s="2"/>
    </row>
    <row r="6776" spans="1:23" x14ac:dyDescent="0.25">
      <c r="A6776" s="2"/>
      <c r="B6776" s="2"/>
      <c r="C6776" s="1"/>
      <c r="D6776" s="2"/>
      <c r="E6776" s="2"/>
      <c r="F6776" s="2"/>
      <c r="G6776" s="2"/>
      <c r="H6776" s="2"/>
      <c r="I6776" s="2"/>
      <c r="J6776" s="2"/>
      <c r="K6776" s="2"/>
      <c r="L6776" s="2"/>
      <c r="M6776" s="2"/>
      <c r="N6776" s="2"/>
      <c r="O6776" s="2"/>
      <c r="P6776" s="2"/>
      <c r="Q6776" s="2"/>
      <c r="R6776" s="2"/>
      <c r="S6776" s="2"/>
      <c r="T6776" s="2"/>
      <c r="U6776" s="2"/>
      <c r="V6776" s="2"/>
      <c r="W6776" s="2"/>
    </row>
    <row r="6777" spans="1:23" x14ac:dyDescent="0.25">
      <c r="A6777" s="2"/>
      <c r="B6777" s="2"/>
      <c r="C6777" s="1"/>
      <c r="D6777" s="2"/>
      <c r="E6777" s="2"/>
      <c r="F6777" s="2"/>
      <c r="G6777" s="2"/>
      <c r="H6777" s="2"/>
      <c r="I6777" s="2"/>
      <c r="J6777" s="2"/>
      <c r="K6777" s="2"/>
      <c r="L6777" s="2"/>
      <c r="M6777" s="2"/>
      <c r="N6777" s="2"/>
      <c r="O6777" s="2"/>
      <c r="P6777" s="2"/>
      <c r="Q6777" s="2"/>
      <c r="R6777" s="2"/>
      <c r="S6777" s="2"/>
      <c r="T6777" s="2"/>
      <c r="U6777" s="2"/>
      <c r="V6777" s="2"/>
      <c r="W6777" s="2"/>
    </row>
    <row r="6778" spans="1:23" x14ac:dyDescent="0.25">
      <c r="A6778" s="2"/>
      <c r="B6778" s="2"/>
      <c r="C6778" s="1"/>
      <c r="D6778" s="2"/>
      <c r="E6778" s="2"/>
      <c r="F6778" s="2"/>
      <c r="G6778" s="2"/>
      <c r="H6778" s="2"/>
      <c r="I6778" s="2"/>
      <c r="J6778" s="2"/>
      <c r="K6778" s="2"/>
      <c r="L6778" s="2"/>
      <c r="M6778" s="2"/>
      <c r="N6778" s="2"/>
      <c r="O6778" s="2"/>
      <c r="P6778" s="2"/>
      <c r="Q6778" s="2"/>
      <c r="R6778" s="2"/>
      <c r="S6778" s="2"/>
      <c r="T6778" s="2"/>
      <c r="U6778" s="2"/>
      <c r="V6778" s="2"/>
      <c r="W6778" s="2"/>
    </row>
    <row r="6779" spans="1:23" x14ac:dyDescent="0.25">
      <c r="A6779" s="2"/>
      <c r="B6779" s="2"/>
      <c r="C6779" s="1"/>
      <c r="D6779" s="2"/>
      <c r="E6779" s="2"/>
      <c r="F6779" s="2"/>
      <c r="G6779" s="2"/>
      <c r="H6779" s="2"/>
      <c r="I6779" s="2"/>
      <c r="J6779" s="2"/>
      <c r="K6779" s="2"/>
      <c r="L6779" s="2"/>
      <c r="M6779" s="2"/>
      <c r="N6779" s="2"/>
      <c r="O6779" s="2"/>
      <c r="P6779" s="2"/>
      <c r="Q6779" s="2"/>
      <c r="R6779" s="2"/>
      <c r="S6779" s="2"/>
      <c r="T6779" s="2"/>
      <c r="U6779" s="2"/>
      <c r="V6779" s="2"/>
      <c r="W6779" s="2"/>
    </row>
    <row r="6780" spans="1:23" x14ac:dyDescent="0.25">
      <c r="A6780" s="2"/>
      <c r="B6780" s="2"/>
      <c r="C6780" s="1"/>
      <c r="D6780" s="2"/>
      <c r="E6780" s="2"/>
      <c r="F6780" s="2"/>
      <c r="G6780" s="2"/>
      <c r="H6780" s="2"/>
      <c r="I6780" s="2"/>
      <c r="J6780" s="2"/>
      <c r="K6780" s="2"/>
      <c r="L6780" s="2"/>
      <c r="M6780" s="2"/>
      <c r="N6780" s="2"/>
      <c r="O6780" s="2"/>
      <c r="P6780" s="2"/>
      <c r="Q6780" s="2"/>
      <c r="R6780" s="2"/>
      <c r="S6780" s="2"/>
      <c r="T6780" s="2"/>
      <c r="U6780" s="2"/>
      <c r="V6780" s="2"/>
      <c r="W6780" s="2"/>
    </row>
    <row r="6781" spans="1:23" x14ac:dyDescent="0.25">
      <c r="A6781" s="2"/>
      <c r="B6781" s="2"/>
      <c r="C6781" s="1"/>
      <c r="D6781" s="2"/>
      <c r="E6781" s="2"/>
      <c r="F6781" s="2"/>
      <c r="G6781" s="2"/>
      <c r="H6781" s="2"/>
      <c r="I6781" s="2"/>
      <c r="J6781" s="2"/>
      <c r="K6781" s="2"/>
      <c r="L6781" s="2"/>
      <c r="M6781" s="2"/>
      <c r="N6781" s="2"/>
      <c r="O6781" s="2"/>
      <c r="P6781" s="2"/>
      <c r="Q6781" s="2"/>
      <c r="R6781" s="2"/>
      <c r="S6781" s="2"/>
      <c r="T6781" s="2"/>
      <c r="U6781" s="2"/>
      <c r="V6781" s="2"/>
      <c r="W6781" s="2"/>
    </row>
    <row r="6782" spans="1:23" x14ac:dyDescent="0.25">
      <c r="A6782" s="2"/>
      <c r="B6782" s="2"/>
      <c r="C6782" s="1"/>
      <c r="D6782" s="2"/>
      <c r="E6782" s="2"/>
      <c r="F6782" s="2"/>
      <c r="G6782" s="2"/>
      <c r="H6782" s="2"/>
      <c r="I6782" s="2"/>
      <c r="J6782" s="2"/>
      <c r="K6782" s="2"/>
      <c r="L6782" s="2"/>
      <c r="M6782" s="2"/>
      <c r="N6782" s="2"/>
      <c r="O6782" s="2"/>
      <c r="P6782" s="2"/>
      <c r="Q6782" s="2"/>
      <c r="R6782" s="2"/>
      <c r="S6782" s="2"/>
      <c r="T6782" s="2"/>
      <c r="U6782" s="2"/>
      <c r="V6782" s="2"/>
      <c r="W6782" s="2"/>
    </row>
    <row r="6783" spans="1:23" x14ac:dyDescent="0.25">
      <c r="A6783" s="2"/>
      <c r="B6783" s="2"/>
      <c r="C6783" s="1"/>
      <c r="D6783" s="2"/>
      <c r="E6783" s="2"/>
      <c r="F6783" s="2"/>
      <c r="G6783" s="2"/>
      <c r="H6783" s="2"/>
      <c r="I6783" s="2"/>
      <c r="J6783" s="2"/>
      <c r="K6783" s="2"/>
      <c r="L6783" s="2"/>
      <c r="M6783" s="2"/>
      <c r="N6783" s="2"/>
      <c r="O6783" s="2"/>
      <c r="P6783" s="2"/>
      <c r="Q6783" s="2"/>
      <c r="R6783" s="2"/>
      <c r="S6783" s="2"/>
      <c r="T6783" s="2"/>
      <c r="U6783" s="2"/>
      <c r="V6783" s="2"/>
      <c r="W6783" s="2"/>
    </row>
    <row r="6784" spans="1:23" x14ac:dyDescent="0.25">
      <c r="A6784" s="2"/>
      <c r="B6784" s="2"/>
      <c r="C6784" s="1"/>
      <c r="D6784" s="2"/>
      <c r="E6784" s="2"/>
      <c r="F6784" s="2"/>
      <c r="G6784" s="2"/>
      <c r="H6784" s="2"/>
      <c r="I6784" s="2"/>
      <c r="J6784" s="2"/>
      <c r="K6784" s="2"/>
      <c r="L6784" s="2"/>
      <c r="M6784" s="2"/>
      <c r="N6784" s="2"/>
      <c r="O6784" s="2"/>
      <c r="P6784" s="2"/>
      <c r="Q6784" s="2"/>
      <c r="R6784" s="2"/>
      <c r="S6784" s="2"/>
      <c r="T6784" s="2"/>
      <c r="U6784" s="2"/>
      <c r="V6784" s="2"/>
      <c r="W6784" s="2"/>
    </row>
    <row r="6785" spans="1:23" x14ac:dyDescent="0.25">
      <c r="A6785" s="2"/>
      <c r="B6785" s="2"/>
      <c r="C6785" s="1"/>
      <c r="D6785" s="2"/>
      <c r="E6785" s="2"/>
      <c r="F6785" s="2"/>
      <c r="G6785" s="2"/>
      <c r="H6785" s="2"/>
      <c r="I6785" s="2"/>
      <c r="J6785" s="2"/>
      <c r="K6785" s="2"/>
      <c r="L6785" s="2"/>
      <c r="M6785" s="2"/>
      <c r="N6785" s="2"/>
      <c r="O6785" s="2"/>
      <c r="P6785" s="2"/>
      <c r="Q6785" s="2"/>
      <c r="R6785" s="2"/>
      <c r="S6785" s="2"/>
      <c r="T6785" s="2"/>
      <c r="U6785" s="2"/>
      <c r="V6785" s="2"/>
      <c r="W6785" s="2"/>
    </row>
    <row r="6786" spans="1:23" x14ac:dyDescent="0.25">
      <c r="A6786" s="2"/>
      <c r="B6786" s="2"/>
      <c r="C6786" s="1"/>
      <c r="D6786" s="2"/>
      <c r="E6786" s="2"/>
      <c r="F6786" s="2"/>
      <c r="G6786" s="2"/>
      <c r="H6786" s="2"/>
      <c r="I6786" s="2"/>
      <c r="J6786" s="2"/>
      <c r="K6786" s="2"/>
      <c r="L6786" s="2"/>
      <c r="M6786" s="2"/>
      <c r="N6786" s="2"/>
      <c r="O6786" s="2"/>
      <c r="P6786" s="2"/>
      <c r="Q6786" s="2"/>
      <c r="R6786" s="2"/>
      <c r="S6786" s="2"/>
      <c r="T6786" s="2"/>
      <c r="U6786" s="2"/>
      <c r="V6786" s="2"/>
      <c r="W6786" s="2"/>
    </row>
    <row r="6787" spans="1:23" x14ac:dyDescent="0.25">
      <c r="A6787" s="2"/>
      <c r="B6787" s="2"/>
      <c r="C6787" s="1"/>
      <c r="D6787" s="2"/>
      <c r="E6787" s="2"/>
      <c r="F6787" s="2"/>
      <c r="G6787" s="2"/>
      <c r="H6787" s="2"/>
      <c r="I6787" s="2"/>
      <c r="J6787" s="2"/>
      <c r="K6787" s="2"/>
      <c r="L6787" s="2"/>
      <c r="M6787" s="2"/>
      <c r="N6787" s="2"/>
      <c r="O6787" s="2"/>
      <c r="P6787" s="2"/>
      <c r="Q6787" s="2"/>
      <c r="R6787" s="2"/>
      <c r="S6787" s="2"/>
      <c r="T6787" s="2"/>
      <c r="U6787" s="2"/>
      <c r="V6787" s="2"/>
      <c r="W6787" s="2"/>
    </row>
    <row r="6788" spans="1:23" x14ac:dyDescent="0.25">
      <c r="A6788" s="2"/>
      <c r="B6788" s="2"/>
      <c r="C6788" s="1"/>
      <c r="D6788" s="2"/>
      <c r="E6788" s="2"/>
      <c r="F6788" s="2"/>
      <c r="G6788" s="2"/>
      <c r="H6788" s="2"/>
      <c r="I6788" s="2"/>
      <c r="J6788" s="2"/>
      <c r="K6788" s="2"/>
      <c r="L6788" s="2"/>
      <c r="M6788" s="2"/>
      <c r="N6788" s="2"/>
      <c r="O6788" s="2"/>
      <c r="P6788" s="2"/>
      <c r="Q6788" s="2"/>
      <c r="R6788" s="2"/>
      <c r="S6788" s="2"/>
      <c r="T6788" s="2"/>
      <c r="U6788" s="2"/>
      <c r="V6788" s="2"/>
      <c r="W6788" s="2"/>
    </row>
    <row r="6789" spans="1:23" x14ac:dyDescent="0.25">
      <c r="A6789" s="2"/>
      <c r="B6789" s="2"/>
      <c r="C6789" s="1"/>
      <c r="D6789" s="2"/>
      <c r="E6789" s="2"/>
      <c r="F6789" s="2"/>
      <c r="G6789" s="2"/>
      <c r="H6789" s="2"/>
      <c r="I6789" s="2"/>
      <c r="J6789" s="2"/>
      <c r="K6789" s="2"/>
      <c r="L6789" s="2"/>
      <c r="M6789" s="2"/>
      <c r="N6789" s="2"/>
      <c r="O6789" s="2"/>
      <c r="P6789" s="2"/>
      <c r="Q6789" s="2"/>
      <c r="R6789" s="2"/>
      <c r="S6789" s="2"/>
      <c r="T6789" s="2"/>
      <c r="U6789" s="2"/>
      <c r="V6789" s="2"/>
      <c r="W6789" s="2"/>
    </row>
    <row r="6790" spans="1:23" x14ac:dyDescent="0.25">
      <c r="A6790" s="2"/>
      <c r="B6790" s="2"/>
      <c r="C6790" s="1"/>
      <c r="D6790" s="2"/>
      <c r="E6790" s="2"/>
      <c r="F6790" s="2"/>
      <c r="G6790" s="2"/>
      <c r="H6790" s="2"/>
      <c r="I6790" s="2"/>
      <c r="J6790" s="2"/>
      <c r="K6790" s="2"/>
      <c r="L6790" s="2"/>
      <c r="M6790" s="2"/>
      <c r="N6790" s="2"/>
      <c r="O6790" s="2"/>
      <c r="P6790" s="2"/>
      <c r="Q6790" s="2"/>
      <c r="R6790" s="2"/>
      <c r="S6790" s="2"/>
      <c r="T6790" s="2"/>
      <c r="U6790" s="2"/>
      <c r="V6790" s="2"/>
      <c r="W6790" s="2"/>
    </row>
    <row r="6791" spans="1:23" x14ac:dyDescent="0.25">
      <c r="A6791" s="2"/>
      <c r="B6791" s="2"/>
      <c r="C6791" s="1"/>
      <c r="D6791" s="2"/>
      <c r="E6791" s="2"/>
      <c r="F6791" s="2"/>
      <c r="G6791" s="2"/>
      <c r="H6791" s="2"/>
      <c r="I6791" s="2"/>
      <c r="J6791" s="2"/>
      <c r="K6791" s="2"/>
      <c r="L6791" s="2"/>
      <c r="M6791" s="2"/>
      <c r="N6791" s="2"/>
      <c r="O6791" s="2"/>
      <c r="P6791" s="2"/>
      <c r="Q6791" s="2"/>
      <c r="R6791" s="2"/>
      <c r="S6791" s="2"/>
      <c r="T6791" s="2"/>
      <c r="U6791" s="2"/>
      <c r="V6791" s="2"/>
      <c r="W6791" s="2"/>
    </row>
    <row r="6792" spans="1:23" x14ac:dyDescent="0.25">
      <c r="A6792" s="2"/>
      <c r="B6792" s="2"/>
      <c r="C6792" s="1"/>
      <c r="D6792" s="2"/>
      <c r="E6792" s="2"/>
      <c r="F6792" s="2"/>
      <c r="G6792" s="2"/>
      <c r="H6792" s="2"/>
      <c r="I6792" s="2"/>
      <c r="J6792" s="2"/>
      <c r="K6792" s="2"/>
      <c r="L6792" s="2"/>
      <c r="M6792" s="2"/>
      <c r="N6792" s="2"/>
      <c r="O6792" s="2"/>
      <c r="P6792" s="2"/>
      <c r="Q6792" s="2"/>
      <c r="R6792" s="2"/>
      <c r="S6792" s="2"/>
      <c r="T6792" s="2"/>
      <c r="U6792" s="2"/>
      <c r="V6792" s="2"/>
      <c r="W6792" s="2"/>
    </row>
    <row r="6793" spans="1:23" x14ac:dyDescent="0.25">
      <c r="A6793" s="2"/>
      <c r="B6793" s="2"/>
      <c r="C6793" s="1"/>
      <c r="D6793" s="2"/>
      <c r="E6793" s="2"/>
      <c r="F6793" s="2"/>
      <c r="G6793" s="2"/>
      <c r="H6793" s="2"/>
      <c r="I6793" s="2"/>
      <c r="J6793" s="2"/>
      <c r="K6793" s="2"/>
      <c r="L6793" s="2"/>
      <c r="M6793" s="2"/>
      <c r="N6793" s="2"/>
      <c r="O6793" s="2"/>
      <c r="P6793" s="2"/>
      <c r="Q6793" s="2"/>
      <c r="R6793" s="2"/>
      <c r="S6793" s="2"/>
      <c r="T6793" s="2"/>
      <c r="U6793" s="2"/>
      <c r="V6793" s="2"/>
      <c r="W6793" s="2"/>
    </row>
    <row r="6794" spans="1:23" x14ac:dyDescent="0.25">
      <c r="A6794" s="2"/>
      <c r="B6794" s="2"/>
      <c r="C6794" s="1"/>
      <c r="D6794" s="2"/>
      <c r="E6794" s="2"/>
      <c r="F6794" s="2"/>
      <c r="G6794" s="2"/>
      <c r="H6794" s="2"/>
      <c r="I6794" s="2"/>
      <c r="J6794" s="2"/>
      <c r="K6794" s="2"/>
      <c r="L6794" s="2"/>
      <c r="M6794" s="2"/>
      <c r="N6794" s="2"/>
      <c r="O6794" s="2"/>
      <c r="P6794" s="2"/>
      <c r="Q6794" s="2"/>
      <c r="R6794" s="2"/>
      <c r="S6794" s="2"/>
      <c r="T6794" s="2"/>
      <c r="U6794" s="2"/>
      <c r="V6794" s="2"/>
      <c r="W6794" s="2"/>
    </row>
    <row r="6795" spans="1:23" x14ac:dyDescent="0.25">
      <c r="A6795" s="2"/>
      <c r="B6795" s="2"/>
      <c r="C6795" s="1"/>
      <c r="D6795" s="2"/>
      <c r="E6795" s="2"/>
      <c r="F6795" s="2"/>
      <c r="G6795" s="2"/>
      <c r="H6795" s="2"/>
      <c r="I6795" s="2"/>
      <c r="J6795" s="2"/>
      <c r="K6795" s="2"/>
      <c r="L6795" s="2"/>
      <c r="M6795" s="2"/>
      <c r="N6795" s="2"/>
      <c r="O6795" s="2"/>
      <c r="P6795" s="2"/>
      <c r="Q6795" s="2"/>
      <c r="R6795" s="2"/>
      <c r="S6795" s="2"/>
      <c r="T6795" s="2"/>
      <c r="U6795" s="2"/>
      <c r="V6795" s="2"/>
      <c r="W6795" s="2"/>
    </row>
    <row r="6796" spans="1:23" x14ac:dyDescent="0.25">
      <c r="A6796" s="2"/>
      <c r="B6796" s="2"/>
      <c r="C6796" s="1"/>
      <c r="D6796" s="2"/>
      <c r="E6796" s="2"/>
      <c r="F6796" s="2"/>
      <c r="G6796" s="2"/>
      <c r="H6796" s="2"/>
      <c r="I6796" s="2"/>
      <c r="J6796" s="2"/>
      <c r="K6796" s="2"/>
      <c r="L6796" s="2"/>
      <c r="M6796" s="2"/>
      <c r="N6796" s="2"/>
      <c r="O6796" s="2"/>
      <c r="P6796" s="2"/>
      <c r="Q6796" s="2"/>
      <c r="R6796" s="2"/>
      <c r="S6796" s="2"/>
      <c r="T6796" s="2"/>
      <c r="U6796" s="2"/>
      <c r="V6796" s="2"/>
      <c r="W6796" s="2"/>
    </row>
    <row r="6797" spans="1:23" x14ac:dyDescent="0.25">
      <c r="A6797" s="2"/>
      <c r="B6797" s="2"/>
      <c r="C6797" s="1"/>
      <c r="D6797" s="2"/>
      <c r="E6797" s="2"/>
      <c r="F6797" s="2"/>
      <c r="G6797" s="2"/>
      <c r="H6797" s="2"/>
      <c r="I6797" s="2"/>
      <c r="J6797" s="2"/>
      <c r="K6797" s="2"/>
      <c r="L6797" s="2"/>
      <c r="M6797" s="2"/>
      <c r="N6797" s="2"/>
      <c r="O6797" s="2"/>
      <c r="P6797" s="2"/>
      <c r="Q6797" s="2"/>
      <c r="R6797" s="2"/>
      <c r="S6797" s="2"/>
      <c r="T6797" s="2"/>
      <c r="U6797" s="2"/>
      <c r="V6797" s="2"/>
      <c r="W6797" s="2"/>
    </row>
    <row r="6798" spans="1:23" x14ac:dyDescent="0.25">
      <c r="A6798" s="2"/>
      <c r="B6798" s="2"/>
      <c r="C6798" s="1"/>
      <c r="D6798" s="2"/>
      <c r="E6798" s="2"/>
      <c r="F6798" s="2"/>
      <c r="G6798" s="2"/>
      <c r="H6798" s="2"/>
      <c r="I6798" s="2"/>
      <c r="J6798" s="2"/>
      <c r="K6798" s="2"/>
      <c r="L6798" s="2"/>
      <c r="M6798" s="2"/>
      <c r="N6798" s="2"/>
      <c r="O6798" s="2"/>
      <c r="P6798" s="2"/>
      <c r="Q6798" s="2"/>
      <c r="R6798" s="2"/>
      <c r="S6798" s="2"/>
      <c r="T6798" s="2"/>
      <c r="U6798" s="2"/>
      <c r="V6798" s="2"/>
      <c r="W6798" s="2"/>
    </row>
    <row r="6799" spans="1:23" x14ac:dyDescent="0.25">
      <c r="A6799" s="2"/>
      <c r="B6799" s="2"/>
      <c r="C6799" s="1"/>
      <c r="D6799" s="2"/>
      <c r="E6799" s="2"/>
      <c r="F6799" s="2"/>
      <c r="G6799" s="2"/>
      <c r="H6799" s="2"/>
      <c r="I6799" s="2"/>
      <c r="J6799" s="2"/>
      <c r="K6799" s="2"/>
      <c r="L6799" s="2"/>
      <c r="M6799" s="2"/>
      <c r="N6799" s="2"/>
      <c r="O6799" s="2"/>
      <c r="P6799" s="2"/>
      <c r="Q6799" s="2"/>
      <c r="R6799" s="2"/>
      <c r="S6799" s="2"/>
      <c r="T6799" s="2"/>
      <c r="U6799" s="2"/>
      <c r="V6799" s="2"/>
      <c r="W6799" s="2"/>
    </row>
    <row r="6800" spans="1:23" x14ac:dyDescent="0.25">
      <c r="A6800" s="2"/>
      <c r="B6800" s="2"/>
      <c r="C6800" s="1"/>
      <c r="D6800" s="2"/>
      <c r="E6800" s="2"/>
      <c r="F6800" s="2"/>
      <c r="G6800" s="2"/>
      <c r="H6800" s="2"/>
      <c r="I6800" s="2"/>
      <c r="J6800" s="2"/>
      <c r="K6800" s="2"/>
      <c r="L6800" s="2"/>
      <c r="M6800" s="2"/>
      <c r="N6800" s="2"/>
      <c r="O6800" s="2"/>
      <c r="P6800" s="2"/>
      <c r="Q6800" s="2"/>
      <c r="R6800" s="2"/>
      <c r="S6800" s="2"/>
      <c r="T6800" s="2"/>
      <c r="U6800" s="2"/>
      <c r="V6800" s="2"/>
      <c r="W6800" s="2"/>
    </row>
    <row r="6801" spans="1:23" x14ac:dyDescent="0.25">
      <c r="A6801" s="2"/>
      <c r="B6801" s="2"/>
      <c r="C6801" s="1"/>
      <c r="D6801" s="2"/>
      <c r="E6801" s="2"/>
      <c r="F6801" s="2"/>
      <c r="G6801" s="2"/>
      <c r="H6801" s="2"/>
      <c r="I6801" s="2"/>
      <c r="J6801" s="2"/>
      <c r="K6801" s="2"/>
      <c r="L6801" s="2"/>
      <c r="M6801" s="2"/>
      <c r="N6801" s="2"/>
      <c r="O6801" s="2"/>
      <c r="P6801" s="2"/>
      <c r="Q6801" s="2"/>
      <c r="R6801" s="2"/>
      <c r="S6801" s="2"/>
      <c r="T6801" s="2"/>
      <c r="U6801" s="2"/>
      <c r="V6801" s="2"/>
      <c r="W6801" s="2"/>
    </row>
    <row r="6802" spans="1:23" x14ac:dyDescent="0.25">
      <c r="A6802" s="2"/>
      <c r="B6802" s="2"/>
      <c r="C6802" s="1"/>
      <c r="D6802" s="2"/>
      <c r="E6802" s="2"/>
      <c r="F6802" s="2"/>
      <c r="G6802" s="2"/>
      <c r="H6802" s="2"/>
      <c r="I6802" s="2"/>
      <c r="J6802" s="2"/>
      <c r="K6802" s="2"/>
      <c r="L6802" s="2"/>
      <c r="M6802" s="2"/>
      <c r="N6802" s="2"/>
      <c r="O6802" s="2"/>
      <c r="P6802" s="2"/>
      <c r="Q6802" s="2"/>
      <c r="R6802" s="2"/>
      <c r="S6802" s="2"/>
      <c r="T6802" s="2"/>
      <c r="U6802" s="2"/>
      <c r="V6802" s="2"/>
      <c r="W6802" s="2"/>
    </row>
    <row r="6803" spans="1:23" x14ac:dyDescent="0.25">
      <c r="A6803" s="2"/>
      <c r="B6803" s="2"/>
      <c r="C6803" s="1"/>
      <c r="D6803" s="2"/>
      <c r="E6803" s="2"/>
      <c r="F6803" s="2"/>
      <c r="G6803" s="2"/>
      <c r="H6803" s="2"/>
      <c r="I6803" s="2"/>
      <c r="J6803" s="2"/>
      <c r="K6803" s="2"/>
      <c r="L6803" s="2"/>
      <c r="M6803" s="2"/>
      <c r="N6803" s="2"/>
      <c r="O6803" s="2"/>
      <c r="P6803" s="2"/>
      <c r="Q6803" s="2"/>
      <c r="R6803" s="2"/>
      <c r="S6803" s="2"/>
      <c r="T6803" s="2"/>
      <c r="U6803" s="2"/>
      <c r="V6803" s="2"/>
      <c r="W6803" s="2"/>
    </row>
    <row r="6804" spans="1:23" x14ac:dyDescent="0.25">
      <c r="A6804" s="2"/>
      <c r="B6804" s="2"/>
      <c r="C6804" s="1"/>
      <c r="D6804" s="2"/>
      <c r="E6804" s="2"/>
      <c r="F6804" s="2"/>
      <c r="G6804" s="2"/>
      <c r="H6804" s="2"/>
      <c r="I6804" s="2"/>
      <c r="J6804" s="2"/>
      <c r="K6804" s="2"/>
      <c r="L6804" s="2"/>
      <c r="M6804" s="2"/>
      <c r="N6804" s="2"/>
      <c r="O6804" s="2"/>
      <c r="P6804" s="2"/>
      <c r="Q6804" s="2"/>
      <c r="R6804" s="2"/>
      <c r="S6804" s="2"/>
      <c r="T6804" s="2"/>
      <c r="U6804" s="2"/>
      <c r="V6804" s="2"/>
      <c r="W6804" s="2"/>
    </row>
    <row r="6805" spans="1:23" x14ac:dyDescent="0.25">
      <c r="A6805" s="2"/>
      <c r="B6805" s="2"/>
      <c r="C6805" s="1"/>
      <c r="D6805" s="2"/>
      <c r="E6805" s="2"/>
      <c r="F6805" s="2"/>
      <c r="G6805" s="2"/>
      <c r="H6805" s="2"/>
      <c r="I6805" s="2"/>
      <c r="J6805" s="2"/>
      <c r="K6805" s="2"/>
      <c r="L6805" s="2"/>
      <c r="M6805" s="2"/>
      <c r="N6805" s="2"/>
      <c r="O6805" s="2"/>
      <c r="P6805" s="2"/>
      <c r="Q6805" s="2"/>
      <c r="R6805" s="2"/>
      <c r="S6805" s="2"/>
      <c r="T6805" s="2"/>
      <c r="U6805" s="2"/>
      <c r="V6805" s="2"/>
      <c r="W6805" s="2"/>
    </row>
    <row r="6806" spans="1:23" x14ac:dyDescent="0.25">
      <c r="A6806" s="2"/>
      <c r="B6806" s="2"/>
      <c r="C6806" s="1"/>
      <c r="D6806" s="2"/>
      <c r="E6806" s="2"/>
      <c r="F6806" s="2"/>
      <c r="G6806" s="2"/>
      <c r="H6806" s="2"/>
      <c r="I6806" s="2"/>
      <c r="J6806" s="2"/>
      <c r="K6806" s="2"/>
      <c r="L6806" s="2"/>
      <c r="M6806" s="2"/>
      <c r="N6806" s="2"/>
      <c r="O6806" s="2"/>
      <c r="P6806" s="2"/>
      <c r="Q6806" s="2"/>
      <c r="R6806" s="2"/>
      <c r="S6806" s="2"/>
      <c r="T6806" s="2"/>
      <c r="U6806" s="2"/>
      <c r="V6806" s="2"/>
      <c r="W6806" s="2"/>
    </row>
    <row r="6807" spans="1:23" x14ac:dyDescent="0.25">
      <c r="A6807" s="2"/>
      <c r="B6807" s="2"/>
      <c r="C6807" s="1"/>
      <c r="D6807" s="2"/>
      <c r="E6807" s="2"/>
      <c r="F6807" s="2"/>
      <c r="G6807" s="2"/>
      <c r="H6807" s="2"/>
      <c r="I6807" s="2"/>
      <c r="J6807" s="2"/>
      <c r="K6807" s="2"/>
      <c r="L6807" s="2"/>
      <c r="M6807" s="2"/>
      <c r="N6807" s="2"/>
      <c r="O6807" s="2"/>
      <c r="P6807" s="2"/>
      <c r="Q6807" s="2"/>
      <c r="R6807" s="2"/>
      <c r="S6807" s="2"/>
      <c r="T6807" s="2"/>
      <c r="U6807" s="2"/>
      <c r="V6807" s="2"/>
      <c r="W6807" s="2"/>
    </row>
    <row r="6808" spans="1:23" x14ac:dyDescent="0.25">
      <c r="A6808" s="2"/>
      <c r="B6808" s="2"/>
      <c r="C6808" s="1"/>
      <c r="D6808" s="2"/>
      <c r="E6808" s="2"/>
      <c r="F6808" s="2"/>
      <c r="G6808" s="2"/>
      <c r="H6808" s="2"/>
      <c r="I6808" s="2"/>
      <c r="J6808" s="2"/>
      <c r="K6808" s="2"/>
      <c r="L6808" s="2"/>
      <c r="M6808" s="2"/>
      <c r="N6808" s="2"/>
      <c r="O6808" s="2"/>
      <c r="P6808" s="2"/>
      <c r="Q6808" s="2"/>
      <c r="R6808" s="2"/>
      <c r="S6808" s="2"/>
      <c r="T6808" s="2"/>
      <c r="U6808" s="2"/>
      <c r="V6808" s="2"/>
      <c r="W6808" s="2"/>
    </row>
    <row r="6809" spans="1:23" x14ac:dyDescent="0.25">
      <c r="A6809" s="2"/>
      <c r="B6809" s="2"/>
      <c r="C6809" s="1"/>
      <c r="D6809" s="2"/>
      <c r="E6809" s="2"/>
      <c r="F6809" s="2"/>
      <c r="G6809" s="2"/>
      <c r="H6809" s="2"/>
      <c r="I6809" s="2"/>
      <c r="J6809" s="2"/>
      <c r="K6809" s="2"/>
      <c r="L6809" s="2"/>
      <c r="M6809" s="2"/>
      <c r="N6809" s="2"/>
      <c r="O6809" s="2"/>
      <c r="P6809" s="2"/>
      <c r="Q6809" s="2"/>
      <c r="R6809" s="2"/>
      <c r="S6809" s="2"/>
      <c r="T6809" s="2"/>
      <c r="U6809" s="2"/>
      <c r="V6809" s="2"/>
      <c r="W6809" s="2"/>
    </row>
    <row r="6810" spans="1:23" x14ac:dyDescent="0.25">
      <c r="A6810" s="2"/>
      <c r="B6810" s="2"/>
      <c r="C6810" s="1"/>
      <c r="D6810" s="2"/>
      <c r="E6810" s="2"/>
      <c r="F6810" s="2"/>
      <c r="G6810" s="2"/>
      <c r="H6810" s="2"/>
      <c r="I6810" s="2"/>
      <c r="J6810" s="2"/>
      <c r="K6810" s="2"/>
      <c r="L6810" s="2"/>
      <c r="M6810" s="2"/>
      <c r="N6810" s="2"/>
      <c r="O6810" s="2"/>
      <c r="P6810" s="2"/>
      <c r="Q6810" s="2"/>
      <c r="R6810" s="2"/>
      <c r="S6810" s="2"/>
      <c r="T6810" s="2"/>
      <c r="U6810" s="2"/>
      <c r="V6810" s="2"/>
      <c r="W6810" s="2"/>
    </row>
    <row r="6811" spans="1:23" x14ac:dyDescent="0.25">
      <c r="A6811" s="2"/>
      <c r="B6811" s="2"/>
      <c r="C6811" s="1"/>
      <c r="D6811" s="2"/>
      <c r="E6811" s="2"/>
      <c r="F6811" s="2"/>
      <c r="G6811" s="2"/>
      <c r="H6811" s="2"/>
      <c r="I6811" s="2"/>
      <c r="J6811" s="2"/>
      <c r="K6811" s="2"/>
      <c r="L6811" s="2"/>
      <c r="M6811" s="2"/>
      <c r="N6811" s="2"/>
      <c r="O6811" s="2"/>
      <c r="P6811" s="2"/>
      <c r="Q6811" s="2"/>
      <c r="R6811" s="2"/>
      <c r="S6811" s="2"/>
      <c r="T6811" s="2"/>
      <c r="U6811" s="2"/>
      <c r="V6811" s="2"/>
      <c r="W6811" s="2"/>
    </row>
    <row r="6812" spans="1:23" x14ac:dyDescent="0.25">
      <c r="A6812" s="2"/>
      <c r="B6812" s="2"/>
      <c r="C6812" s="1"/>
      <c r="D6812" s="2"/>
      <c r="E6812" s="2"/>
      <c r="F6812" s="2"/>
      <c r="G6812" s="2"/>
      <c r="H6812" s="2"/>
      <c r="I6812" s="2"/>
      <c r="J6812" s="2"/>
      <c r="K6812" s="2"/>
      <c r="L6812" s="2"/>
      <c r="M6812" s="2"/>
      <c r="N6812" s="2"/>
      <c r="O6812" s="2"/>
      <c r="P6812" s="2"/>
      <c r="Q6812" s="2"/>
      <c r="R6812" s="2"/>
      <c r="S6812" s="2"/>
      <c r="T6812" s="2"/>
      <c r="U6812" s="2"/>
      <c r="V6812" s="2"/>
      <c r="W6812" s="2"/>
    </row>
    <row r="6813" spans="1:23" x14ac:dyDescent="0.25">
      <c r="A6813" s="2"/>
      <c r="B6813" s="2"/>
      <c r="C6813" s="1"/>
      <c r="D6813" s="2"/>
      <c r="E6813" s="2"/>
      <c r="F6813" s="2"/>
      <c r="G6813" s="2"/>
      <c r="H6813" s="2"/>
      <c r="I6813" s="2"/>
      <c r="J6813" s="2"/>
      <c r="K6813" s="2"/>
      <c r="L6813" s="2"/>
      <c r="M6813" s="2"/>
      <c r="N6813" s="2"/>
      <c r="O6813" s="2"/>
      <c r="P6813" s="2"/>
      <c r="Q6813" s="2"/>
      <c r="R6813" s="2"/>
      <c r="S6813" s="2"/>
      <c r="T6813" s="2"/>
      <c r="U6813" s="2"/>
      <c r="V6813" s="2"/>
      <c r="W6813" s="2"/>
    </row>
    <row r="6814" spans="1:23" x14ac:dyDescent="0.25">
      <c r="A6814" s="2"/>
      <c r="B6814" s="2"/>
      <c r="C6814" s="1"/>
      <c r="D6814" s="2"/>
      <c r="E6814" s="2"/>
      <c r="F6814" s="2"/>
      <c r="G6814" s="2"/>
      <c r="H6814" s="2"/>
      <c r="I6814" s="2"/>
      <c r="J6814" s="2"/>
      <c r="K6814" s="2"/>
      <c r="L6814" s="2"/>
      <c r="M6814" s="2"/>
      <c r="N6814" s="2"/>
      <c r="O6814" s="2"/>
      <c r="P6814" s="2"/>
      <c r="Q6814" s="2"/>
      <c r="R6814" s="2"/>
      <c r="S6814" s="2"/>
      <c r="T6814" s="2"/>
      <c r="U6814" s="2"/>
      <c r="V6814" s="2"/>
      <c r="W6814" s="2"/>
    </row>
    <row r="6815" spans="1:23" x14ac:dyDescent="0.25">
      <c r="A6815" s="2"/>
      <c r="B6815" s="2"/>
      <c r="C6815" s="1"/>
      <c r="D6815" s="2"/>
      <c r="E6815" s="2"/>
      <c r="F6815" s="2"/>
      <c r="G6815" s="2"/>
      <c r="H6815" s="2"/>
      <c r="I6815" s="2"/>
      <c r="J6815" s="2"/>
      <c r="K6815" s="2"/>
      <c r="L6815" s="2"/>
      <c r="M6815" s="2"/>
      <c r="N6815" s="2"/>
      <c r="O6815" s="2"/>
      <c r="P6815" s="2"/>
      <c r="Q6815" s="2"/>
      <c r="R6815" s="2"/>
      <c r="S6815" s="2"/>
      <c r="T6815" s="2"/>
      <c r="U6815" s="2"/>
      <c r="V6815" s="2"/>
      <c r="W6815" s="2"/>
    </row>
    <row r="6816" spans="1:23" x14ac:dyDescent="0.25">
      <c r="A6816" s="2"/>
      <c r="B6816" s="2"/>
      <c r="C6816" s="1"/>
      <c r="D6816" s="2"/>
      <c r="E6816" s="2"/>
      <c r="F6816" s="2"/>
      <c r="G6816" s="2"/>
      <c r="H6816" s="2"/>
      <c r="I6816" s="2"/>
      <c r="J6816" s="2"/>
      <c r="K6816" s="2"/>
      <c r="L6816" s="2"/>
      <c r="M6816" s="2"/>
      <c r="N6816" s="2"/>
      <c r="O6816" s="2"/>
      <c r="P6816" s="2"/>
      <c r="Q6816" s="2"/>
      <c r="R6816" s="2"/>
      <c r="S6816" s="2"/>
      <c r="T6816" s="2"/>
      <c r="U6816" s="2"/>
      <c r="V6816" s="2"/>
      <c r="W6816" s="2"/>
    </row>
    <row r="6817" spans="1:23" x14ac:dyDescent="0.25">
      <c r="A6817" s="2"/>
      <c r="B6817" s="2"/>
      <c r="C6817" s="1"/>
      <c r="D6817" s="2"/>
      <c r="E6817" s="2"/>
      <c r="F6817" s="2"/>
      <c r="G6817" s="2"/>
      <c r="H6817" s="2"/>
      <c r="I6817" s="2"/>
      <c r="J6817" s="2"/>
      <c r="K6817" s="2"/>
      <c r="L6817" s="2"/>
      <c r="M6817" s="2"/>
      <c r="N6817" s="2"/>
      <c r="O6817" s="2"/>
      <c r="P6817" s="2"/>
      <c r="Q6817" s="2"/>
      <c r="R6817" s="2"/>
      <c r="S6817" s="2"/>
      <c r="T6817" s="2"/>
      <c r="U6817" s="2"/>
      <c r="V6817" s="2"/>
      <c r="W6817" s="2"/>
    </row>
    <row r="6818" spans="1:23" x14ac:dyDescent="0.25">
      <c r="A6818" s="2"/>
      <c r="B6818" s="2"/>
      <c r="C6818" s="1"/>
      <c r="D6818" s="2"/>
      <c r="E6818" s="2"/>
      <c r="F6818" s="2"/>
      <c r="G6818" s="2"/>
      <c r="H6818" s="2"/>
      <c r="I6818" s="2"/>
      <c r="J6818" s="2"/>
      <c r="K6818" s="2"/>
      <c r="L6818" s="2"/>
      <c r="M6818" s="2"/>
      <c r="N6818" s="2"/>
      <c r="O6818" s="2"/>
      <c r="P6818" s="2"/>
      <c r="Q6818" s="2"/>
      <c r="R6818" s="2"/>
      <c r="S6818" s="2"/>
      <c r="T6818" s="2"/>
      <c r="U6818" s="2"/>
      <c r="V6818" s="2"/>
      <c r="W6818" s="2"/>
    </row>
    <row r="6819" spans="1:23" x14ac:dyDescent="0.25">
      <c r="A6819" s="2"/>
      <c r="B6819" s="2"/>
      <c r="C6819" s="1"/>
      <c r="D6819" s="2"/>
      <c r="E6819" s="2"/>
      <c r="F6819" s="2"/>
      <c r="G6819" s="2"/>
      <c r="H6819" s="2"/>
      <c r="I6819" s="2"/>
      <c r="J6819" s="2"/>
      <c r="K6819" s="2"/>
      <c r="L6819" s="2"/>
      <c r="M6819" s="2"/>
      <c r="N6819" s="2"/>
      <c r="O6819" s="2"/>
      <c r="P6819" s="2"/>
      <c r="Q6819" s="2"/>
      <c r="R6819" s="2"/>
      <c r="S6819" s="2"/>
      <c r="T6819" s="2"/>
      <c r="U6819" s="2"/>
      <c r="V6819" s="2"/>
      <c r="W6819" s="2"/>
    </row>
    <row r="6820" spans="1:23" x14ac:dyDescent="0.25">
      <c r="A6820" s="2"/>
      <c r="B6820" s="2"/>
      <c r="C6820" s="1"/>
      <c r="D6820" s="2"/>
      <c r="E6820" s="2"/>
      <c r="F6820" s="2"/>
      <c r="G6820" s="2"/>
      <c r="H6820" s="2"/>
      <c r="I6820" s="2"/>
      <c r="J6820" s="2"/>
      <c r="K6820" s="2"/>
      <c r="L6820" s="2"/>
      <c r="M6820" s="2"/>
      <c r="N6820" s="2"/>
      <c r="O6820" s="2"/>
      <c r="P6820" s="2"/>
      <c r="Q6820" s="2"/>
      <c r="R6820" s="2"/>
      <c r="S6820" s="2"/>
      <c r="T6820" s="2"/>
      <c r="U6820" s="2"/>
      <c r="V6820" s="2"/>
      <c r="W6820" s="2"/>
    </row>
    <row r="6821" spans="1:23" x14ac:dyDescent="0.25">
      <c r="A6821" s="2"/>
      <c r="B6821" s="2"/>
      <c r="C6821" s="1"/>
      <c r="D6821" s="2"/>
      <c r="E6821" s="2"/>
      <c r="F6821" s="2"/>
      <c r="G6821" s="2"/>
      <c r="H6821" s="2"/>
      <c r="I6821" s="2"/>
      <c r="J6821" s="2"/>
      <c r="K6821" s="2"/>
      <c r="L6821" s="2"/>
      <c r="M6821" s="2"/>
      <c r="N6821" s="2"/>
      <c r="O6821" s="2"/>
      <c r="P6821" s="2"/>
      <c r="Q6821" s="2"/>
      <c r="R6821" s="2"/>
      <c r="S6821" s="2"/>
      <c r="T6821" s="2"/>
      <c r="U6821" s="2"/>
      <c r="V6821" s="2"/>
      <c r="W6821" s="2"/>
    </row>
    <row r="6822" spans="1:23" x14ac:dyDescent="0.25">
      <c r="A6822" s="2"/>
      <c r="B6822" s="2"/>
      <c r="C6822" s="1"/>
      <c r="D6822" s="2"/>
      <c r="E6822" s="2"/>
      <c r="F6822" s="2"/>
      <c r="G6822" s="2"/>
      <c r="H6822" s="2"/>
      <c r="I6822" s="2"/>
      <c r="J6822" s="2"/>
      <c r="K6822" s="2"/>
      <c r="L6822" s="2"/>
      <c r="M6822" s="2"/>
      <c r="N6822" s="2"/>
      <c r="O6822" s="2"/>
      <c r="P6822" s="2"/>
      <c r="Q6822" s="2"/>
      <c r="R6822" s="2"/>
      <c r="S6822" s="2"/>
      <c r="T6822" s="2"/>
      <c r="U6822" s="2"/>
      <c r="V6822" s="2"/>
      <c r="W6822" s="2"/>
    </row>
    <row r="6823" spans="1:23" x14ac:dyDescent="0.25">
      <c r="A6823" s="2"/>
      <c r="B6823" s="2"/>
      <c r="C6823" s="1"/>
      <c r="D6823" s="2"/>
      <c r="E6823" s="2"/>
      <c r="F6823" s="2"/>
      <c r="G6823" s="2"/>
      <c r="H6823" s="2"/>
      <c r="I6823" s="2"/>
      <c r="J6823" s="2"/>
      <c r="K6823" s="2"/>
      <c r="L6823" s="2"/>
      <c r="M6823" s="2"/>
      <c r="N6823" s="2"/>
      <c r="O6823" s="2"/>
      <c r="P6823" s="2"/>
      <c r="Q6823" s="2"/>
      <c r="R6823" s="2"/>
      <c r="S6823" s="2"/>
      <c r="T6823" s="2"/>
      <c r="U6823" s="2"/>
      <c r="V6823" s="2"/>
      <c r="W6823" s="2"/>
    </row>
    <row r="6824" spans="1:23" x14ac:dyDescent="0.25">
      <c r="A6824" s="2"/>
      <c r="B6824" s="2"/>
      <c r="C6824" s="1"/>
      <c r="D6824" s="2"/>
      <c r="E6824" s="2"/>
      <c r="F6824" s="2"/>
      <c r="G6824" s="2"/>
      <c r="H6824" s="2"/>
      <c r="I6824" s="2"/>
      <c r="J6824" s="2"/>
      <c r="K6824" s="2"/>
      <c r="L6824" s="2"/>
      <c r="M6824" s="2"/>
      <c r="N6824" s="2"/>
      <c r="O6824" s="2"/>
      <c r="P6824" s="2"/>
      <c r="Q6824" s="2"/>
      <c r="R6824" s="2"/>
      <c r="S6824" s="2"/>
      <c r="T6824" s="2"/>
      <c r="U6824" s="2"/>
      <c r="V6824" s="2"/>
      <c r="W6824" s="2"/>
    </row>
    <row r="6825" spans="1:23" x14ac:dyDescent="0.25">
      <c r="A6825" s="2"/>
      <c r="B6825" s="2"/>
      <c r="C6825" s="1"/>
      <c r="D6825" s="2"/>
      <c r="E6825" s="2"/>
      <c r="F6825" s="2"/>
      <c r="G6825" s="2"/>
      <c r="H6825" s="2"/>
      <c r="I6825" s="2"/>
      <c r="J6825" s="2"/>
      <c r="K6825" s="2"/>
      <c r="L6825" s="2"/>
      <c r="M6825" s="2"/>
      <c r="N6825" s="2"/>
      <c r="O6825" s="2"/>
      <c r="P6825" s="2"/>
      <c r="Q6825" s="2"/>
      <c r="R6825" s="2"/>
      <c r="S6825" s="2"/>
      <c r="T6825" s="2"/>
      <c r="U6825" s="2"/>
      <c r="V6825" s="2"/>
      <c r="W6825" s="2"/>
    </row>
    <row r="6826" spans="1:23" x14ac:dyDescent="0.25">
      <c r="A6826" s="2"/>
      <c r="B6826" s="2"/>
      <c r="C6826" s="1"/>
      <c r="D6826" s="2"/>
      <c r="E6826" s="2"/>
      <c r="F6826" s="2"/>
      <c r="G6826" s="2"/>
      <c r="H6826" s="2"/>
      <c r="I6826" s="2"/>
      <c r="J6826" s="2"/>
      <c r="K6826" s="2"/>
      <c r="L6826" s="2"/>
      <c r="M6826" s="2"/>
      <c r="N6826" s="2"/>
      <c r="O6826" s="2"/>
      <c r="P6826" s="2"/>
      <c r="Q6826" s="2"/>
      <c r="R6826" s="2"/>
      <c r="S6826" s="2"/>
      <c r="T6826" s="2"/>
      <c r="U6826" s="2"/>
      <c r="V6826" s="2"/>
      <c r="W6826" s="2"/>
    </row>
    <row r="6827" spans="1:23" x14ac:dyDescent="0.25">
      <c r="A6827" s="2"/>
      <c r="B6827" s="2"/>
      <c r="C6827" s="1"/>
      <c r="D6827" s="2"/>
      <c r="E6827" s="2"/>
      <c r="F6827" s="2"/>
      <c r="G6827" s="2"/>
      <c r="H6827" s="2"/>
      <c r="I6827" s="2"/>
      <c r="J6827" s="2"/>
      <c r="K6827" s="2"/>
      <c r="L6827" s="2"/>
      <c r="M6827" s="2"/>
      <c r="N6827" s="2"/>
      <c r="O6827" s="2"/>
      <c r="P6827" s="2"/>
      <c r="Q6827" s="2"/>
      <c r="R6827" s="2"/>
      <c r="S6827" s="2"/>
      <c r="T6827" s="2"/>
      <c r="U6827" s="2"/>
      <c r="V6827" s="2"/>
      <c r="W6827" s="2"/>
    </row>
    <row r="6828" spans="1:23" x14ac:dyDescent="0.25">
      <c r="A6828" s="2"/>
      <c r="B6828" s="2"/>
      <c r="C6828" s="1"/>
      <c r="D6828" s="2"/>
      <c r="E6828" s="2"/>
      <c r="F6828" s="2"/>
      <c r="G6828" s="2"/>
      <c r="H6828" s="2"/>
      <c r="I6828" s="2"/>
      <c r="J6828" s="2"/>
      <c r="K6828" s="2"/>
      <c r="L6828" s="2"/>
      <c r="M6828" s="2"/>
      <c r="N6828" s="2"/>
      <c r="O6828" s="2"/>
      <c r="P6828" s="2"/>
      <c r="Q6828" s="2"/>
      <c r="R6828" s="2"/>
      <c r="S6828" s="2"/>
      <c r="T6828" s="2"/>
      <c r="U6828" s="2"/>
      <c r="V6828" s="2"/>
      <c r="W6828" s="2"/>
    </row>
    <row r="6829" spans="1:23" x14ac:dyDescent="0.25">
      <c r="A6829" s="2"/>
      <c r="B6829" s="2"/>
      <c r="C6829" s="1"/>
      <c r="D6829" s="2"/>
      <c r="E6829" s="2"/>
      <c r="F6829" s="2"/>
      <c r="G6829" s="2"/>
      <c r="H6829" s="2"/>
      <c r="I6829" s="2"/>
      <c r="J6829" s="2"/>
      <c r="K6829" s="2"/>
      <c r="L6829" s="2"/>
      <c r="M6829" s="2"/>
      <c r="N6829" s="2"/>
      <c r="O6829" s="2"/>
      <c r="P6829" s="2"/>
      <c r="Q6829" s="2"/>
      <c r="R6829" s="2"/>
      <c r="S6829" s="2"/>
      <c r="T6829" s="2"/>
      <c r="U6829" s="2"/>
      <c r="V6829" s="2"/>
      <c r="W6829" s="2"/>
    </row>
    <row r="6830" spans="1:23" x14ac:dyDescent="0.25">
      <c r="A6830" s="2"/>
      <c r="B6830" s="2"/>
      <c r="C6830" s="1"/>
      <c r="D6830" s="2"/>
      <c r="E6830" s="2"/>
      <c r="F6830" s="2"/>
      <c r="G6830" s="2"/>
      <c r="H6830" s="2"/>
      <c r="I6830" s="2"/>
      <c r="J6830" s="2"/>
      <c r="K6830" s="2"/>
      <c r="L6830" s="2"/>
      <c r="M6830" s="2"/>
      <c r="N6830" s="2"/>
      <c r="O6830" s="2"/>
      <c r="P6830" s="2"/>
      <c r="Q6830" s="2"/>
      <c r="R6830" s="2"/>
      <c r="S6830" s="2"/>
      <c r="T6830" s="2"/>
      <c r="U6830" s="2"/>
      <c r="V6830" s="2"/>
      <c r="W6830" s="2"/>
    </row>
    <row r="6831" spans="1:23" x14ac:dyDescent="0.25">
      <c r="A6831" s="2"/>
      <c r="B6831" s="2"/>
      <c r="C6831" s="1"/>
      <c r="D6831" s="2"/>
      <c r="E6831" s="2"/>
      <c r="F6831" s="2"/>
      <c r="G6831" s="2"/>
      <c r="H6831" s="2"/>
      <c r="I6831" s="2"/>
      <c r="J6831" s="2"/>
      <c r="K6831" s="2"/>
      <c r="L6831" s="2"/>
      <c r="M6831" s="2"/>
      <c r="N6831" s="2"/>
      <c r="O6831" s="2"/>
      <c r="P6831" s="2"/>
      <c r="Q6831" s="2"/>
      <c r="R6831" s="2"/>
      <c r="S6831" s="2"/>
      <c r="T6831" s="2"/>
      <c r="U6831" s="2"/>
      <c r="V6831" s="2"/>
      <c r="W6831" s="2"/>
    </row>
    <row r="6832" spans="1:23" x14ac:dyDescent="0.25">
      <c r="A6832" s="2"/>
      <c r="B6832" s="2"/>
      <c r="C6832" s="1"/>
      <c r="D6832" s="2"/>
      <c r="E6832" s="2"/>
      <c r="F6832" s="2"/>
      <c r="G6832" s="2"/>
      <c r="H6832" s="2"/>
      <c r="I6832" s="2"/>
      <c r="J6832" s="2"/>
      <c r="K6832" s="2"/>
      <c r="L6832" s="2"/>
      <c r="M6832" s="2"/>
      <c r="N6832" s="2"/>
      <c r="O6832" s="2"/>
      <c r="P6832" s="2"/>
      <c r="Q6832" s="2"/>
      <c r="R6832" s="2"/>
      <c r="S6832" s="2"/>
      <c r="T6832" s="2"/>
      <c r="U6832" s="2"/>
      <c r="V6832" s="2"/>
      <c r="W6832" s="2"/>
    </row>
    <row r="6833" spans="1:23" x14ac:dyDescent="0.25">
      <c r="A6833" s="2"/>
      <c r="B6833" s="2"/>
      <c r="C6833" s="1"/>
      <c r="D6833" s="2"/>
      <c r="E6833" s="2"/>
      <c r="F6833" s="2"/>
      <c r="G6833" s="2"/>
      <c r="H6833" s="2"/>
      <c r="I6833" s="2"/>
      <c r="J6833" s="2"/>
      <c r="K6833" s="2"/>
      <c r="L6833" s="2"/>
      <c r="M6833" s="2"/>
      <c r="N6833" s="2"/>
      <c r="O6833" s="2"/>
      <c r="P6833" s="2"/>
      <c r="Q6833" s="2"/>
      <c r="R6833" s="2"/>
      <c r="S6833" s="2"/>
      <c r="T6833" s="2"/>
      <c r="U6833" s="2"/>
      <c r="V6833" s="2"/>
      <c r="W6833" s="2"/>
    </row>
    <row r="6834" spans="1:23" x14ac:dyDescent="0.25">
      <c r="A6834" s="2"/>
      <c r="B6834" s="2"/>
      <c r="C6834" s="1"/>
      <c r="D6834" s="2"/>
      <c r="E6834" s="2"/>
      <c r="F6834" s="2"/>
      <c r="G6834" s="2"/>
      <c r="H6834" s="2"/>
      <c r="I6834" s="2"/>
      <c r="J6834" s="2"/>
      <c r="K6834" s="2"/>
      <c r="L6834" s="2"/>
      <c r="M6834" s="2"/>
      <c r="N6834" s="2"/>
      <c r="O6834" s="2"/>
      <c r="P6834" s="2"/>
      <c r="Q6834" s="2"/>
      <c r="R6834" s="2"/>
      <c r="S6834" s="2"/>
      <c r="T6834" s="2"/>
      <c r="U6834" s="2"/>
      <c r="V6834" s="2"/>
      <c r="W6834" s="2"/>
    </row>
    <row r="6835" spans="1:23" x14ac:dyDescent="0.25">
      <c r="A6835" s="2"/>
      <c r="B6835" s="2"/>
      <c r="C6835" s="1"/>
      <c r="D6835" s="2"/>
      <c r="E6835" s="2"/>
      <c r="F6835" s="2"/>
      <c r="G6835" s="2"/>
      <c r="H6835" s="2"/>
      <c r="I6835" s="2"/>
      <c r="J6835" s="2"/>
      <c r="K6835" s="2"/>
      <c r="L6835" s="2"/>
      <c r="M6835" s="2"/>
      <c r="N6835" s="2"/>
      <c r="O6835" s="2"/>
      <c r="P6835" s="2"/>
      <c r="Q6835" s="2"/>
      <c r="R6835" s="2"/>
      <c r="S6835" s="2"/>
      <c r="T6835" s="2"/>
      <c r="U6835" s="2"/>
      <c r="V6835" s="2"/>
      <c r="W6835" s="2"/>
    </row>
    <row r="6836" spans="1:23" x14ac:dyDescent="0.25">
      <c r="A6836" s="2"/>
      <c r="B6836" s="2"/>
      <c r="C6836" s="1"/>
      <c r="D6836" s="2"/>
      <c r="E6836" s="2"/>
      <c r="F6836" s="2"/>
      <c r="G6836" s="2"/>
      <c r="H6836" s="2"/>
      <c r="I6836" s="2"/>
      <c r="J6836" s="2"/>
      <c r="K6836" s="2"/>
      <c r="L6836" s="2"/>
      <c r="M6836" s="2"/>
      <c r="N6836" s="2"/>
      <c r="O6836" s="2"/>
      <c r="P6836" s="2"/>
      <c r="Q6836" s="2"/>
      <c r="R6836" s="2"/>
      <c r="S6836" s="2"/>
      <c r="T6836" s="2"/>
      <c r="U6836" s="2"/>
      <c r="V6836" s="2"/>
      <c r="W6836" s="2"/>
    </row>
    <row r="6837" spans="1:23" x14ac:dyDescent="0.25">
      <c r="A6837" s="2"/>
      <c r="B6837" s="2"/>
      <c r="C6837" s="1"/>
      <c r="D6837" s="2"/>
      <c r="E6837" s="2"/>
      <c r="F6837" s="2"/>
      <c r="G6837" s="2"/>
      <c r="H6837" s="2"/>
      <c r="I6837" s="2"/>
      <c r="J6837" s="2"/>
      <c r="K6837" s="2"/>
      <c r="L6837" s="2"/>
      <c r="M6837" s="2"/>
      <c r="N6837" s="2"/>
      <c r="O6837" s="2"/>
      <c r="P6837" s="2"/>
      <c r="Q6837" s="2"/>
      <c r="R6837" s="2"/>
      <c r="S6837" s="2"/>
      <c r="T6837" s="2"/>
      <c r="U6837" s="2"/>
      <c r="V6837" s="2"/>
      <c r="W6837" s="2"/>
    </row>
    <row r="6838" spans="1:23" x14ac:dyDescent="0.25">
      <c r="A6838" s="2"/>
      <c r="B6838" s="2"/>
      <c r="C6838" s="1"/>
      <c r="D6838" s="2"/>
      <c r="E6838" s="2"/>
      <c r="F6838" s="2"/>
      <c r="G6838" s="2"/>
      <c r="H6838" s="2"/>
      <c r="I6838" s="2"/>
      <c r="J6838" s="2"/>
      <c r="K6838" s="2"/>
      <c r="L6838" s="2"/>
      <c r="M6838" s="2"/>
      <c r="N6838" s="2"/>
      <c r="O6838" s="2"/>
      <c r="P6838" s="2"/>
      <c r="Q6838" s="2"/>
      <c r="R6838" s="2"/>
      <c r="S6838" s="2"/>
      <c r="T6838" s="2"/>
      <c r="U6838" s="2"/>
      <c r="V6838" s="2"/>
      <c r="W6838" s="2"/>
    </row>
    <row r="6839" spans="1:23" x14ac:dyDescent="0.25">
      <c r="A6839" s="2"/>
      <c r="B6839" s="2"/>
      <c r="C6839" s="1"/>
      <c r="D6839" s="2"/>
      <c r="E6839" s="2"/>
      <c r="F6839" s="2"/>
      <c r="G6839" s="2"/>
      <c r="H6839" s="2"/>
      <c r="I6839" s="2"/>
      <c r="J6839" s="2"/>
      <c r="K6839" s="2"/>
      <c r="L6839" s="2"/>
      <c r="M6839" s="2"/>
      <c r="N6839" s="2"/>
      <c r="O6839" s="2"/>
      <c r="P6839" s="2"/>
      <c r="Q6839" s="2"/>
      <c r="R6839" s="2"/>
      <c r="S6839" s="2"/>
      <c r="T6839" s="2"/>
      <c r="U6839" s="2"/>
      <c r="V6839" s="2"/>
      <c r="W6839" s="2"/>
    </row>
    <row r="6840" spans="1:23" x14ac:dyDescent="0.25">
      <c r="A6840" s="2"/>
      <c r="B6840" s="2"/>
      <c r="C6840" s="1"/>
      <c r="D6840" s="2"/>
      <c r="E6840" s="2"/>
      <c r="F6840" s="2"/>
      <c r="G6840" s="2"/>
      <c r="H6840" s="2"/>
      <c r="I6840" s="2"/>
      <c r="J6840" s="2"/>
      <c r="K6840" s="2"/>
      <c r="L6840" s="2"/>
      <c r="M6840" s="2"/>
      <c r="N6840" s="2"/>
      <c r="O6840" s="2"/>
      <c r="P6840" s="2"/>
      <c r="Q6840" s="2"/>
      <c r="R6840" s="2"/>
      <c r="S6840" s="2"/>
      <c r="T6840" s="2"/>
      <c r="U6840" s="2"/>
      <c r="V6840" s="2"/>
      <c r="W6840" s="2"/>
    </row>
    <row r="6841" spans="1:23" x14ac:dyDescent="0.25">
      <c r="A6841" s="2"/>
      <c r="B6841" s="2"/>
      <c r="C6841" s="1"/>
      <c r="D6841" s="2"/>
      <c r="E6841" s="2"/>
      <c r="F6841" s="2"/>
      <c r="G6841" s="2"/>
      <c r="H6841" s="2"/>
      <c r="I6841" s="2"/>
      <c r="J6841" s="2"/>
      <c r="K6841" s="2"/>
      <c r="L6841" s="2"/>
      <c r="M6841" s="2"/>
      <c r="N6841" s="2"/>
      <c r="O6841" s="2"/>
      <c r="P6841" s="2"/>
      <c r="Q6841" s="2"/>
      <c r="R6841" s="2"/>
      <c r="S6841" s="2"/>
      <c r="T6841" s="2"/>
      <c r="U6841" s="2"/>
      <c r="V6841" s="2"/>
      <c r="W6841" s="2"/>
    </row>
    <row r="6842" spans="1:23" x14ac:dyDescent="0.25">
      <c r="A6842" s="2"/>
      <c r="B6842" s="2"/>
      <c r="C6842" s="1"/>
      <c r="D6842" s="2"/>
      <c r="E6842" s="2"/>
      <c r="F6842" s="2"/>
      <c r="G6842" s="2"/>
      <c r="H6842" s="2"/>
      <c r="I6842" s="2"/>
      <c r="J6842" s="2"/>
      <c r="K6842" s="2"/>
      <c r="L6842" s="2"/>
      <c r="M6842" s="2"/>
      <c r="N6842" s="2"/>
      <c r="O6842" s="2"/>
      <c r="P6842" s="2"/>
      <c r="Q6842" s="2"/>
      <c r="R6842" s="2"/>
      <c r="S6842" s="2"/>
      <c r="T6842" s="2"/>
      <c r="U6842" s="2"/>
      <c r="V6842" s="2"/>
      <c r="W6842" s="2"/>
    </row>
    <row r="6843" spans="1:23" x14ac:dyDescent="0.25">
      <c r="A6843" s="2"/>
      <c r="B6843" s="2"/>
      <c r="C6843" s="1"/>
      <c r="D6843" s="2"/>
      <c r="E6843" s="2"/>
      <c r="F6843" s="2"/>
      <c r="G6843" s="2"/>
      <c r="H6843" s="2"/>
      <c r="I6843" s="2"/>
      <c r="J6843" s="2"/>
      <c r="K6843" s="2"/>
      <c r="L6843" s="2"/>
      <c r="M6843" s="2"/>
      <c r="N6843" s="2"/>
      <c r="O6843" s="2"/>
      <c r="P6843" s="2"/>
      <c r="Q6843" s="2"/>
      <c r="R6843" s="2"/>
      <c r="S6843" s="2"/>
      <c r="T6843" s="2"/>
      <c r="U6843" s="2"/>
      <c r="V6843" s="2"/>
      <c r="W6843" s="2"/>
    </row>
    <row r="6844" spans="1:23" x14ac:dyDescent="0.25">
      <c r="A6844" s="2"/>
      <c r="B6844" s="2"/>
      <c r="C6844" s="1"/>
      <c r="D6844" s="2"/>
      <c r="E6844" s="2"/>
      <c r="F6844" s="2"/>
      <c r="G6844" s="2"/>
      <c r="H6844" s="2"/>
      <c r="I6844" s="2"/>
      <c r="J6844" s="2"/>
      <c r="K6844" s="2"/>
      <c r="L6844" s="2"/>
      <c r="M6844" s="2"/>
      <c r="N6844" s="2"/>
      <c r="O6844" s="2"/>
      <c r="P6844" s="2"/>
      <c r="Q6844" s="2"/>
      <c r="R6844" s="2"/>
      <c r="S6844" s="2"/>
      <c r="T6844" s="2"/>
      <c r="U6844" s="2"/>
      <c r="V6844" s="2"/>
      <c r="W6844" s="2"/>
    </row>
    <row r="6845" spans="1:23" x14ac:dyDescent="0.25">
      <c r="A6845" s="2"/>
      <c r="B6845" s="2"/>
      <c r="C6845" s="1"/>
      <c r="D6845" s="2"/>
      <c r="E6845" s="2"/>
      <c r="F6845" s="2"/>
      <c r="G6845" s="2"/>
      <c r="H6845" s="2"/>
      <c r="I6845" s="2"/>
      <c r="J6845" s="2"/>
      <c r="K6845" s="2"/>
      <c r="L6845" s="2"/>
      <c r="M6845" s="2"/>
      <c r="N6845" s="2"/>
      <c r="O6845" s="2"/>
      <c r="P6845" s="2"/>
      <c r="Q6845" s="2"/>
      <c r="R6845" s="2"/>
      <c r="S6845" s="2"/>
      <c r="T6845" s="2"/>
      <c r="U6845" s="2"/>
      <c r="V6845" s="2"/>
      <c r="W6845" s="2"/>
    </row>
    <row r="6846" spans="1:23" x14ac:dyDescent="0.25">
      <c r="A6846" s="2"/>
      <c r="B6846" s="2"/>
      <c r="C6846" s="1"/>
      <c r="D6846" s="2"/>
      <c r="E6846" s="2"/>
      <c r="F6846" s="2"/>
      <c r="G6846" s="2"/>
      <c r="H6846" s="2"/>
      <c r="I6846" s="2"/>
      <c r="J6846" s="2"/>
      <c r="K6846" s="2"/>
      <c r="L6846" s="2"/>
      <c r="M6846" s="2"/>
      <c r="N6846" s="2"/>
      <c r="O6846" s="2"/>
      <c r="P6846" s="2"/>
      <c r="Q6846" s="2"/>
      <c r="R6846" s="2"/>
      <c r="S6846" s="2"/>
      <c r="T6846" s="2"/>
      <c r="U6846" s="2"/>
      <c r="V6846" s="2"/>
      <c r="W6846" s="2"/>
    </row>
    <row r="6847" spans="1:23" x14ac:dyDescent="0.25">
      <c r="A6847" s="2"/>
      <c r="B6847" s="2"/>
      <c r="C6847" s="1"/>
      <c r="D6847" s="2"/>
      <c r="E6847" s="2"/>
      <c r="F6847" s="2"/>
      <c r="G6847" s="2"/>
      <c r="H6847" s="2"/>
      <c r="I6847" s="2"/>
      <c r="J6847" s="2"/>
      <c r="K6847" s="2"/>
      <c r="L6847" s="2"/>
      <c r="M6847" s="2"/>
      <c r="N6847" s="2"/>
      <c r="O6847" s="2"/>
      <c r="P6847" s="2"/>
      <c r="Q6847" s="2"/>
      <c r="R6847" s="2"/>
      <c r="S6847" s="2"/>
      <c r="T6847" s="2"/>
      <c r="U6847" s="2"/>
      <c r="V6847" s="2"/>
      <c r="W6847" s="2"/>
    </row>
    <row r="6848" spans="1:23" x14ac:dyDescent="0.25">
      <c r="A6848" s="2"/>
      <c r="B6848" s="2"/>
      <c r="C6848" s="1"/>
      <c r="D6848" s="2"/>
      <c r="E6848" s="2"/>
      <c r="F6848" s="2"/>
      <c r="G6848" s="2"/>
      <c r="H6848" s="2"/>
      <c r="I6848" s="2"/>
      <c r="J6848" s="2"/>
      <c r="K6848" s="2"/>
      <c r="L6848" s="2"/>
      <c r="M6848" s="2"/>
      <c r="N6848" s="2"/>
      <c r="O6848" s="2"/>
      <c r="P6848" s="2"/>
      <c r="Q6848" s="2"/>
      <c r="R6848" s="2"/>
      <c r="S6848" s="2"/>
      <c r="T6848" s="2"/>
      <c r="U6848" s="2"/>
      <c r="V6848" s="2"/>
      <c r="W6848" s="2"/>
    </row>
    <row r="6849" spans="1:23" x14ac:dyDescent="0.25">
      <c r="A6849" s="2"/>
      <c r="B6849" s="2"/>
      <c r="C6849" s="1"/>
      <c r="D6849" s="2"/>
      <c r="E6849" s="2"/>
      <c r="F6849" s="2"/>
      <c r="G6849" s="2"/>
      <c r="H6849" s="2"/>
      <c r="I6849" s="2"/>
      <c r="J6849" s="2"/>
      <c r="K6849" s="2"/>
      <c r="L6849" s="2"/>
      <c r="M6849" s="2"/>
      <c r="N6849" s="2"/>
      <c r="O6849" s="2"/>
      <c r="P6849" s="2"/>
      <c r="Q6849" s="2"/>
      <c r="R6849" s="2"/>
      <c r="S6849" s="2"/>
      <c r="T6849" s="2"/>
      <c r="U6849" s="2"/>
      <c r="V6849" s="2"/>
      <c r="W6849" s="2"/>
    </row>
    <row r="6850" spans="1:23" x14ac:dyDescent="0.25">
      <c r="A6850" s="2"/>
      <c r="B6850" s="2"/>
      <c r="C6850" s="1"/>
      <c r="D6850" s="2"/>
      <c r="E6850" s="2"/>
      <c r="F6850" s="2"/>
      <c r="G6850" s="2"/>
      <c r="H6850" s="2"/>
      <c r="I6850" s="2"/>
      <c r="J6850" s="2"/>
      <c r="K6850" s="2"/>
      <c r="L6850" s="2"/>
      <c r="M6850" s="2"/>
      <c r="N6850" s="2"/>
      <c r="O6850" s="2"/>
      <c r="P6850" s="2"/>
      <c r="Q6850" s="2"/>
      <c r="R6850" s="2"/>
      <c r="S6850" s="2"/>
      <c r="T6850" s="2"/>
      <c r="U6850" s="2"/>
      <c r="V6850" s="2"/>
      <c r="W6850" s="2"/>
    </row>
    <row r="6851" spans="1:23" x14ac:dyDescent="0.25">
      <c r="A6851" s="2"/>
      <c r="B6851" s="2"/>
      <c r="C6851" s="1"/>
      <c r="D6851" s="2"/>
      <c r="E6851" s="2"/>
      <c r="F6851" s="2"/>
      <c r="G6851" s="2"/>
      <c r="H6851" s="2"/>
      <c r="I6851" s="2"/>
      <c r="J6851" s="2"/>
      <c r="K6851" s="2"/>
      <c r="L6851" s="2"/>
      <c r="M6851" s="2"/>
      <c r="N6851" s="2"/>
      <c r="O6851" s="2"/>
      <c r="P6851" s="2"/>
      <c r="Q6851" s="2"/>
      <c r="R6851" s="2"/>
      <c r="S6851" s="2"/>
      <c r="T6851" s="2"/>
      <c r="U6851" s="2"/>
      <c r="V6851" s="2"/>
      <c r="W6851" s="2"/>
    </row>
    <row r="6852" spans="1:23" x14ac:dyDescent="0.25">
      <c r="A6852" s="2"/>
      <c r="B6852" s="2"/>
      <c r="C6852" s="1"/>
      <c r="D6852" s="2"/>
      <c r="E6852" s="2"/>
      <c r="F6852" s="2"/>
      <c r="G6852" s="2"/>
      <c r="H6852" s="2"/>
      <c r="I6852" s="2"/>
      <c r="J6852" s="2"/>
      <c r="K6852" s="2"/>
      <c r="L6852" s="2"/>
      <c r="M6852" s="2"/>
      <c r="N6852" s="2"/>
      <c r="O6852" s="2"/>
      <c r="P6852" s="2"/>
      <c r="Q6852" s="2"/>
      <c r="R6852" s="2"/>
      <c r="S6852" s="2"/>
      <c r="T6852" s="2"/>
      <c r="U6852" s="2"/>
      <c r="V6852" s="2"/>
      <c r="W6852" s="2"/>
    </row>
    <row r="6853" spans="1:23" x14ac:dyDescent="0.25">
      <c r="A6853" s="2"/>
      <c r="B6853" s="2"/>
      <c r="C6853" s="1"/>
      <c r="D6853" s="2"/>
      <c r="E6853" s="2"/>
      <c r="F6853" s="2"/>
      <c r="G6853" s="2"/>
      <c r="H6853" s="2"/>
      <c r="I6853" s="2"/>
      <c r="J6853" s="2"/>
      <c r="K6853" s="2"/>
      <c r="L6853" s="2"/>
      <c r="M6853" s="2"/>
      <c r="N6853" s="2"/>
      <c r="O6853" s="2"/>
      <c r="P6853" s="2"/>
      <c r="Q6853" s="2"/>
      <c r="R6853" s="2"/>
      <c r="S6853" s="2"/>
      <c r="T6853" s="2"/>
      <c r="U6853" s="2"/>
      <c r="V6853" s="2"/>
      <c r="W6853" s="2"/>
    </row>
    <row r="6854" spans="1:23" x14ac:dyDescent="0.25">
      <c r="A6854" s="2"/>
      <c r="B6854" s="2"/>
      <c r="C6854" s="1"/>
      <c r="D6854" s="2"/>
      <c r="E6854" s="2"/>
      <c r="F6854" s="2"/>
      <c r="G6854" s="2"/>
      <c r="H6854" s="2"/>
      <c r="I6854" s="2"/>
      <c r="J6854" s="2"/>
      <c r="K6854" s="2"/>
      <c r="L6854" s="2"/>
      <c r="M6854" s="2"/>
      <c r="N6854" s="2"/>
      <c r="O6854" s="2"/>
      <c r="P6854" s="2"/>
      <c r="Q6854" s="2"/>
      <c r="R6854" s="2"/>
      <c r="S6854" s="2"/>
      <c r="T6854" s="2"/>
      <c r="U6854" s="2"/>
      <c r="V6854" s="2"/>
      <c r="W6854" s="2"/>
    </row>
    <row r="6855" spans="1:23" x14ac:dyDescent="0.25">
      <c r="A6855" s="2"/>
      <c r="B6855" s="2"/>
      <c r="C6855" s="1"/>
      <c r="D6855" s="2"/>
      <c r="E6855" s="2"/>
      <c r="F6855" s="2"/>
      <c r="G6855" s="2"/>
      <c r="H6855" s="2"/>
      <c r="I6855" s="2"/>
      <c r="J6855" s="2"/>
      <c r="K6855" s="2"/>
      <c r="L6855" s="2"/>
      <c r="M6855" s="2"/>
      <c r="N6855" s="2"/>
      <c r="O6855" s="2"/>
      <c r="P6855" s="2"/>
      <c r="Q6855" s="2"/>
      <c r="R6855" s="2"/>
      <c r="S6855" s="2"/>
      <c r="T6855" s="2"/>
      <c r="U6855" s="2"/>
      <c r="V6855" s="2"/>
      <c r="W6855" s="2"/>
    </row>
    <row r="6856" spans="1:23" x14ac:dyDescent="0.25">
      <c r="A6856" s="2"/>
      <c r="B6856" s="2"/>
      <c r="C6856" s="1"/>
      <c r="D6856" s="2"/>
      <c r="E6856" s="2"/>
      <c r="F6856" s="2"/>
      <c r="G6856" s="2"/>
      <c r="H6856" s="2"/>
      <c r="I6856" s="2"/>
      <c r="J6856" s="2"/>
      <c r="K6856" s="2"/>
      <c r="L6856" s="2"/>
      <c r="M6856" s="2"/>
      <c r="N6856" s="2"/>
      <c r="O6856" s="2"/>
      <c r="P6856" s="2"/>
      <c r="Q6856" s="2"/>
      <c r="R6856" s="2"/>
      <c r="S6856" s="2"/>
      <c r="T6856" s="2"/>
      <c r="U6856" s="2"/>
      <c r="V6856" s="2"/>
      <c r="W6856" s="2"/>
    </row>
    <row r="6857" spans="1:23" x14ac:dyDescent="0.25">
      <c r="A6857" s="2"/>
      <c r="B6857" s="2"/>
      <c r="C6857" s="1"/>
      <c r="D6857" s="2"/>
      <c r="E6857" s="2"/>
      <c r="F6857" s="2"/>
      <c r="G6857" s="2"/>
      <c r="H6857" s="2"/>
      <c r="I6857" s="2"/>
      <c r="J6857" s="2"/>
      <c r="K6857" s="2"/>
      <c r="L6857" s="2"/>
      <c r="M6857" s="2"/>
      <c r="N6857" s="2"/>
      <c r="O6857" s="2"/>
      <c r="P6857" s="2"/>
      <c r="Q6857" s="2"/>
      <c r="R6857" s="2"/>
      <c r="S6857" s="2"/>
      <c r="T6857" s="2"/>
      <c r="U6857" s="2"/>
      <c r="V6857" s="2"/>
      <c r="W6857" s="2"/>
    </row>
    <row r="6858" spans="1:23" x14ac:dyDescent="0.25">
      <c r="A6858" s="2"/>
      <c r="B6858" s="2"/>
      <c r="C6858" s="1"/>
      <c r="D6858" s="2"/>
      <c r="E6858" s="2"/>
      <c r="F6858" s="2"/>
      <c r="G6858" s="2"/>
      <c r="H6858" s="2"/>
      <c r="I6858" s="2"/>
      <c r="J6858" s="2"/>
      <c r="K6858" s="2"/>
      <c r="L6858" s="2"/>
      <c r="M6858" s="2"/>
      <c r="N6858" s="2"/>
      <c r="O6858" s="2"/>
      <c r="P6858" s="2"/>
      <c r="Q6858" s="2"/>
      <c r="R6858" s="2"/>
      <c r="S6858" s="2"/>
      <c r="T6858" s="2"/>
      <c r="U6858" s="2"/>
      <c r="V6858" s="2"/>
      <c r="W6858" s="2"/>
    </row>
    <row r="6859" spans="1:23" x14ac:dyDescent="0.25">
      <c r="A6859" s="2"/>
      <c r="B6859" s="2"/>
      <c r="C6859" s="1"/>
      <c r="D6859" s="2"/>
      <c r="E6859" s="2"/>
      <c r="F6859" s="2"/>
      <c r="G6859" s="2"/>
      <c r="H6859" s="2"/>
      <c r="I6859" s="2"/>
      <c r="J6859" s="2"/>
      <c r="K6859" s="2"/>
      <c r="L6859" s="2"/>
      <c r="M6859" s="2"/>
      <c r="N6859" s="2"/>
      <c r="O6859" s="2"/>
      <c r="P6859" s="2"/>
      <c r="Q6859" s="2"/>
      <c r="R6859" s="2"/>
      <c r="S6859" s="2"/>
      <c r="T6859" s="2"/>
      <c r="U6859" s="2"/>
      <c r="V6859" s="2"/>
      <c r="W6859" s="2"/>
    </row>
    <row r="6860" spans="1:23" x14ac:dyDescent="0.25">
      <c r="A6860" s="2"/>
      <c r="B6860" s="2"/>
      <c r="C6860" s="1"/>
      <c r="D6860" s="2"/>
      <c r="E6860" s="2"/>
      <c r="F6860" s="2"/>
      <c r="G6860" s="2"/>
      <c r="H6860" s="2"/>
      <c r="I6860" s="2"/>
      <c r="J6860" s="2"/>
      <c r="K6860" s="2"/>
      <c r="L6860" s="2"/>
      <c r="M6860" s="2"/>
      <c r="N6860" s="2"/>
      <c r="O6860" s="2"/>
      <c r="P6860" s="2"/>
      <c r="Q6860" s="2"/>
      <c r="R6860" s="2"/>
      <c r="S6860" s="2"/>
      <c r="T6860" s="2"/>
      <c r="U6860" s="2"/>
      <c r="V6860" s="2"/>
      <c r="W6860" s="2"/>
    </row>
    <row r="6861" spans="1:23" x14ac:dyDescent="0.25">
      <c r="A6861" s="2"/>
      <c r="B6861" s="2"/>
      <c r="C6861" s="1"/>
      <c r="D6861" s="2"/>
      <c r="E6861" s="2"/>
      <c r="F6861" s="2"/>
      <c r="G6861" s="2"/>
      <c r="H6861" s="2"/>
      <c r="I6861" s="2"/>
      <c r="J6861" s="2"/>
      <c r="K6861" s="2"/>
      <c r="L6861" s="2"/>
      <c r="M6861" s="2"/>
      <c r="N6861" s="2"/>
      <c r="O6861" s="2"/>
      <c r="P6861" s="2"/>
      <c r="Q6861" s="2"/>
      <c r="R6861" s="2"/>
      <c r="S6861" s="2"/>
      <c r="T6861" s="2"/>
      <c r="U6861" s="2"/>
      <c r="V6861" s="2"/>
      <c r="W6861" s="2"/>
    </row>
    <row r="6862" spans="1:23" x14ac:dyDescent="0.25">
      <c r="A6862" s="2"/>
      <c r="B6862" s="2"/>
      <c r="C6862" s="1"/>
      <c r="D6862" s="2"/>
      <c r="E6862" s="2"/>
      <c r="F6862" s="2"/>
      <c r="G6862" s="2"/>
      <c r="H6862" s="2"/>
      <c r="I6862" s="2"/>
      <c r="J6862" s="2"/>
      <c r="K6862" s="2"/>
      <c r="L6862" s="2"/>
      <c r="M6862" s="2"/>
      <c r="N6862" s="2"/>
      <c r="O6862" s="2"/>
      <c r="P6862" s="2"/>
      <c r="Q6862" s="2"/>
      <c r="R6862" s="2"/>
      <c r="S6862" s="2"/>
      <c r="T6862" s="2"/>
      <c r="U6862" s="2"/>
      <c r="V6862" s="2"/>
      <c r="W6862" s="2"/>
    </row>
    <row r="6863" spans="1:23" x14ac:dyDescent="0.25">
      <c r="A6863" s="2"/>
      <c r="B6863" s="2"/>
      <c r="C6863" s="1"/>
      <c r="D6863" s="2"/>
      <c r="E6863" s="2"/>
      <c r="F6863" s="2"/>
      <c r="G6863" s="2"/>
      <c r="H6863" s="2"/>
      <c r="I6863" s="2"/>
      <c r="J6863" s="2"/>
      <c r="K6863" s="2"/>
      <c r="L6863" s="2"/>
      <c r="M6863" s="2"/>
      <c r="N6863" s="2"/>
      <c r="O6863" s="2"/>
      <c r="P6863" s="2"/>
      <c r="Q6863" s="2"/>
      <c r="R6863" s="2"/>
      <c r="S6863" s="2"/>
      <c r="T6863" s="2"/>
      <c r="U6863" s="2"/>
      <c r="V6863" s="2"/>
      <c r="W6863" s="2"/>
    </row>
    <row r="6864" spans="1:23" x14ac:dyDescent="0.25">
      <c r="A6864" s="2"/>
      <c r="B6864" s="2"/>
      <c r="C6864" s="1"/>
      <c r="D6864" s="2"/>
      <c r="E6864" s="2"/>
      <c r="F6864" s="2"/>
      <c r="G6864" s="2"/>
      <c r="H6864" s="2"/>
      <c r="I6864" s="2"/>
      <c r="J6864" s="2"/>
      <c r="K6864" s="2"/>
      <c r="L6864" s="2"/>
      <c r="M6864" s="2"/>
      <c r="N6864" s="2"/>
      <c r="O6864" s="2"/>
      <c r="P6864" s="2"/>
      <c r="Q6864" s="2"/>
      <c r="R6864" s="2"/>
      <c r="S6864" s="2"/>
      <c r="T6864" s="2"/>
      <c r="U6864" s="2"/>
      <c r="V6864" s="2"/>
      <c r="W6864" s="2"/>
    </row>
    <row r="6865" spans="1:23" x14ac:dyDescent="0.25">
      <c r="A6865" s="2"/>
      <c r="B6865" s="2"/>
      <c r="C6865" s="1"/>
      <c r="D6865" s="2"/>
      <c r="E6865" s="2"/>
      <c r="F6865" s="2"/>
      <c r="G6865" s="2"/>
      <c r="H6865" s="2"/>
      <c r="I6865" s="2"/>
      <c r="J6865" s="2"/>
      <c r="K6865" s="2"/>
      <c r="L6865" s="2"/>
      <c r="M6865" s="2"/>
      <c r="N6865" s="2"/>
      <c r="O6865" s="2"/>
      <c r="P6865" s="2"/>
      <c r="Q6865" s="2"/>
      <c r="R6865" s="2"/>
      <c r="S6865" s="2"/>
      <c r="T6865" s="2"/>
      <c r="U6865" s="2"/>
      <c r="V6865" s="2"/>
      <c r="W6865" s="2"/>
    </row>
    <row r="6866" spans="1:23" x14ac:dyDescent="0.25">
      <c r="A6866" s="2"/>
      <c r="B6866" s="2"/>
      <c r="C6866" s="1"/>
      <c r="D6866" s="2"/>
      <c r="E6866" s="2"/>
      <c r="F6866" s="2"/>
      <c r="G6866" s="2"/>
      <c r="H6866" s="2"/>
      <c r="I6866" s="2"/>
      <c r="J6866" s="2"/>
      <c r="K6866" s="2"/>
      <c r="L6866" s="2"/>
      <c r="M6866" s="2"/>
      <c r="N6866" s="2"/>
      <c r="O6866" s="2"/>
      <c r="P6866" s="2"/>
      <c r="Q6866" s="2"/>
      <c r="R6866" s="2"/>
      <c r="S6866" s="2"/>
      <c r="T6866" s="2"/>
      <c r="U6866" s="2"/>
      <c r="V6866" s="2"/>
      <c r="W6866" s="2"/>
    </row>
    <row r="6867" spans="1:23" x14ac:dyDescent="0.25">
      <c r="A6867" s="2"/>
      <c r="B6867" s="2"/>
      <c r="C6867" s="1"/>
      <c r="D6867" s="2"/>
      <c r="E6867" s="2"/>
      <c r="F6867" s="2"/>
      <c r="G6867" s="2"/>
      <c r="H6867" s="2"/>
      <c r="I6867" s="2"/>
      <c r="J6867" s="2"/>
      <c r="K6867" s="2"/>
      <c r="L6867" s="2"/>
      <c r="M6867" s="2"/>
      <c r="N6867" s="2"/>
      <c r="O6867" s="2"/>
      <c r="P6867" s="2"/>
      <c r="Q6867" s="2"/>
      <c r="R6867" s="2"/>
      <c r="S6867" s="2"/>
      <c r="T6867" s="2"/>
      <c r="U6867" s="2"/>
      <c r="V6867" s="2"/>
      <c r="W6867" s="2"/>
    </row>
    <row r="6868" spans="1:23" x14ac:dyDescent="0.25">
      <c r="A6868" s="2"/>
      <c r="B6868" s="2"/>
      <c r="C6868" s="1"/>
      <c r="D6868" s="2"/>
      <c r="E6868" s="2"/>
      <c r="F6868" s="2"/>
      <c r="G6868" s="2"/>
      <c r="H6868" s="2"/>
      <c r="I6868" s="2"/>
      <c r="J6868" s="2"/>
      <c r="K6868" s="2"/>
      <c r="L6868" s="2"/>
      <c r="M6868" s="2"/>
      <c r="N6868" s="2"/>
      <c r="O6868" s="2"/>
      <c r="P6868" s="2"/>
      <c r="Q6868" s="2"/>
      <c r="R6868" s="2"/>
      <c r="S6868" s="2"/>
      <c r="T6868" s="2"/>
      <c r="U6868" s="2"/>
      <c r="V6868" s="2"/>
      <c r="W6868" s="2"/>
    </row>
    <row r="6869" spans="1:23" x14ac:dyDescent="0.25">
      <c r="A6869" s="2"/>
      <c r="B6869" s="2"/>
      <c r="C6869" s="1"/>
      <c r="D6869" s="2"/>
      <c r="E6869" s="2"/>
      <c r="F6869" s="2"/>
      <c r="G6869" s="2"/>
      <c r="H6869" s="2"/>
      <c r="I6869" s="2"/>
      <c r="J6869" s="2"/>
      <c r="K6869" s="2"/>
      <c r="L6869" s="2"/>
      <c r="M6869" s="2"/>
      <c r="N6869" s="2"/>
      <c r="O6869" s="2"/>
      <c r="P6869" s="2"/>
      <c r="Q6869" s="2"/>
      <c r="R6869" s="2"/>
      <c r="S6869" s="2"/>
      <c r="T6869" s="2"/>
      <c r="U6869" s="2"/>
      <c r="V6869" s="2"/>
      <c r="W6869" s="2"/>
    </row>
    <row r="6870" spans="1:23" x14ac:dyDescent="0.25">
      <c r="A6870" s="2"/>
      <c r="B6870" s="2"/>
      <c r="C6870" s="1"/>
      <c r="D6870" s="2"/>
      <c r="E6870" s="2"/>
      <c r="F6870" s="2"/>
      <c r="G6870" s="2"/>
      <c r="H6870" s="2"/>
      <c r="I6870" s="2"/>
      <c r="J6870" s="2"/>
      <c r="K6870" s="2"/>
      <c r="L6870" s="2"/>
      <c r="M6870" s="2"/>
      <c r="N6870" s="2"/>
      <c r="O6870" s="2"/>
      <c r="P6870" s="2"/>
      <c r="Q6870" s="2"/>
      <c r="R6870" s="2"/>
      <c r="S6870" s="2"/>
      <c r="T6870" s="2"/>
      <c r="U6870" s="2"/>
      <c r="V6870" s="2"/>
      <c r="W6870" s="2"/>
    </row>
    <row r="6871" spans="1:23" x14ac:dyDescent="0.25">
      <c r="A6871" s="2"/>
      <c r="B6871" s="2"/>
      <c r="C6871" s="1"/>
      <c r="D6871" s="2"/>
      <c r="E6871" s="2"/>
      <c r="F6871" s="2"/>
      <c r="G6871" s="2"/>
      <c r="H6871" s="2"/>
      <c r="I6871" s="2"/>
      <c r="J6871" s="2"/>
      <c r="K6871" s="2"/>
      <c r="L6871" s="2"/>
      <c r="M6871" s="2"/>
      <c r="N6871" s="2"/>
      <c r="O6871" s="2"/>
      <c r="P6871" s="2"/>
      <c r="Q6871" s="2"/>
      <c r="R6871" s="2"/>
      <c r="S6871" s="2"/>
      <c r="T6871" s="2"/>
      <c r="U6871" s="2"/>
      <c r="V6871" s="2"/>
      <c r="W6871" s="2"/>
    </row>
    <row r="6872" spans="1:23" x14ac:dyDescent="0.25">
      <c r="A6872" s="2"/>
      <c r="B6872" s="2"/>
      <c r="C6872" s="1"/>
      <c r="D6872" s="2"/>
      <c r="E6872" s="2"/>
      <c r="F6872" s="2"/>
      <c r="G6872" s="2"/>
      <c r="H6872" s="2"/>
      <c r="I6872" s="2"/>
      <c r="J6872" s="2"/>
      <c r="K6872" s="2"/>
      <c r="L6872" s="2"/>
      <c r="M6872" s="2"/>
      <c r="N6872" s="2"/>
      <c r="O6872" s="2"/>
      <c r="P6872" s="2"/>
      <c r="Q6872" s="2"/>
      <c r="R6872" s="2"/>
      <c r="S6872" s="2"/>
      <c r="T6872" s="2"/>
      <c r="U6872" s="2"/>
      <c r="V6872" s="2"/>
      <c r="W6872" s="2"/>
    </row>
    <row r="6873" spans="1:23" x14ac:dyDescent="0.25">
      <c r="A6873" s="2"/>
      <c r="B6873" s="2"/>
      <c r="C6873" s="1"/>
      <c r="D6873" s="2"/>
      <c r="E6873" s="2"/>
      <c r="F6873" s="2"/>
      <c r="G6873" s="2"/>
      <c r="H6873" s="2"/>
      <c r="I6873" s="2"/>
      <c r="J6873" s="2"/>
      <c r="K6873" s="2"/>
      <c r="L6873" s="2"/>
      <c r="M6873" s="2"/>
      <c r="N6873" s="2"/>
      <c r="O6873" s="2"/>
      <c r="P6873" s="2"/>
      <c r="Q6873" s="2"/>
      <c r="R6873" s="2"/>
      <c r="S6873" s="2"/>
      <c r="T6873" s="2"/>
      <c r="U6873" s="2"/>
      <c r="V6873" s="2"/>
      <c r="W6873" s="2"/>
    </row>
    <row r="6874" spans="1:23" x14ac:dyDescent="0.25">
      <c r="A6874" s="2"/>
      <c r="B6874" s="2"/>
      <c r="C6874" s="1"/>
      <c r="D6874" s="2"/>
      <c r="E6874" s="2"/>
      <c r="F6874" s="2"/>
      <c r="G6874" s="2"/>
      <c r="H6874" s="2"/>
      <c r="I6874" s="2"/>
      <c r="J6874" s="2"/>
      <c r="K6874" s="2"/>
      <c r="L6874" s="2"/>
      <c r="M6874" s="2"/>
      <c r="N6874" s="2"/>
      <c r="O6874" s="2"/>
      <c r="P6874" s="2"/>
      <c r="Q6874" s="2"/>
      <c r="R6874" s="2"/>
      <c r="S6874" s="2"/>
      <c r="T6874" s="2"/>
      <c r="U6874" s="2"/>
      <c r="V6874" s="2"/>
      <c r="W6874" s="2"/>
    </row>
    <row r="6875" spans="1:23" x14ac:dyDescent="0.25">
      <c r="A6875" s="2"/>
      <c r="B6875" s="2"/>
      <c r="C6875" s="1"/>
      <c r="D6875" s="2"/>
      <c r="E6875" s="2"/>
      <c r="F6875" s="2"/>
      <c r="G6875" s="2"/>
      <c r="H6875" s="2"/>
      <c r="I6875" s="2"/>
      <c r="J6875" s="2"/>
      <c r="K6875" s="2"/>
      <c r="L6875" s="2"/>
      <c r="M6875" s="2"/>
      <c r="N6875" s="2"/>
      <c r="O6875" s="2"/>
      <c r="P6875" s="2"/>
      <c r="Q6875" s="2"/>
      <c r="R6875" s="2"/>
      <c r="S6875" s="2"/>
      <c r="T6875" s="2"/>
      <c r="U6875" s="2"/>
      <c r="V6875" s="2"/>
      <c r="W6875" s="2"/>
    </row>
    <row r="6876" spans="1:23" x14ac:dyDescent="0.25">
      <c r="A6876" s="2"/>
      <c r="B6876" s="2"/>
      <c r="C6876" s="1"/>
      <c r="D6876" s="2"/>
      <c r="E6876" s="2"/>
      <c r="F6876" s="2"/>
      <c r="G6876" s="2"/>
      <c r="H6876" s="2"/>
      <c r="I6876" s="2"/>
      <c r="J6876" s="2"/>
      <c r="K6876" s="2"/>
      <c r="L6876" s="2"/>
      <c r="M6876" s="2"/>
      <c r="N6876" s="2"/>
      <c r="O6876" s="2"/>
      <c r="P6876" s="2"/>
      <c r="Q6876" s="2"/>
      <c r="R6876" s="2"/>
      <c r="S6876" s="2"/>
      <c r="T6876" s="2"/>
      <c r="U6876" s="2"/>
      <c r="V6876" s="2"/>
      <c r="W6876" s="2"/>
    </row>
    <row r="6877" spans="1:23" x14ac:dyDescent="0.25">
      <c r="A6877" s="2"/>
      <c r="B6877" s="2"/>
      <c r="C6877" s="1"/>
      <c r="D6877" s="2"/>
      <c r="E6877" s="2"/>
      <c r="F6877" s="2"/>
      <c r="G6877" s="2"/>
      <c r="H6877" s="2"/>
      <c r="I6877" s="2"/>
      <c r="J6877" s="2"/>
      <c r="K6877" s="2"/>
      <c r="L6877" s="2"/>
      <c r="M6877" s="2"/>
      <c r="N6877" s="2"/>
      <c r="O6877" s="2"/>
      <c r="P6877" s="2"/>
      <c r="Q6877" s="2"/>
      <c r="R6877" s="2"/>
      <c r="S6877" s="2"/>
      <c r="T6877" s="2"/>
      <c r="U6877" s="2"/>
      <c r="V6877" s="2"/>
      <c r="W6877" s="2"/>
    </row>
    <row r="6878" spans="1:23" x14ac:dyDescent="0.25">
      <c r="A6878" s="2"/>
      <c r="B6878" s="2"/>
      <c r="C6878" s="1"/>
      <c r="D6878" s="2"/>
      <c r="E6878" s="2"/>
      <c r="F6878" s="2"/>
      <c r="G6878" s="2"/>
      <c r="H6878" s="2"/>
      <c r="I6878" s="2"/>
      <c r="J6878" s="2"/>
      <c r="K6878" s="2"/>
      <c r="L6878" s="2"/>
      <c r="M6878" s="2"/>
      <c r="N6878" s="2"/>
      <c r="O6878" s="2"/>
      <c r="P6878" s="2"/>
      <c r="Q6878" s="2"/>
      <c r="R6878" s="2"/>
      <c r="S6878" s="2"/>
      <c r="T6878" s="2"/>
      <c r="U6878" s="2"/>
      <c r="V6878" s="2"/>
      <c r="W6878" s="2"/>
    </row>
    <row r="6879" spans="1:23" x14ac:dyDescent="0.25">
      <c r="A6879" s="2"/>
      <c r="B6879" s="2"/>
      <c r="C6879" s="1"/>
      <c r="D6879" s="2"/>
      <c r="E6879" s="2"/>
      <c r="F6879" s="2"/>
      <c r="G6879" s="2"/>
      <c r="H6879" s="2"/>
      <c r="I6879" s="2"/>
      <c r="J6879" s="2"/>
      <c r="K6879" s="2"/>
      <c r="L6879" s="2"/>
      <c r="M6879" s="2"/>
      <c r="N6879" s="2"/>
      <c r="O6879" s="2"/>
      <c r="P6879" s="2"/>
      <c r="Q6879" s="2"/>
      <c r="R6879" s="2"/>
      <c r="S6879" s="2"/>
      <c r="T6879" s="2"/>
      <c r="U6879" s="2"/>
      <c r="V6879" s="2"/>
      <c r="W6879" s="2"/>
    </row>
    <row r="6880" spans="1:23" x14ac:dyDescent="0.25">
      <c r="A6880" s="2"/>
      <c r="B6880" s="2"/>
      <c r="C6880" s="1"/>
      <c r="D6880" s="2"/>
      <c r="E6880" s="2"/>
      <c r="F6880" s="2"/>
      <c r="G6880" s="2"/>
      <c r="H6880" s="2"/>
      <c r="I6880" s="2"/>
      <c r="J6880" s="2"/>
      <c r="K6880" s="2"/>
      <c r="L6880" s="2"/>
      <c r="M6880" s="2"/>
      <c r="N6880" s="2"/>
      <c r="O6880" s="2"/>
      <c r="P6880" s="2"/>
      <c r="Q6880" s="2"/>
      <c r="R6880" s="2"/>
      <c r="S6880" s="2"/>
      <c r="T6880" s="2"/>
      <c r="U6880" s="2"/>
      <c r="V6880" s="2"/>
      <c r="W6880" s="2"/>
    </row>
    <row r="6881" spans="1:23" x14ac:dyDescent="0.25">
      <c r="A6881" s="2"/>
      <c r="B6881" s="2"/>
      <c r="C6881" s="1"/>
      <c r="D6881" s="2"/>
      <c r="E6881" s="2"/>
      <c r="F6881" s="2"/>
      <c r="G6881" s="2"/>
      <c r="H6881" s="2"/>
      <c r="I6881" s="2"/>
      <c r="J6881" s="2"/>
      <c r="K6881" s="2"/>
      <c r="L6881" s="2"/>
      <c r="M6881" s="2"/>
      <c r="N6881" s="2"/>
      <c r="O6881" s="2"/>
      <c r="P6881" s="2"/>
      <c r="Q6881" s="2"/>
      <c r="R6881" s="2"/>
      <c r="S6881" s="2"/>
      <c r="T6881" s="2"/>
      <c r="U6881" s="2"/>
      <c r="V6881" s="2"/>
      <c r="W6881" s="2"/>
    </row>
    <row r="6882" spans="1:23" x14ac:dyDescent="0.25">
      <c r="A6882" s="2"/>
      <c r="B6882" s="2"/>
      <c r="C6882" s="1"/>
      <c r="D6882" s="2"/>
      <c r="E6882" s="2"/>
      <c r="F6882" s="2"/>
      <c r="G6882" s="2"/>
      <c r="H6882" s="2"/>
      <c r="I6882" s="2"/>
      <c r="J6882" s="2"/>
      <c r="K6882" s="2"/>
      <c r="L6882" s="2"/>
      <c r="M6882" s="2"/>
      <c r="N6882" s="2"/>
      <c r="O6882" s="2"/>
      <c r="P6882" s="2"/>
      <c r="Q6882" s="2"/>
      <c r="R6882" s="2"/>
      <c r="S6882" s="2"/>
      <c r="T6882" s="2"/>
      <c r="U6882" s="2"/>
      <c r="V6882" s="2"/>
      <c r="W6882" s="2"/>
    </row>
    <row r="6883" spans="1:23" x14ac:dyDescent="0.25">
      <c r="A6883" s="2"/>
      <c r="B6883" s="2"/>
      <c r="C6883" s="1"/>
      <c r="D6883" s="2"/>
      <c r="E6883" s="2"/>
      <c r="F6883" s="2"/>
      <c r="G6883" s="2"/>
      <c r="H6883" s="2"/>
      <c r="I6883" s="2"/>
      <c r="J6883" s="2"/>
      <c r="K6883" s="2"/>
      <c r="L6883" s="2"/>
      <c r="M6883" s="2"/>
      <c r="N6883" s="2"/>
      <c r="O6883" s="2"/>
      <c r="P6883" s="2"/>
      <c r="Q6883" s="2"/>
      <c r="R6883" s="2"/>
      <c r="S6883" s="2"/>
      <c r="T6883" s="2"/>
      <c r="U6883" s="2"/>
      <c r="V6883" s="2"/>
      <c r="W6883" s="2"/>
    </row>
    <row r="6884" spans="1:23" x14ac:dyDescent="0.25">
      <c r="A6884" s="2"/>
      <c r="B6884" s="2"/>
      <c r="C6884" s="1"/>
      <c r="D6884" s="2"/>
      <c r="E6884" s="2"/>
      <c r="F6884" s="2"/>
      <c r="G6884" s="2"/>
      <c r="H6884" s="2"/>
      <c r="I6884" s="2"/>
      <c r="J6884" s="2"/>
      <c r="K6884" s="2"/>
      <c r="L6884" s="2"/>
      <c r="M6884" s="2"/>
      <c r="N6884" s="2"/>
      <c r="O6884" s="2"/>
      <c r="P6884" s="2"/>
      <c r="Q6884" s="2"/>
      <c r="R6884" s="2"/>
      <c r="S6884" s="2"/>
      <c r="T6884" s="2"/>
      <c r="U6884" s="2"/>
      <c r="V6884" s="2"/>
      <c r="W6884" s="2"/>
    </row>
    <row r="6885" spans="1:23" x14ac:dyDescent="0.25">
      <c r="A6885" s="2"/>
      <c r="B6885" s="2"/>
      <c r="C6885" s="1"/>
      <c r="D6885" s="2"/>
      <c r="E6885" s="2"/>
      <c r="F6885" s="2"/>
      <c r="G6885" s="2"/>
      <c r="H6885" s="2"/>
      <c r="I6885" s="2"/>
      <c r="J6885" s="2"/>
      <c r="K6885" s="2"/>
      <c r="L6885" s="2"/>
      <c r="M6885" s="2"/>
      <c r="N6885" s="2"/>
      <c r="O6885" s="2"/>
      <c r="P6885" s="2"/>
      <c r="Q6885" s="2"/>
      <c r="R6885" s="2"/>
      <c r="S6885" s="2"/>
      <c r="T6885" s="2"/>
      <c r="U6885" s="2"/>
      <c r="V6885" s="2"/>
      <c r="W6885" s="2"/>
    </row>
    <row r="6886" spans="1:23" x14ac:dyDescent="0.25">
      <c r="A6886" s="2"/>
      <c r="B6886" s="2"/>
      <c r="C6886" s="1"/>
      <c r="D6886" s="2"/>
      <c r="E6886" s="2"/>
      <c r="F6886" s="2"/>
      <c r="G6886" s="2"/>
      <c r="H6886" s="2"/>
      <c r="I6886" s="2"/>
      <c r="J6886" s="2"/>
      <c r="K6886" s="2"/>
      <c r="L6886" s="2"/>
      <c r="M6886" s="2"/>
      <c r="N6886" s="2"/>
      <c r="O6886" s="2"/>
      <c r="P6886" s="2"/>
      <c r="Q6886" s="2"/>
      <c r="R6886" s="2"/>
      <c r="S6886" s="2"/>
      <c r="T6886" s="2"/>
      <c r="U6886" s="2"/>
      <c r="V6886" s="2"/>
      <c r="W6886" s="2"/>
    </row>
    <row r="6887" spans="1:23" x14ac:dyDescent="0.25">
      <c r="A6887" s="2"/>
      <c r="B6887" s="2"/>
      <c r="C6887" s="1"/>
      <c r="D6887" s="2"/>
      <c r="E6887" s="2"/>
      <c r="F6887" s="2"/>
      <c r="G6887" s="2"/>
      <c r="H6887" s="2"/>
      <c r="I6887" s="2"/>
      <c r="J6887" s="2"/>
      <c r="K6887" s="2"/>
      <c r="L6887" s="2"/>
      <c r="M6887" s="2"/>
      <c r="N6887" s="2"/>
      <c r="O6887" s="2"/>
      <c r="P6887" s="2"/>
      <c r="Q6887" s="2"/>
      <c r="R6887" s="2"/>
      <c r="S6887" s="2"/>
      <c r="T6887" s="2"/>
      <c r="U6887" s="2"/>
      <c r="V6887" s="2"/>
      <c r="W6887" s="2"/>
    </row>
    <row r="6888" spans="1:23" x14ac:dyDescent="0.25">
      <c r="A6888" s="2"/>
      <c r="B6888" s="2"/>
      <c r="C6888" s="1"/>
      <c r="D6888" s="2"/>
      <c r="E6888" s="2"/>
      <c r="F6888" s="2"/>
      <c r="G6888" s="2"/>
      <c r="H6888" s="2"/>
      <c r="I6888" s="2"/>
      <c r="J6888" s="2"/>
      <c r="K6888" s="2"/>
      <c r="L6888" s="2"/>
      <c r="M6888" s="2"/>
      <c r="N6888" s="2"/>
      <c r="O6888" s="2"/>
      <c r="P6888" s="2"/>
      <c r="Q6888" s="2"/>
      <c r="R6888" s="2"/>
      <c r="S6888" s="2"/>
      <c r="T6888" s="2"/>
      <c r="U6888" s="2"/>
      <c r="V6888" s="2"/>
      <c r="W6888" s="2"/>
    </row>
    <row r="6889" spans="1:23" x14ac:dyDescent="0.25">
      <c r="A6889" s="2"/>
      <c r="B6889" s="2"/>
      <c r="C6889" s="1"/>
      <c r="D6889" s="2"/>
      <c r="E6889" s="2"/>
      <c r="F6889" s="2"/>
      <c r="G6889" s="2"/>
      <c r="H6889" s="2"/>
      <c r="I6889" s="2"/>
      <c r="J6889" s="2"/>
      <c r="K6889" s="2"/>
      <c r="L6889" s="2"/>
      <c r="M6889" s="2"/>
      <c r="N6889" s="2"/>
      <c r="O6889" s="2"/>
      <c r="P6889" s="2"/>
      <c r="Q6889" s="2"/>
      <c r="R6889" s="2"/>
      <c r="S6889" s="2"/>
      <c r="T6889" s="2"/>
      <c r="U6889" s="2"/>
      <c r="V6889" s="2"/>
      <c r="W6889" s="2"/>
    </row>
    <row r="6890" spans="1:23" x14ac:dyDescent="0.25">
      <c r="A6890" s="2"/>
      <c r="B6890" s="2"/>
      <c r="C6890" s="1"/>
      <c r="D6890" s="2"/>
      <c r="E6890" s="2"/>
      <c r="F6890" s="2"/>
      <c r="G6890" s="2"/>
      <c r="H6890" s="2"/>
      <c r="I6890" s="2"/>
      <c r="J6890" s="2"/>
      <c r="K6890" s="2"/>
      <c r="L6890" s="2"/>
      <c r="M6890" s="2"/>
      <c r="N6890" s="2"/>
      <c r="O6890" s="2"/>
      <c r="P6890" s="2"/>
      <c r="Q6890" s="2"/>
      <c r="R6890" s="2"/>
      <c r="S6890" s="2"/>
      <c r="T6890" s="2"/>
      <c r="U6890" s="2"/>
      <c r="V6890" s="2"/>
      <c r="W6890" s="2"/>
    </row>
    <row r="6891" spans="1:23" x14ac:dyDescent="0.25">
      <c r="A6891" s="2"/>
      <c r="B6891" s="2"/>
      <c r="C6891" s="1"/>
      <c r="D6891" s="2"/>
      <c r="E6891" s="2"/>
      <c r="F6891" s="2"/>
      <c r="G6891" s="2"/>
      <c r="H6891" s="2"/>
      <c r="I6891" s="2"/>
      <c r="J6891" s="2"/>
      <c r="K6891" s="2"/>
      <c r="L6891" s="2"/>
      <c r="M6891" s="2"/>
      <c r="N6891" s="2"/>
      <c r="O6891" s="2"/>
      <c r="P6891" s="2"/>
      <c r="Q6891" s="2"/>
      <c r="R6891" s="2"/>
      <c r="S6891" s="2"/>
      <c r="T6891" s="2"/>
      <c r="U6891" s="2"/>
      <c r="V6891" s="2"/>
      <c r="W6891" s="2"/>
    </row>
    <row r="6892" spans="1:23" x14ac:dyDescent="0.25">
      <c r="A6892" s="2"/>
      <c r="B6892" s="2"/>
      <c r="C6892" s="1"/>
      <c r="D6892" s="2"/>
      <c r="E6892" s="2"/>
      <c r="F6892" s="2"/>
      <c r="G6892" s="2"/>
      <c r="H6892" s="2"/>
      <c r="I6892" s="2"/>
      <c r="J6892" s="2"/>
      <c r="K6892" s="2"/>
      <c r="L6892" s="2"/>
      <c r="M6892" s="2"/>
      <c r="N6892" s="2"/>
      <c r="O6892" s="2"/>
      <c r="P6892" s="2"/>
      <c r="Q6892" s="2"/>
      <c r="R6892" s="2"/>
      <c r="S6892" s="2"/>
      <c r="T6892" s="2"/>
      <c r="U6892" s="2"/>
      <c r="V6892" s="2"/>
      <c r="W6892" s="2"/>
    </row>
    <row r="6893" spans="1:23" x14ac:dyDescent="0.25">
      <c r="A6893" s="2"/>
      <c r="B6893" s="2"/>
      <c r="C6893" s="1"/>
      <c r="D6893" s="2"/>
      <c r="E6893" s="2"/>
      <c r="F6893" s="2"/>
      <c r="G6893" s="2"/>
      <c r="H6893" s="2"/>
      <c r="I6893" s="2"/>
      <c r="J6893" s="2"/>
      <c r="K6893" s="2"/>
      <c r="L6893" s="2"/>
      <c r="M6893" s="2"/>
      <c r="N6893" s="2"/>
      <c r="O6893" s="2"/>
      <c r="P6893" s="2"/>
      <c r="Q6893" s="2"/>
      <c r="R6893" s="2"/>
      <c r="S6893" s="2"/>
      <c r="T6893" s="2"/>
      <c r="U6893" s="2"/>
      <c r="V6893" s="2"/>
      <c r="W6893" s="2"/>
    </row>
    <row r="6894" spans="1:23" x14ac:dyDescent="0.25">
      <c r="A6894" s="2"/>
      <c r="B6894" s="2"/>
      <c r="C6894" s="1"/>
      <c r="D6894" s="2"/>
      <c r="E6894" s="2"/>
      <c r="F6894" s="2"/>
      <c r="G6894" s="2"/>
      <c r="H6894" s="2"/>
      <c r="I6894" s="2"/>
      <c r="J6894" s="2"/>
      <c r="K6894" s="2"/>
      <c r="L6894" s="2"/>
      <c r="M6894" s="2"/>
      <c r="N6894" s="2"/>
      <c r="O6894" s="2"/>
      <c r="P6894" s="2"/>
      <c r="Q6894" s="2"/>
      <c r="R6894" s="2"/>
      <c r="S6894" s="2"/>
      <c r="T6894" s="2"/>
      <c r="U6894" s="2"/>
      <c r="V6894" s="2"/>
      <c r="W6894" s="2"/>
    </row>
    <row r="6895" spans="1:23" x14ac:dyDescent="0.25">
      <c r="A6895" s="2"/>
      <c r="B6895" s="2"/>
      <c r="C6895" s="1"/>
      <c r="D6895" s="2"/>
      <c r="E6895" s="2"/>
      <c r="F6895" s="2"/>
      <c r="G6895" s="2"/>
      <c r="H6895" s="2"/>
      <c r="I6895" s="2"/>
      <c r="J6895" s="2"/>
      <c r="K6895" s="2"/>
      <c r="L6895" s="2"/>
      <c r="M6895" s="2"/>
      <c r="N6895" s="2"/>
      <c r="O6895" s="2"/>
      <c r="P6895" s="2"/>
      <c r="Q6895" s="2"/>
      <c r="R6895" s="2"/>
      <c r="S6895" s="2"/>
      <c r="T6895" s="2"/>
      <c r="U6895" s="2"/>
      <c r="V6895" s="2"/>
      <c r="W6895" s="2"/>
    </row>
    <row r="6896" spans="1:23" x14ac:dyDescent="0.25">
      <c r="A6896" s="2"/>
      <c r="B6896" s="2"/>
      <c r="C6896" s="1"/>
      <c r="D6896" s="2"/>
      <c r="E6896" s="2"/>
      <c r="F6896" s="2"/>
      <c r="G6896" s="2"/>
      <c r="H6896" s="2"/>
      <c r="I6896" s="2"/>
      <c r="J6896" s="2"/>
      <c r="K6896" s="2"/>
      <c r="L6896" s="2"/>
      <c r="M6896" s="2"/>
      <c r="N6896" s="2"/>
      <c r="O6896" s="2"/>
      <c r="P6896" s="2"/>
      <c r="Q6896" s="2"/>
      <c r="R6896" s="2"/>
      <c r="S6896" s="2"/>
      <c r="T6896" s="2"/>
      <c r="U6896" s="2"/>
      <c r="V6896" s="2"/>
      <c r="W6896" s="2"/>
    </row>
    <row r="6897" spans="1:23" x14ac:dyDescent="0.25">
      <c r="A6897" s="2"/>
      <c r="B6897" s="2"/>
      <c r="C6897" s="1"/>
      <c r="D6897" s="2"/>
      <c r="E6897" s="2"/>
      <c r="F6897" s="2"/>
      <c r="G6897" s="2"/>
      <c r="H6897" s="2"/>
      <c r="I6897" s="2"/>
      <c r="J6897" s="2"/>
      <c r="K6897" s="2"/>
      <c r="L6897" s="2"/>
      <c r="M6897" s="2"/>
      <c r="N6897" s="2"/>
      <c r="O6897" s="2"/>
      <c r="P6897" s="2"/>
      <c r="Q6897" s="2"/>
      <c r="R6897" s="2"/>
      <c r="S6897" s="2"/>
      <c r="T6897" s="2"/>
      <c r="U6897" s="2"/>
      <c r="V6897" s="2"/>
      <c r="W6897" s="2"/>
    </row>
    <row r="6898" spans="1:23" x14ac:dyDescent="0.25">
      <c r="A6898" s="2"/>
      <c r="B6898" s="2"/>
      <c r="C6898" s="1"/>
      <c r="D6898" s="2"/>
      <c r="E6898" s="2"/>
      <c r="F6898" s="2"/>
      <c r="G6898" s="2"/>
      <c r="H6898" s="2"/>
      <c r="I6898" s="2"/>
      <c r="J6898" s="2"/>
      <c r="K6898" s="2"/>
      <c r="L6898" s="2"/>
      <c r="M6898" s="2"/>
      <c r="N6898" s="2"/>
      <c r="O6898" s="2"/>
      <c r="P6898" s="2"/>
      <c r="Q6898" s="2"/>
      <c r="R6898" s="2"/>
      <c r="S6898" s="2"/>
      <c r="T6898" s="2"/>
      <c r="U6898" s="2"/>
      <c r="V6898" s="2"/>
      <c r="W6898" s="2"/>
    </row>
    <row r="6899" spans="1:23" x14ac:dyDescent="0.25">
      <c r="A6899" s="2"/>
      <c r="B6899" s="2"/>
      <c r="C6899" s="1"/>
      <c r="D6899" s="2"/>
      <c r="E6899" s="2"/>
      <c r="F6899" s="2"/>
      <c r="G6899" s="2"/>
      <c r="H6899" s="2"/>
      <c r="I6899" s="2"/>
      <c r="J6899" s="2"/>
      <c r="K6899" s="2"/>
      <c r="L6899" s="2"/>
      <c r="M6899" s="2"/>
      <c r="N6899" s="2"/>
      <c r="O6899" s="2"/>
      <c r="P6899" s="2"/>
      <c r="Q6899" s="2"/>
      <c r="R6899" s="2"/>
      <c r="S6899" s="2"/>
      <c r="T6899" s="2"/>
      <c r="U6899" s="2"/>
      <c r="V6899" s="2"/>
      <c r="W6899" s="2"/>
    </row>
    <row r="6900" spans="1:23" x14ac:dyDescent="0.25">
      <c r="A6900" s="2"/>
      <c r="B6900" s="2"/>
      <c r="C6900" s="1"/>
      <c r="D6900" s="2"/>
      <c r="E6900" s="2"/>
      <c r="F6900" s="2"/>
      <c r="G6900" s="2"/>
      <c r="H6900" s="2"/>
      <c r="I6900" s="2"/>
      <c r="J6900" s="2"/>
      <c r="K6900" s="2"/>
      <c r="L6900" s="2"/>
      <c r="M6900" s="2"/>
      <c r="N6900" s="2"/>
      <c r="O6900" s="2"/>
      <c r="P6900" s="2"/>
      <c r="Q6900" s="2"/>
      <c r="R6900" s="2"/>
      <c r="S6900" s="2"/>
      <c r="T6900" s="2"/>
      <c r="U6900" s="2"/>
      <c r="V6900" s="2"/>
      <c r="W6900" s="2"/>
    </row>
    <row r="6901" spans="1:23" x14ac:dyDescent="0.25">
      <c r="A6901" s="2"/>
      <c r="B6901" s="2"/>
      <c r="C6901" s="1"/>
      <c r="D6901" s="2"/>
      <c r="E6901" s="2"/>
      <c r="F6901" s="2"/>
      <c r="G6901" s="2"/>
      <c r="H6901" s="2"/>
      <c r="I6901" s="2"/>
      <c r="J6901" s="2"/>
      <c r="K6901" s="2"/>
      <c r="L6901" s="2"/>
      <c r="M6901" s="2"/>
      <c r="N6901" s="2"/>
      <c r="O6901" s="2"/>
      <c r="P6901" s="2"/>
      <c r="Q6901" s="2"/>
      <c r="R6901" s="2"/>
      <c r="S6901" s="2"/>
      <c r="T6901" s="2"/>
      <c r="U6901" s="2"/>
      <c r="V6901" s="2"/>
      <c r="W6901" s="2"/>
    </row>
    <row r="6902" spans="1:23" x14ac:dyDescent="0.25">
      <c r="A6902" s="2"/>
      <c r="B6902" s="2"/>
      <c r="C6902" s="1"/>
      <c r="D6902" s="2"/>
      <c r="E6902" s="2"/>
      <c r="F6902" s="2"/>
      <c r="G6902" s="2"/>
      <c r="H6902" s="2"/>
      <c r="I6902" s="2"/>
      <c r="J6902" s="2"/>
      <c r="K6902" s="2"/>
      <c r="L6902" s="2"/>
      <c r="M6902" s="2"/>
      <c r="N6902" s="2"/>
      <c r="O6902" s="2"/>
      <c r="P6902" s="2"/>
      <c r="Q6902" s="2"/>
      <c r="R6902" s="2"/>
      <c r="S6902" s="2"/>
      <c r="T6902" s="2"/>
      <c r="U6902" s="2"/>
      <c r="V6902" s="2"/>
      <c r="W6902" s="2"/>
    </row>
    <row r="6903" spans="1:23" x14ac:dyDescent="0.25">
      <c r="A6903" s="2"/>
      <c r="B6903" s="2"/>
      <c r="C6903" s="1"/>
      <c r="D6903" s="2"/>
      <c r="E6903" s="2"/>
      <c r="F6903" s="2"/>
      <c r="G6903" s="2"/>
      <c r="H6903" s="2"/>
      <c r="I6903" s="2"/>
      <c r="J6903" s="2"/>
      <c r="K6903" s="2"/>
      <c r="L6903" s="2"/>
      <c r="M6903" s="2"/>
      <c r="N6903" s="2"/>
      <c r="O6903" s="2"/>
      <c r="P6903" s="2"/>
      <c r="Q6903" s="2"/>
      <c r="R6903" s="2"/>
      <c r="S6903" s="2"/>
      <c r="T6903" s="2"/>
      <c r="U6903" s="2"/>
      <c r="V6903" s="2"/>
      <c r="W6903" s="2"/>
    </row>
    <row r="6904" spans="1:23" x14ac:dyDescent="0.25">
      <c r="A6904" s="2"/>
      <c r="B6904" s="2"/>
      <c r="C6904" s="1"/>
      <c r="D6904" s="2"/>
      <c r="E6904" s="2"/>
      <c r="F6904" s="2"/>
      <c r="G6904" s="2"/>
      <c r="H6904" s="2"/>
      <c r="I6904" s="2"/>
      <c r="J6904" s="2"/>
      <c r="K6904" s="2"/>
      <c r="L6904" s="2"/>
      <c r="M6904" s="2"/>
      <c r="N6904" s="2"/>
      <c r="O6904" s="2"/>
      <c r="P6904" s="2"/>
      <c r="Q6904" s="2"/>
      <c r="R6904" s="2"/>
      <c r="S6904" s="2"/>
      <c r="T6904" s="2"/>
      <c r="U6904" s="2"/>
      <c r="V6904" s="2"/>
      <c r="W6904" s="2"/>
    </row>
    <row r="6905" spans="1:23" x14ac:dyDescent="0.25">
      <c r="A6905" s="2"/>
      <c r="B6905" s="2"/>
      <c r="C6905" s="1"/>
      <c r="D6905" s="2"/>
      <c r="E6905" s="2"/>
      <c r="F6905" s="2"/>
      <c r="G6905" s="2"/>
      <c r="H6905" s="2"/>
      <c r="I6905" s="2"/>
      <c r="J6905" s="2"/>
      <c r="K6905" s="2"/>
      <c r="L6905" s="2"/>
      <c r="M6905" s="2"/>
      <c r="N6905" s="2"/>
      <c r="O6905" s="2"/>
      <c r="P6905" s="2"/>
      <c r="Q6905" s="2"/>
      <c r="R6905" s="2"/>
      <c r="S6905" s="2"/>
      <c r="T6905" s="2"/>
      <c r="U6905" s="2"/>
      <c r="V6905" s="2"/>
      <c r="W6905" s="2"/>
    </row>
    <row r="6906" spans="1:23" x14ac:dyDescent="0.25">
      <c r="A6906" s="2"/>
      <c r="B6906" s="2"/>
      <c r="C6906" s="1"/>
      <c r="D6906" s="2"/>
      <c r="E6906" s="2"/>
      <c r="F6906" s="2"/>
      <c r="G6906" s="2"/>
      <c r="H6906" s="2"/>
      <c r="I6906" s="2"/>
      <c r="J6906" s="2"/>
      <c r="K6906" s="2"/>
      <c r="L6906" s="2"/>
      <c r="M6906" s="2"/>
      <c r="N6906" s="2"/>
      <c r="O6906" s="2"/>
      <c r="P6906" s="2"/>
      <c r="Q6906" s="2"/>
      <c r="R6906" s="2"/>
      <c r="S6906" s="2"/>
      <c r="T6906" s="2"/>
      <c r="U6906" s="2"/>
      <c r="V6906" s="2"/>
      <c r="W6906" s="2"/>
    </row>
    <row r="6907" spans="1:23" x14ac:dyDescent="0.25">
      <c r="A6907" s="2"/>
      <c r="B6907" s="2"/>
      <c r="C6907" s="1"/>
      <c r="D6907" s="2"/>
      <c r="E6907" s="2"/>
      <c r="F6907" s="2"/>
      <c r="G6907" s="2"/>
      <c r="H6907" s="2"/>
      <c r="I6907" s="2"/>
      <c r="J6907" s="2"/>
      <c r="K6907" s="2"/>
      <c r="L6907" s="2"/>
      <c r="M6907" s="2"/>
      <c r="N6907" s="2"/>
      <c r="O6907" s="2"/>
      <c r="P6907" s="2"/>
      <c r="Q6907" s="2"/>
      <c r="R6907" s="2"/>
      <c r="S6907" s="2"/>
      <c r="T6907" s="2"/>
      <c r="U6907" s="2"/>
      <c r="V6907" s="2"/>
      <c r="W6907" s="2"/>
    </row>
    <row r="6908" spans="1:23" x14ac:dyDescent="0.25">
      <c r="A6908" s="2"/>
      <c r="B6908" s="2"/>
      <c r="C6908" s="1"/>
      <c r="D6908" s="2"/>
      <c r="E6908" s="2"/>
      <c r="F6908" s="2"/>
      <c r="G6908" s="2"/>
      <c r="H6908" s="2"/>
      <c r="I6908" s="2"/>
      <c r="J6908" s="2"/>
      <c r="K6908" s="2"/>
      <c r="L6908" s="2"/>
      <c r="M6908" s="2"/>
      <c r="N6908" s="2"/>
      <c r="O6908" s="2"/>
      <c r="P6908" s="2"/>
      <c r="Q6908" s="2"/>
      <c r="R6908" s="2"/>
      <c r="S6908" s="2"/>
      <c r="T6908" s="2"/>
      <c r="U6908" s="2"/>
      <c r="V6908" s="2"/>
      <c r="W6908" s="2"/>
    </row>
    <row r="6909" spans="1:23" x14ac:dyDescent="0.25">
      <c r="A6909" s="2"/>
      <c r="B6909" s="2"/>
      <c r="C6909" s="1"/>
      <c r="D6909" s="2"/>
      <c r="E6909" s="2"/>
      <c r="F6909" s="2"/>
      <c r="G6909" s="2"/>
      <c r="H6909" s="2"/>
      <c r="I6909" s="2"/>
      <c r="J6909" s="2"/>
      <c r="K6909" s="2"/>
      <c r="L6909" s="2"/>
      <c r="M6909" s="2"/>
      <c r="N6909" s="2"/>
      <c r="O6909" s="2"/>
      <c r="P6909" s="2"/>
      <c r="Q6909" s="2"/>
      <c r="R6909" s="2"/>
      <c r="S6909" s="2"/>
      <c r="T6909" s="2"/>
      <c r="U6909" s="2"/>
      <c r="V6909" s="2"/>
      <c r="W6909" s="2"/>
    </row>
    <row r="6910" spans="1:23" x14ac:dyDescent="0.25">
      <c r="A6910" s="2"/>
      <c r="B6910" s="2"/>
      <c r="C6910" s="1"/>
      <c r="D6910" s="2"/>
      <c r="E6910" s="2"/>
      <c r="F6910" s="2"/>
      <c r="G6910" s="2"/>
      <c r="H6910" s="2"/>
      <c r="I6910" s="2"/>
      <c r="J6910" s="2"/>
      <c r="K6910" s="2"/>
      <c r="L6910" s="2"/>
      <c r="M6910" s="2"/>
      <c r="N6910" s="2"/>
      <c r="O6910" s="2"/>
      <c r="P6910" s="2"/>
      <c r="Q6910" s="2"/>
      <c r="R6910" s="2"/>
      <c r="S6910" s="2"/>
      <c r="T6910" s="2"/>
      <c r="U6910" s="2"/>
      <c r="V6910" s="2"/>
      <c r="W6910" s="2"/>
    </row>
    <row r="6911" spans="1:23" x14ac:dyDescent="0.25">
      <c r="A6911" s="2"/>
      <c r="B6911" s="2"/>
      <c r="C6911" s="1"/>
      <c r="D6911" s="2"/>
      <c r="E6911" s="2"/>
      <c r="F6911" s="2"/>
      <c r="G6911" s="2"/>
      <c r="H6911" s="2"/>
      <c r="I6911" s="2"/>
      <c r="J6911" s="2"/>
      <c r="K6911" s="2"/>
      <c r="L6911" s="2"/>
      <c r="M6911" s="2"/>
      <c r="N6911" s="2"/>
      <c r="O6911" s="2"/>
      <c r="P6911" s="2"/>
      <c r="Q6911" s="2"/>
      <c r="R6911" s="2"/>
      <c r="S6911" s="2"/>
      <c r="T6911" s="2"/>
      <c r="U6911" s="2"/>
      <c r="V6911" s="2"/>
      <c r="W6911" s="2"/>
    </row>
    <row r="6912" spans="1:23" x14ac:dyDescent="0.25">
      <c r="A6912" s="2"/>
      <c r="B6912" s="2"/>
      <c r="C6912" s="1"/>
      <c r="D6912" s="2"/>
      <c r="E6912" s="2"/>
      <c r="F6912" s="2"/>
      <c r="G6912" s="2"/>
      <c r="H6912" s="2"/>
      <c r="I6912" s="2"/>
      <c r="J6912" s="2"/>
      <c r="K6912" s="2"/>
      <c r="L6912" s="2"/>
      <c r="M6912" s="2"/>
      <c r="N6912" s="2"/>
      <c r="O6912" s="2"/>
      <c r="P6912" s="2"/>
      <c r="Q6912" s="2"/>
      <c r="R6912" s="2"/>
      <c r="S6912" s="2"/>
      <c r="T6912" s="2"/>
      <c r="U6912" s="2"/>
      <c r="V6912" s="2"/>
      <c r="W6912" s="2"/>
    </row>
    <row r="6913" spans="1:23" x14ac:dyDescent="0.25">
      <c r="A6913" s="2"/>
      <c r="B6913" s="2"/>
      <c r="C6913" s="1"/>
      <c r="D6913" s="2"/>
      <c r="E6913" s="2"/>
      <c r="F6913" s="2"/>
      <c r="G6913" s="2"/>
      <c r="H6913" s="2"/>
      <c r="I6913" s="2"/>
      <c r="J6913" s="2"/>
      <c r="K6913" s="2"/>
      <c r="L6913" s="2"/>
      <c r="M6913" s="2"/>
      <c r="N6913" s="2"/>
      <c r="O6913" s="2"/>
      <c r="P6913" s="2"/>
      <c r="Q6913" s="2"/>
      <c r="R6913" s="2"/>
      <c r="S6913" s="2"/>
      <c r="T6913" s="2"/>
      <c r="U6913" s="2"/>
      <c r="V6913" s="2"/>
      <c r="W6913" s="2"/>
    </row>
    <row r="6914" spans="1:23" x14ac:dyDescent="0.25">
      <c r="A6914" s="2"/>
      <c r="B6914" s="2"/>
      <c r="C6914" s="1"/>
      <c r="D6914" s="2"/>
      <c r="E6914" s="2"/>
      <c r="F6914" s="2"/>
      <c r="G6914" s="2"/>
      <c r="H6914" s="2"/>
      <c r="I6914" s="2"/>
      <c r="J6914" s="2"/>
      <c r="K6914" s="2"/>
      <c r="L6914" s="2"/>
      <c r="M6914" s="2"/>
      <c r="N6914" s="2"/>
      <c r="O6914" s="2"/>
      <c r="P6914" s="2"/>
      <c r="Q6914" s="2"/>
      <c r="R6914" s="2"/>
      <c r="S6914" s="2"/>
      <c r="T6914" s="2"/>
      <c r="U6914" s="2"/>
      <c r="V6914" s="2"/>
      <c r="W6914" s="2"/>
    </row>
    <row r="6915" spans="1:23" x14ac:dyDescent="0.25">
      <c r="A6915" s="2"/>
      <c r="B6915" s="2"/>
      <c r="C6915" s="1"/>
      <c r="D6915" s="2"/>
      <c r="E6915" s="2"/>
      <c r="F6915" s="2"/>
      <c r="G6915" s="2"/>
      <c r="H6915" s="2"/>
      <c r="I6915" s="2"/>
      <c r="J6915" s="2"/>
      <c r="K6915" s="2"/>
      <c r="L6915" s="2"/>
      <c r="M6915" s="2"/>
      <c r="N6915" s="2"/>
      <c r="O6915" s="2"/>
      <c r="P6915" s="2"/>
      <c r="Q6915" s="2"/>
      <c r="R6915" s="2"/>
      <c r="S6915" s="2"/>
      <c r="T6915" s="2"/>
      <c r="U6915" s="2"/>
      <c r="V6915" s="2"/>
      <c r="W6915" s="2"/>
    </row>
    <row r="6916" spans="1:23" x14ac:dyDescent="0.25">
      <c r="A6916" s="2"/>
      <c r="B6916" s="2"/>
      <c r="C6916" s="1"/>
      <c r="D6916" s="2"/>
      <c r="E6916" s="2"/>
      <c r="F6916" s="2"/>
      <c r="G6916" s="2"/>
      <c r="H6916" s="2"/>
      <c r="I6916" s="2"/>
      <c r="J6916" s="2"/>
      <c r="K6916" s="2"/>
      <c r="L6916" s="2"/>
      <c r="M6916" s="2"/>
      <c r="N6916" s="2"/>
      <c r="O6916" s="2"/>
      <c r="P6916" s="2"/>
      <c r="Q6916" s="2"/>
      <c r="R6916" s="2"/>
      <c r="S6916" s="2"/>
      <c r="T6916" s="2"/>
      <c r="U6916" s="2"/>
      <c r="V6916" s="2"/>
      <c r="W6916" s="2"/>
    </row>
    <row r="6917" spans="1:23" x14ac:dyDescent="0.25">
      <c r="A6917" s="2"/>
      <c r="B6917" s="2"/>
      <c r="C6917" s="1"/>
      <c r="D6917" s="2"/>
      <c r="E6917" s="2"/>
      <c r="F6917" s="2"/>
      <c r="G6917" s="2"/>
      <c r="H6917" s="2"/>
      <c r="I6917" s="2"/>
      <c r="J6917" s="2"/>
      <c r="K6917" s="2"/>
      <c r="L6917" s="2"/>
      <c r="M6917" s="2"/>
      <c r="N6917" s="2"/>
      <c r="O6917" s="2"/>
      <c r="P6917" s="2"/>
      <c r="Q6917" s="2"/>
      <c r="R6917" s="2"/>
      <c r="S6917" s="2"/>
      <c r="T6917" s="2"/>
      <c r="U6917" s="2"/>
      <c r="V6917" s="2"/>
      <c r="W6917" s="2"/>
    </row>
    <row r="6918" spans="1:23" x14ac:dyDescent="0.25">
      <c r="A6918" s="2"/>
      <c r="B6918" s="2"/>
      <c r="C6918" s="1"/>
      <c r="D6918" s="2"/>
      <c r="E6918" s="2"/>
      <c r="F6918" s="2"/>
      <c r="G6918" s="2"/>
      <c r="H6918" s="2"/>
      <c r="I6918" s="2"/>
      <c r="J6918" s="2"/>
      <c r="K6918" s="2"/>
      <c r="L6918" s="2"/>
      <c r="M6918" s="2"/>
      <c r="N6918" s="2"/>
      <c r="O6918" s="2"/>
      <c r="P6918" s="2"/>
      <c r="Q6918" s="2"/>
      <c r="R6918" s="2"/>
      <c r="S6918" s="2"/>
      <c r="T6918" s="2"/>
      <c r="U6918" s="2"/>
      <c r="V6918" s="2"/>
      <c r="W6918" s="2"/>
    </row>
    <row r="6919" spans="1:23" x14ac:dyDescent="0.25">
      <c r="A6919" s="2"/>
      <c r="B6919" s="2"/>
      <c r="C6919" s="1"/>
      <c r="D6919" s="2"/>
      <c r="E6919" s="2"/>
      <c r="F6919" s="2"/>
      <c r="G6919" s="2"/>
      <c r="H6919" s="2"/>
      <c r="I6919" s="2"/>
      <c r="J6919" s="2"/>
      <c r="K6919" s="2"/>
      <c r="L6919" s="2"/>
      <c r="M6919" s="2"/>
      <c r="N6919" s="2"/>
      <c r="O6919" s="2"/>
      <c r="P6919" s="2"/>
      <c r="Q6919" s="2"/>
      <c r="R6919" s="2"/>
      <c r="S6919" s="2"/>
      <c r="T6919" s="2"/>
      <c r="U6919" s="2"/>
      <c r="V6919" s="2"/>
      <c r="W6919" s="2"/>
    </row>
    <row r="6920" spans="1:23" x14ac:dyDescent="0.25">
      <c r="A6920" s="2"/>
      <c r="B6920" s="2"/>
      <c r="C6920" s="1"/>
      <c r="D6920" s="2"/>
      <c r="E6920" s="2"/>
      <c r="F6920" s="2"/>
      <c r="G6920" s="2"/>
      <c r="H6920" s="2"/>
      <c r="I6920" s="2"/>
      <c r="J6920" s="2"/>
      <c r="K6920" s="2"/>
      <c r="L6920" s="2"/>
      <c r="M6920" s="2"/>
      <c r="N6920" s="2"/>
      <c r="O6920" s="2"/>
      <c r="P6920" s="2"/>
      <c r="Q6920" s="2"/>
      <c r="R6920" s="2"/>
      <c r="S6920" s="2"/>
      <c r="T6920" s="2"/>
      <c r="U6920" s="2"/>
      <c r="V6920" s="2"/>
      <c r="W6920" s="2"/>
    </row>
    <row r="6921" spans="1:23" x14ac:dyDescent="0.25">
      <c r="A6921" s="2"/>
      <c r="B6921" s="2"/>
      <c r="C6921" s="1"/>
      <c r="D6921" s="2"/>
      <c r="E6921" s="2"/>
      <c r="F6921" s="2"/>
      <c r="G6921" s="2"/>
      <c r="H6921" s="2"/>
      <c r="I6921" s="2"/>
      <c r="J6921" s="2"/>
      <c r="K6921" s="2"/>
      <c r="L6921" s="2"/>
      <c r="M6921" s="2"/>
      <c r="N6921" s="2"/>
      <c r="O6921" s="2"/>
      <c r="P6921" s="2"/>
      <c r="Q6921" s="2"/>
      <c r="R6921" s="2"/>
      <c r="S6921" s="2"/>
      <c r="T6921" s="2"/>
      <c r="U6921" s="2"/>
      <c r="V6921" s="2"/>
      <c r="W6921" s="2"/>
    </row>
    <row r="6922" spans="1:23" x14ac:dyDescent="0.25">
      <c r="A6922" s="2"/>
      <c r="B6922" s="2"/>
      <c r="C6922" s="1"/>
      <c r="D6922" s="2"/>
      <c r="E6922" s="2"/>
      <c r="F6922" s="2"/>
      <c r="G6922" s="2"/>
      <c r="H6922" s="2"/>
      <c r="I6922" s="2"/>
      <c r="J6922" s="2"/>
      <c r="K6922" s="2"/>
      <c r="L6922" s="2"/>
      <c r="M6922" s="2"/>
      <c r="N6922" s="2"/>
      <c r="O6922" s="2"/>
      <c r="P6922" s="2"/>
      <c r="Q6922" s="2"/>
      <c r="R6922" s="2"/>
      <c r="S6922" s="2"/>
      <c r="T6922" s="2"/>
      <c r="U6922" s="2"/>
      <c r="V6922" s="2"/>
      <c r="W6922" s="2"/>
    </row>
    <row r="6923" spans="1:23" x14ac:dyDescent="0.25">
      <c r="A6923" s="2"/>
      <c r="B6923" s="2"/>
      <c r="C6923" s="1"/>
      <c r="D6923" s="2"/>
      <c r="E6923" s="2"/>
      <c r="F6923" s="2"/>
      <c r="G6923" s="2"/>
      <c r="H6923" s="2"/>
      <c r="I6923" s="2"/>
      <c r="J6923" s="2"/>
      <c r="K6923" s="2"/>
      <c r="L6923" s="2"/>
      <c r="M6923" s="2"/>
      <c r="N6923" s="2"/>
      <c r="O6923" s="2"/>
      <c r="P6923" s="2"/>
      <c r="Q6923" s="2"/>
      <c r="R6923" s="2"/>
      <c r="S6923" s="2"/>
      <c r="T6923" s="2"/>
      <c r="U6923" s="2"/>
      <c r="V6923" s="2"/>
      <c r="W6923" s="2"/>
    </row>
    <row r="6924" spans="1:23" x14ac:dyDescent="0.25">
      <c r="A6924" s="2"/>
      <c r="B6924" s="2"/>
      <c r="C6924" s="1"/>
      <c r="D6924" s="2"/>
      <c r="E6924" s="2"/>
      <c r="F6924" s="2"/>
      <c r="G6924" s="2"/>
      <c r="H6924" s="2"/>
      <c r="I6924" s="2"/>
      <c r="J6924" s="2"/>
      <c r="K6924" s="2"/>
      <c r="L6924" s="2"/>
      <c r="M6924" s="2"/>
      <c r="N6924" s="2"/>
      <c r="O6924" s="2"/>
      <c r="P6924" s="2"/>
      <c r="Q6924" s="2"/>
      <c r="R6924" s="2"/>
      <c r="S6924" s="2"/>
      <c r="T6924" s="2"/>
      <c r="U6924" s="2"/>
      <c r="V6924" s="2"/>
      <c r="W6924" s="2"/>
    </row>
    <row r="6925" spans="1:23" x14ac:dyDescent="0.25">
      <c r="A6925" s="2"/>
      <c r="B6925" s="2"/>
      <c r="C6925" s="1"/>
      <c r="D6925" s="2"/>
      <c r="E6925" s="2"/>
      <c r="F6925" s="2"/>
      <c r="G6925" s="2"/>
      <c r="H6925" s="2"/>
      <c r="I6925" s="2"/>
      <c r="J6925" s="2"/>
      <c r="K6925" s="2"/>
      <c r="L6925" s="2"/>
      <c r="M6925" s="2"/>
      <c r="N6925" s="2"/>
      <c r="O6925" s="2"/>
      <c r="P6925" s="2"/>
      <c r="Q6925" s="2"/>
      <c r="R6925" s="2"/>
      <c r="S6925" s="2"/>
      <c r="T6925" s="2"/>
      <c r="U6925" s="2"/>
      <c r="V6925" s="2"/>
      <c r="W6925" s="2"/>
    </row>
    <row r="6926" spans="1:23" x14ac:dyDescent="0.25">
      <c r="A6926" s="2"/>
      <c r="B6926" s="2"/>
      <c r="C6926" s="1"/>
      <c r="D6926" s="2"/>
      <c r="E6926" s="2"/>
      <c r="F6926" s="2"/>
      <c r="G6926" s="2"/>
      <c r="H6926" s="2"/>
      <c r="I6926" s="2"/>
      <c r="J6926" s="2"/>
      <c r="K6926" s="2"/>
      <c r="L6926" s="2"/>
      <c r="M6926" s="2"/>
      <c r="N6926" s="2"/>
      <c r="O6926" s="2"/>
      <c r="P6926" s="2"/>
      <c r="Q6926" s="2"/>
      <c r="R6926" s="2"/>
      <c r="S6926" s="2"/>
      <c r="T6926" s="2"/>
      <c r="U6926" s="2"/>
      <c r="V6926" s="2"/>
      <c r="W6926" s="2"/>
    </row>
    <row r="6927" spans="1:23" x14ac:dyDescent="0.25">
      <c r="A6927" s="2"/>
      <c r="B6927" s="2"/>
      <c r="C6927" s="1"/>
      <c r="D6927" s="2"/>
      <c r="E6927" s="2"/>
      <c r="F6927" s="2"/>
      <c r="G6927" s="2"/>
      <c r="H6927" s="2"/>
      <c r="I6927" s="2"/>
      <c r="J6927" s="2"/>
      <c r="K6927" s="2"/>
      <c r="L6927" s="2"/>
      <c r="M6927" s="2"/>
      <c r="N6927" s="2"/>
      <c r="O6927" s="2"/>
      <c r="P6927" s="2"/>
      <c r="Q6927" s="2"/>
      <c r="R6927" s="2"/>
      <c r="S6927" s="2"/>
      <c r="T6927" s="2"/>
      <c r="U6927" s="2"/>
      <c r="V6927" s="2"/>
      <c r="W6927" s="2"/>
    </row>
    <row r="6928" spans="1:23" x14ac:dyDescent="0.25">
      <c r="A6928" s="2"/>
      <c r="B6928" s="2"/>
      <c r="C6928" s="1"/>
      <c r="D6928" s="2"/>
      <c r="E6928" s="2"/>
      <c r="F6928" s="2"/>
      <c r="G6928" s="2"/>
      <c r="H6928" s="2"/>
      <c r="I6928" s="2"/>
      <c r="J6928" s="2"/>
      <c r="K6928" s="2"/>
      <c r="L6928" s="2"/>
      <c r="M6928" s="2"/>
      <c r="N6928" s="2"/>
      <c r="O6928" s="2"/>
      <c r="P6928" s="2"/>
      <c r="Q6928" s="2"/>
      <c r="R6928" s="2"/>
      <c r="S6928" s="2"/>
      <c r="T6928" s="2"/>
      <c r="U6928" s="2"/>
      <c r="V6928" s="2"/>
      <c r="W6928" s="2"/>
    </row>
    <row r="6929" spans="1:23" x14ac:dyDescent="0.25">
      <c r="A6929" s="2"/>
      <c r="B6929" s="2"/>
      <c r="C6929" s="1"/>
      <c r="D6929" s="2"/>
      <c r="E6929" s="2"/>
      <c r="F6929" s="2"/>
      <c r="G6929" s="2"/>
      <c r="H6929" s="2"/>
      <c r="I6929" s="2"/>
      <c r="J6929" s="2"/>
      <c r="K6929" s="2"/>
      <c r="L6929" s="2"/>
      <c r="M6929" s="2"/>
      <c r="N6929" s="2"/>
      <c r="O6929" s="2"/>
      <c r="P6929" s="2"/>
      <c r="Q6929" s="2"/>
      <c r="R6929" s="2"/>
      <c r="S6929" s="2"/>
      <c r="T6929" s="2"/>
      <c r="U6929" s="2"/>
      <c r="V6929" s="2"/>
      <c r="W6929" s="2"/>
    </row>
    <row r="6930" spans="1:23" x14ac:dyDescent="0.25">
      <c r="A6930" s="2"/>
      <c r="B6930" s="2"/>
      <c r="C6930" s="1"/>
      <c r="D6930" s="2"/>
      <c r="E6930" s="2"/>
      <c r="F6930" s="2"/>
      <c r="G6930" s="2"/>
      <c r="H6930" s="2"/>
      <c r="I6930" s="2"/>
      <c r="J6930" s="2"/>
      <c r="K6930" s="2"/>
      <c r="L6930" s="2"/>
      <c r="M6930" s="2"/>
      <c r="N6930" s="2"/>
      <c r="O6930" s="2"/>
      <c r="P6930" s="2"/>
      <c r="Q6930" s="2"/>
      <c r="R6930" s="2"/>
      <c r="S6930" s="2"/>
      <c r="T6930" s="2"/>
      <c r="U6930" s="2"/>
      <c r="V6930" s="2"/>
      <c r="W6930" s="2"/>
    </row>
    <row r="6931" spans="1:23" x14ac:dyDescent="0.25">
      <c r="A6931" s="2"/>
      <c r="B6931" s="2"/>
      <c r="C6931" s="1"/>
      <c r="D6931" s="2"/>
      <c r="E6931" s="2"/>
      <c r="F6931" s="2"/>
      <c r="G6931" s="2"/>
      <c r="H6931" s="2"/>
      <c r="I6931" s="2"/>
      <c r="J6931" s="2"/>
      <c r="K6931" s="2"/>
      <c r="L6931" s="2"/>
      <c r="M6931" s="2"/>
      <c r="N6931" s="2"/>
      <c r="O6931" s="2"/>
      <c r="P6931" s="2"/>
      <c r="Q6931" s="2"/>
      <c r="R6931" s="2"/>
      <c r="S6931" s="2"/>
      <c r="T6931" s="2"/>
      <c r="U6931" s="2"/>
      <c r="V6931" s="2"/>
      <c r="W6931" s="2"/>
    </row>
    <row r="6932" spans="1:23" x14ac:dyDescent="0.25">
      <c r="A6932" s="2"/>
      <c r="B6932" s="2"/>
      <c r="C6932" s="1"/>
      <c r="D6932" s="2"/>
      <c r="E6932" s="2"/>
      <c r="F6932" s="2"/>
      <c r="G6932" s="2"/>
      <c r="H6932" s="2"/>
      <c r="I6932" s="2"/>
      <c r="J6932" s="2"/>
      <c r="K6932" s="2"/>
      <c r="L6932" s="2"/>
      <c r="M6932" s="2"/>
      <c r="N6932" s="2"/>
      <c r="O6932" s="2"/>
      <c r="P6932" s="2"/>
      <c r="Q6932" s="2"/>
      <c r="R6932" s="2"/>
      <c r="S6932" s="2"/>
      <c r="T6932" s="2"/>
      <c r="U6932" s="2"/>
      <c r="V6932" s="2"/>
      <c r="W6932" s="2"/>
    </row>
    <row r="6933" spans="1:23" x14ac:dyDescent="0.25">
      <c r="A6933" s="2"/>
      <c r="B6933" s="2"/>
      <c r="C6933" s="1"/>
      <c r="D6933" s="2"/>
      <c r="E6933" s="2"/>
      <c r="F6933" s="2"/>
      <c r="G6933" s="2"/>
      <c r="H6933" s="2"/>
      <c r="I6933" s="2"/>
      <c r="J6933" s="2"/>
      <c r="K6933" s="2"/>
      <c r="L6933" s="2"/>
      <c r="M6933" s="2"/>
      <c r="N6933" s="2"/>
      <c r="O6933" s="2"/>
      <c r="P6933" s="2"/>
      <c r="Q6933" s="2"/>
      <c r="R6933" s="2"/>
      <c r="S6933" s="2"/>
      <c r="T6933" s="2"/>
      <c r="U6933" s="2"/>
      <c r="V6933" s="2"/>
      <c r="W6933" s="2"/>
    </row>
    <row r="6934" spans="1:23" x14ac:dyDescent="0.25">
      <c r="A6934" s="2"/>
      <c r="B6934" s="2"/>
      <c r="C6934" s="1"/>
      <c r="D6934" s="2"/>
      <c r="E6934" s="2"/>
      <c r="F6934" s="2"/>
      <c r="G6934" s="2"/>
      <c r="H6934" s="2"/>
      <c r="I6934" s="2"/>
      <c r="J6934" s="2"/>
      <c r="K6934" s="2"/>
      <c r="L6934" s="2"/>
      <c r="M6934" s="2"/>
      <c r="N6934" s="2"/>
      <c r="O6934" s="2"/>
      <c r="P6934" s="2"/>
      <c r="Q6934" s="2"/>
      <c r="R6934" s="2"/>
      <c r="S6934" s="2"/>
      <c r="T6934" s="2"/>
      <c r="U6934" s="2"/>
      <c r="V6934" s="2"/>
      <c r="W6934" s="2"/>
    </row>
    <row r="6935" spans="1:23" x14ac:dyDescent="0.25">
      <c r="A6935" s="2"/>
      <c r="B6935" s="2"/>
      <c r="C6935" s="1"/>
      <c r="D6935" s="2"/>
      <c r="E6935" s="2"/>
      <c r="F6935" s="2"/>
      <c r="G6935" s="2"/>
      <c r="H6935" s="2"/>
      <c r="I6935" s="2"/>
      <c r="J6935" s="2"/>
      <c r="K6935" s="2"/>
      <c r="L6935" s="2"/>
      <c r="M6935" s="2"/>
      <c r="N6935" s="2"/>
      <c r="O6935" s="2"/>
      <c r="P6935" s="2"/>
      <c r="Q6935" s="2"/>
      <c r="R6935" s="2"/>
      <c r="S6935" s="2"/>
      <c r="T6935" s="2"/>
      <c r="U6935" s="2"/>
      <c r="V6935" s="2"/>
      <c r="W6935" s="2"/>
    </row>
    <row r="6936" spans="1:23" x14ac:dyDescent="0.25">
      <c r="A6936" s="2"/>
      <c r="B6936" s="2"/>
      <c r="C6936" s="1"/>
      <c r="D6936" s="2"/>
      <c r="E6936" s="2"/>
      <c r="F6936" s="2"/>
      <c r="G6936" s="2"/>
      <c r="H6936" s="2"/>
      <c r="I6936" s="2"/>
      <c r="J6936" s="2"/>
      <c r="K6936" s="2"/>
      <c r="L6936" s="2"/>
      <c r="M6936" s="2"/>
      <c r="N6936" s="2"/>
      <c r="O6936" s="2"/>
      <c r="P6936" s="2"/>
      <c r="Q6936" s="2"/>
      <c r="R6936" s="2"/>
      <c r="S6936" s="2"/>
      <c r="T6936" s="2"/>
      <c r="U6936" s="2"/>
      <c r="V6936" s="2"/>
      <c r="W6936" s="2"/>
    </row>
    <row r="6937" spans="1:23" x14ac:dyDescent="0.25">
      <c r="A6937" s="2"/>
      <c r="B6937" s="2"/>
      <c r="C6937" s="1"/>
      <c r="D6937" s="2"/>
      <c r="E6937" s="2"/>
      <c r="F6937" s="2"/>
      <c r="G6937" s="2"/>
      <c r="H6937" s="2"/>
      <c r="I6937" s="2"/>
      <c r="J6937" s="2"/>
      <c r="K6937" s="2"/>
      <c r="L6937" s="2"/>
      <c r="M6937" s="2"/>
      <c r="N6937" s="2"/>
      <c r="O6937" s="2"/>
      <c r="P6937" s="2"/>
      <c r="Q6937" s="2"/>
      <c r="R6937" s="2"/>
      <c r="S6937" s="2"/>
      <c r="T6937" s="2"/>
      <c r="U6937" s="2"/>
      <c r="V6937" s="2"/>
      <c r="W6937" s="2"/>
    </row>
    <row r="6938" spans="1:23" x14ac:dyDescent="0.25">
      <c r="A6938" s="2"/>
      <c r="B6938" s="2"/>
      <c r="C6938" s="1"/>
      <c r="D6938" s="2"/>
      <c r="E6938" s="2"/>
      <c r="F6938" s="2"/>
      <c r="G6938" s="2"/>
      <c r="H6938" s="2"/>
      <c r="I6938" s="2"/>
      <c r="J6938" s="2"/>
      <c r="K6938" s="2"/>
      <c r="L6938" s="2"/>
      <c r="M6938" s="2"/>
      <c r="N6938" s="2"/>
      <c r="O6938" s="2"/>
      <c r="P6938" s="2"/>
      <c r="Q6938" s="2"/>
      <c r="R6938" s="2"/>
      <c r="S6938" s="2"/>
      <c r="T6938" s="2"/>
      <c r="U6938" s="2"/>
      <c r="V6938" s="2"/>
      <c r="W6938" s="2"/>
    </row>
    <row r="6939" spans="1:23" x14ac:dyDescent="0.25">
      <c r="A6939" s="2"/>
      <c r="B6939" s="2"/>
      <c r="C6939" s="1"/>
      <c r="D6939" s="2"/>
      <c r="E6939" s="2"/>
      <c r="F6939" s="2"/>
      <c r="G6939" s="2"/>
      <c r="H6939" s="2"/>
      <c r="I6939" s="2"/>
      <c r="J6939" s="2"/>
      <c r="K6939" s="2"/>
      <c r="L6939" s="2"/>
      <c r="M6939" s="2"/>
      <c r="N6939" s="2"/>
      <c r="O6939" s="2"/>
      <c r="P6939" s="2"/>
      <c r="Q6939" s="2"/>
      <c r="R6939" s="2"/>
      <c r="S6939" s="2"/>
      <c r="T6939" s="2"/>
      <c r="U6939" s="2"/>
      <c r="V6939" s="2"/>
      <c r="W6939" s="2"/>
    </row>
    <row r="6940" spans="1:23" x14ac:dyDescent="0.25">
      <c r="A6940" s="2"/>
      <c r="B6940" s="2"/>
      <c r="C6940" s="1"/>
      <c r="D6940" s="2"/>
      <c r="E6940" s="2"/>
      <c r="F6940" s="2"/>
      <c r="G6940" s="2"/>
      <c r="H6940" s="2"/>
      <c r="I6940" s="2"/>
      <c r="J6940" s="2"/>
      <c r="K6940" s="2"/>
      <c r="L6940" s="2"/>
      <c r="M6940" s="2"/>
      <c r="N6940" s="2"/>
      <c r="O6940" s="2"/>
      <c r="P6940" s="2"/>
      <c r="Q6940" s="2"/>
      <c r="R6940" s="2"/>
      <c r="S6940" s="2"/>
      <c r="T6940" s="2"/>
      <c r="U6940" s="2"/>
      <c r="V6940" s="2"/>
      <c r="W6940" s="2"/>
    </row>
    <row r="6941" spans="1:23" x14ac:dyDescent="0.25">
      <c r="A6941" s="2"/>
      <c r="B6941" s="2"/>
      <c r="C6941" s="1"/>
      <c r="D6941" s="2"/>
      <c r="E6941" s="2"/>
      <c r="F6941" s="2"/>
      <c r="G6941" s="2"/>
      <c r="H6941" s="2"/>
      <c r="I6941" s="2"/>
      <c r="J6941" s="2"/>
      <c r="K6941" s="2"/>
      <c r="L6941" s="2"/>
      <c r="M6941" s="2"/>
      <c r="N6941" s="2"/>
      <c r="O6941" s="2"/>
      <c r="P6941" s="2"/>
      <c r="Q6941" s="2"/>
      <c r="R6941" s="2"/>
      <c r="S6941" s="2"/>
      <c r="T6941" s="2"/>
      <c r="U6941" s="2"/>
      <c r="V6941" s="2"/>
      <c r="W6941" s="2"/>
    </row>
    <row r="6942" spans="1:23" x14ac:dyDescent="0.25">
      <c r="A6942" s="2"/>
      <c r="B6942" s="2"/>
      <c r="C6942" s="1"/>
      <c r="D6942" s="2"/>
      <c r="E6942" s="2"/>
      <c r="F6942" s="2"/>
      <c r="G6942" s="2"/>
      <c r="H6942" s="2"/>
      <c r="I6942" s="2"/>
      <c r="J6942" s="2"/>
      <c r="K6942" s="2"/>
      <c r="L6942" s="2"/>
      <c r="M6942" s="2"/>
      <c r="N6942" s="2"/>
      <c r="O6942" s="2"/>
      <c r="P6942" s="2"/>
      <c r="Q6942" s="2"/>
      <c r="R6942" s="2"/>
      <c r="S6942" s="2"/>
      <c r="T6942" s="2"/>
      <c r="U6942" s="2"/>
      <c r="V6942" s="2"/>
      <c r="W6942" s="2"/>
    </row>
    <row r="6943" spans="1:23" x14ac:dyDescent="0.25">
      <c r="A6943" s="2"/>
      <c r="B6943" s="2"/>
      <c r="C6943" s="1"/>
      <c r="D6943" s="2"/>
      <c r="E6943" s="2"/>
      <c r="F6943" s="2"/>
      <c r="G6943" s="2"/>
      <c r="H6943" s="2"/>
      <c r="I6943" s="2"/>
      <c r="J6943" s="2"/>
      <c r="K6943" s="2"/>
      <c r="L6943" s="2"/>
      <c r="M6943" s="2"/>
      <c r="N6943" s="2"/>
      <c r="O6943" s="2"/>
      <c r="P6943" s="2"/>
      <c r="Q6943" s="2"/>
      <c r="R6943" s="2"/>
      <c r="S6943" s="2"/>
      <c r="T6943" s="2"/>
      <c r="U6943" s="2"/>
      <c r="V6943" s="2"/>
      <c r="W6943" s="2"/>
    </row>
    <row r="6944" spans="1:23" x14ac:dyDescent="0.25">
      <c r="A6944" s="2"/>
      <c r="B6944" s="2"/>
      <c r="C6944" s="1"/>
      <c r="D6944" s="2"/>
      <c r="E6944" s="2"/>
      <c r="F6944" s="2"/>
      <c r="G6944" s="2"/>
      <c r="H6944" s="2"/>
      <c r="I6944" s="2"/>
      <c r="J6944" s="2"/>
      <c r="K6944" s="2"/>
      <c r="L6944" s="2"/>
      <c r="M6944" s="2"/>
      <c r="N6944" s="2"/>
      <c r="O6944" s="2"/>
      <c r="P6944" s="2"/>
      <c r="Q6944" s="2"/>
      <c r="R6944" s="2"/>
      <c r="S6944" s="2"/>
      <c r="T6944" s="2"/>
      <c r="U6944" s="2"/>
      <c r="V6944" s="2"/>
      <c r="W6944" s="2"/>
    </row>
    <row r="6945" spans="1:23" x14ac:dyDescent="0.25">
      <c r="A6945" s="2"/>
      <c r="B6945" s="2"/>
      <c r="C6945" s="1"/>
      <c r="D6945" s="2"/>
      <c r="E6945" s="2"/>
      <c r="F6945" s="2"/>
      <c r="G6945" s="2"/>
      <c r="H6945" s="2"/>
      <c r="I6945" s="2"/>
      <c r="J6945" s="2"/>
      <c r="K6945" s="2"/>
      <c r="L6945" s="2"/>
      <c r="M6945" s="2"/>
      <c r="N6945" s="2"/>
      <c r="O6945" s="2"/>
      <c r="P6945" s="2"/>
      <c r="Q6945" s="2"/>
      <c r="R6945" s="2"/>
      <c r="S6945" s="2"/>
      <c r="T6945" s="2"/>
      <c r="U6945" s="2"/>
      <c r="V6945" s="2"/>
      <c r="W6945" s="2"/>
    </row>
    <row r="6946" spans="1:23" x14ac:dyDescent="0.25">
      <c r="A6946" s="2"/>
      <c r="B6946" s="2"/>
      <c r="C6946" s="1"/>
      <c r="D6946" s="2"/>
      <c r="E6946" s="2"/>
      <c r="F6946" s="2"/>
      <c r="G6946" s="2"/>
      <c r="H6946" s="2"/>
      <c r="I6946" s="2"/>
      <c r="J6946" s="2"/>
      <c r="K6946" s="2"/>
      <c r="L6946" s="2"/>
      <c r="M6946" s="2"/>
      <c r="N6946" s="2"/>
      <c r="O6946" s="2"/>
      <c r="P6946" s="2"/>
      <c r="Q6946" s="2"/>
      <c r="R6946" s="2"/>
      <c r="S6946" s="2"/>
      <c r="T6946" s="2"/>
      <c r="U6946" s="2"/>
      <c r="V6946" s="2"/>
      <c r="W6946" s="2"/>
    </row>
    <row r="6947" spans="1:23" x14ac:dyDescent="0.25">
      <c r="A6947" s="2"/>
      <c r="B6947" s="2"/>
      <c r="C6947" s="1"/>
      <c r="D6947" s="2"/>
      <c r="E6947" s="2"/>
      <c r="F6947" s="2"/>
      <c r="G6947" s="2"/>
      <c r="H6947" s="2"/>
      <c r="I6947" s="2"/>
      <c r="J6947" s="2"/>
      <c r="K6947" s="2"/>
      <c r="L6947" s="2"/>
      <c r="M6947" s="2"/>
      <c r="N6947" s="2"/>
      <c r="O6947" s="2"/>
      <c r="P6947" s="2"/>
      <c r="Q6947" s="2"/>
      <c r="R6947" s="2"/>
      <c r="S6947" s="2"/>
      <c r="T6947" s="2"/>
      <c r="U6947" s="2"/>
      <c r="V6947" s="2"/>
      <c r="W6947" s="2"/>
    </row>
    <row r="6948" spans="1:23" x14ac:dyDescent="0.25">
      <c r="A6948" s="2"/>
      <c r="B6948" s="2"/>
      <c r="C6948" s="1"/>
      <c r="D6948" s="2"/>
      <c r="E6948" s="2"/>
      <c r="F6948" s="2"/>
      <c r="G6948" s="2"/>
      <c r="H6948" s="2"/>
      <c r="I6948" s="2"/>
      <c r="J6948" s="2"/>
      <c r="K6948" s="2"/>
      <c r="L6948" s="2"/>
      <c r="M6948" s="2"/>
      <c r="N6948" s="2"/>
      <c r="O6948" s="2"/>
      <c r="P6948" s="2"/>
      <c r="Q6948" s="2"/>
      <c r="R6948" s="2"/>
      <c r="S6948" s="2"/>
      <c r="T6948" s="2"/>
      <c r="U6948" s="2"/>
      <c r="V6948" s="2"/>
      <c r="W6948" s="2"/>
    </row>
    <row r="6949" spans="1:23" x14ac:dyDescent="0.25">
      <c r="A6949" s="2"/>
      <c r="B6949" s="2"/>
      <c r="C6949" s="1"/>
      <c r="D6949" s="2"/>
      <c r="E6949" s="2"/>
      <c r="F6949" s="2"/>
      <c r="G6949" s="2"/>
      <c r="H6949" s="2"/>
      <c r="I6949" s="2"/>
      <c r="J6949" s="2"/>
      <c r="K6949" s="2"/>
      <c r="L6949" s="2"/>
      <c r="M6949" s="2"/>
      <c r="N6949" s="2"/>
      <c r="O6949" s="2"/>
      <c r="P6949" s="2"/>
      <c r="Q6949" s="2"/>
      <c r="R6949" s="2"/>
      <c r="S6949" s="2"/>
      <c r="T6949" s="2"/>
      <c r="U6949" s="2"/>
      <c r="V6949" s="2"/>
      <c r="W6949" s="2"/>
    </row>
    <row r="6950" spans="1:23" x14ac:dyDescent="0.25">
      <c r="A6950" s="2"/>
      <c r="B6950" s="2"/>
      <c r="C6950" s="1"/>
      <c r="D6950" s="2"/>
      <c r="E6950" s="2"/>
      <c r="F6950" s="2"/>
      <c r="G6950" s="2"/>
      <c r="H6950" s="2"/>
      <c r="I6950" s="2"/>
      <c r="J6950" s="2"/>
      <c r="K6950" s="2"/>
      <c r="L6950" s="2"/>
      <c r="M6950" s="2"/>
      <c r="N6950" s="2"/>
      <c r="O6950" s="2"/>
      <c r="P6950" s="2"/>
      <c r="Q6950" s="2"/>
      <c r="R6950" s="2"/>
      <c r="S6950" s="2"/>
      <c r="T6950" s="2"/>
      <c r="U6950" s="2"/>
      <c r="V6950" s="2"/>
      <c r="W6950" s="2"/>
    </row>
    <row r="6951" spans="1:23" x14ac:dyDescent="0.25">
      <c r="A6951" s="2"/>
      <c r="B6951" s="2"/>
      <c r="C6951" s="1"/>
      <c r="D6951" s="2"/>
      <c r="E6951" s="2"/>
      <c r="F6951" s="2"/>
      <c r="G6951" s="2"/>
      <c r="H6951" s="2"/>
      <c r="I6951" s="2"/>
      <c r="J6951" s="2"/>
      <c r="K6951" s="2"/>
      <c r="L6951" s="2"/>
      <c r="M6951" s="2"/>
      <c r="N6951" s="2"/>
      <c r="O6951" s="2"/>
      <c r="P6951" s="2"/>
      <c r="Q6951" s="2"/>
      <c r="R6951" s="2"/>
      <c r="S6951" s="2"/>
      <c r="T6951" s="2"/>
      <c r="U6951" s="2"/>
      <c r="V6951" s="2"/>
      <c r="W6951" s="2"/>
    </row>
    <row r="6952" spans="1:23" x14ac:dyDescent="0.25">
      <c r="A6952" s="2"/>
      <c r="B6952" s="2"/>
      <c r="C6952" s="1"/>
      <c r="D6952" s="2"/>
      <c r="E6952" s="2"/>
      <c r="F6952" s="2"/>
      <c r="G6952" s="2"/>
      <c r="H6952" s="2"/>
      <c r="I6952" s="2"/>
      <c r="J6952" s="2"/>
      <c r="K6952" s="2"/>
      <c r="L6952" s="2"/>
      <c r="M6952" s="2"/>
      <c r="N6952" s="2"/>
      <c r="O6952" s="2"/>
      <c r="P6952" s="2"/>
      <c r="Q6952" s="2"/>
      <c r="R6952" s="2"/>
      <c r="S6952" s="2"/>
      <c r="T6952" s="2"/>
      <c r="U6952" s="2"/>
      <c r="V6952" s="2"/>
      <c r="W6952" s="2"/>
    </row>
    <row r="6953" spans="1:23" x14ac:dyDescent="0.25">
      <c r="A6953" s="2"/>
      <c r="B6953" s="2"/>
      <c r="C6953" s="1"/>
      <c r="D6953" s="2"/>
      <c r="E6953" s="2"/>
      <c r="F6953" s="2"/>
      <c r="G6953" s="2"/>
      <c r="H6953" s="2"/>
      <c r="I6953" s="2"/>
      <c r="J6953" s="2"/>
      <c r="K6953" s="2"/>
      <c r="L6953" s="2"/>
      <c r="M6953" s="2"/>
      <c r="N6953" s="2"/>
      <c r="O6953" s="2"/>
      <c r="P6953" s="2"/>
      <c r="Q6953" s="2"/>
      <c r="R6953" s="2"/>
      <c r="S6953" s="2"/>
      <c r="T6953" s="2"/>
      <c r="U6953" s="2"/>
      <c r="V6953" s="2"/>
      <c r="W6953" s="2"/>
    </row>
    <row r="6954" spans="1:23" x14ac:dyDescent="0.25">
      <c r="A6954" s="2"/>
      <c r="B6954" s="2"/>
      <c r="C6954" s="1"/>
      <c r="D6954" s="2"/>
      <c r="E6954" s="2"/>
      <c r="F6954" s="2"/>
      <c r="G6954" s="2"/>
      <c r="H6954" s="2"/>
      <c r="I6954" s="2"/>
      <c r="J6954" s="2"/>
      <c r="K6954" s="2"/>
      <c r="L6954" s="2"/>
      <c r="M6954" s="2"/>
      <c r="N6954" s="2"/>
      <c r="O6954" s="2"/>
      <c r="P6954" s="2"/>
      <c r="Q6954" s="2"/>
      <c r="R6954" s="2"/>
      <c r="S6954" s="2"/>
      <c r="T6954" s="2"/>
      <c r="U6954" s="2"/>
      <c r="V6954" s="2"/>
      <c r="W6954" s="2"/>
    </row>
    <row r="6955" spans="1:23" x14ac:dyDescent="0.25">
      <c r="A6955" s="2"/>
      <c r="B6955" s="2"/>
      <c r="C6955" s="1"/>
      <c r="D6955" s="2"/>
      <c r="E6955" s="2"/>
      <c r="F6955" s="2"/>
      <c r="G6955" s="2"/>
      <c r="H6955" s="2"/>
      <c r="I6955" s="2"/>
      <c r="J6955" s="2"/>
      <c r="K6955" s="2"/>
      <c r="L6955" s="2"/>
      <c r="M6955" s="2"/>
      <c r="N6955" s="2"/>
      <c r="O6955" s="2"/>
      <c r="P6955" s="2"/>
      <c r="Q6955" s="2"/>
      <c r="R6955" s="2"/>
      <c r="S6955" s="2"/>
      <c r="T6955" s="2"/>
      <c r="U6955" s="2"/>
      <c r="V6955" s="2"/>
      <c r="W6955" s="2"/>
    </row>
    <row r="6956" spans="1:23" x14ac:dyDescent="0.25">
      <c r="A6956" s="2"/>
      <c r="B6956" s="2"/>
      <c r="C6956" s="1"/>
      <c r="D6956" s="2"/>
      <c r="E6956" s="2"/>
      <c r="F6956" s="2"/>
      <c r="G6956" s="2"/>
      <c r="H6956" s="2"/>
      <c r="I6956" s="2"/>
      <c r="J6956" s="2"/>
      <c r="K6956" s="2"/>
      <c r="L6956" s="2"/>
      <c r="M6956" s="2"/>
      <c r="N6956" s="2"/>
      <c r="O6956" s="2"/>
      <c r="P6956" s="2"/>
      <c r="Q6956" s="2"/>
      <c r="R6956" s="2"/>
      <c r="S6956" s="2"/>
      <c r="T6956" s="2"/>
      <c r="U6956" s="2"/>
      <c r="V6956" s="2"/>
      <c r="W6956" s="2"/>
    </row>
    <row r="6957" spans="1:23" x14ac:dyDescent="0.25">
      <c r="A6957" s="2"/>
      <c r="B6957" s="2"/>
      <c r="C6957" s="1"/>
      <c r="D6957" s="2"/>
      <c r="E6957" s="2"/>
      <c r="F6957" s="2"/>
      <c r="G6957" s="2"/>
      <c r="H6957" s="2"/>
      <c r="I6957" s="2"/>
      <c r="J6957" s="2"/>
      <c r="K6957" s="2"/>
      <c r="L6957" s="2"/>
      <c r="M6957" s="2"/>
      <c r="N6957" s="2"/>
      <c r="O6957" s="2"/>
      <c r="P6957" s="2"/>
      <c r="Q6957" s="2"/>
      <c r="R6957" s="2"/>
      <c r="S6957" s="2"/>
      <c r="T6957" s="2"/>
      <c r="U6957" s="2"/>
      <c r="V6957" s="2"/>
      <c r="W6957" s="2"/>
    </row>
    <row r="6958" spans="1:23" x14ac:dyDescent="0.25">
      <c r="A6958" s="2"/>
      <c r="B6958" s="2"/>
      <c r="C6958" s="1"/>
      <c r="D6958" s="2"/>
      <c r="E6958" s="2"/>
      <c r="F6958" s="2"/>
      <c r="G6958" s="2"/>
      <c r="H6958" s="2"/>
      <c r="I6958" s="2"/>
      <c r="J6958" s="2"/>
      <c r="K6958" s="2"/>
      <c r="L6958" s="2"/>
      <c r="M6958" s="2"/>
      <c r="N6958" s="2"/>
      <c r="O6958" s="2"/>
      <c r="P6958" s="2"/>
      <c r="Q6958" s="2"/>
      <c r="R6958" s="2"/>
      <c r="S6958" s="2"/>
      <c r="T6958" s="2"/>
      <c r="U6958" s="2"/>
      <c r="V6958" s="2"/>
      <c r="W6958" s="2"/>
    </row>
    <row r="6959" spans="1:23" x14ac:dyDescent="0.25">
      <c r="A6959" s="2"/>
      <c r="B6959" s="2"/>
      <c r="C6959" s="1"/>
      <c r="D6959" s="2"/>
      <c r="E6959" s="2"/>
      <c r="F6959" s="2"/>
      <c r="G6959" s="2"/>
      <c r="H6959" s="2"/>
      <c r="I6959" s="2"/>
      <c r="J6959" s="2"/>
      <c r="K6959" s="2"/>
      <c r="L6959" s="2"/>
      <c r="M6959" s="2"/>
      <c r="N6959" s="2"/>
      <c r="O6959" s="2"/>
      <c r="P6959" s="2"/>
      <c r="Q6959" s="2"/>
      <c r="R6959" s="2"/>
      <c r="S6959" s="2"/>
      <c r="T6959" s="2"/>
      <c r="U6959" s="2"/>
      <c r="V6959" s="2"/>
      <c r="W6959" s="2"/>
    </row>
    <row r="6960" spans="1:23" x14ac:dyDescent="0.25">
      <c r="A6960" s="2"/>
      <c r="B6960" s="2"/>
      <c r="C6960" s="1"/>
      <c r="D6960" s="2"/>
      <c r="E6960" s="2"/>
      <c r="F6960" s="2"/>
      <c r="G6960" s="2"/>
      <c r="H6960" s="2"/>
      <c r="I6960" s="2"/>
      <c r="J6960" s="2"/>
      <c r="K6960" s="2"/>
      <c r="L6960" s="2"/>
      <c r="M6960" s="2"/>
      <c r="N6960" s="2"/>
      <c r="O6960" s="2"/>
      <c r="P6960" s="2"/>
      <c r="Q6960" s="2"/>
      <c r="R6960" s="2"/>
      <c r="S6960" s="2"/>
      <c r="T6960" s="2"/>
      <c r="U6960" s="2"/>
      <c r="V6960" s="2"/>
      <c r="W6960" s="2"/>
    </row>
    <row r="6961" spans="1:23" x14ac:dyDescent="0.25">
      <c r="A6961" s="2"/>
      <c r="B6961" s="2"/>
      <c r="C6961" s="1"/>
      <c r="D6961" s="2"/>
      <c r="E6961" s="2"/>
      <c r="F6961" s="2"/>
      <c r="G6961" s="2"/>
      <c r="H6961" s="2"/>
      <c r="I6961" s="2"/>
      <c r="J6961" s="2"/>
      <c r="K6961" s="2"/>
      <c r="L6961" s="2"/>
      <c r="M6961" s="2"/>
      <c r="N6961" s="2"/>
      <c r="O6961" s="2"/>
      <c r="P6961" s="2"/>
      <c r="Q6961" s="2"/>
      <c r="R6961" s="2"/>
      <c r="S6961" s="2"/>
      <c r="T6961" s="2"/>
      <c r="U6961" s="2"/>
      <c r="V6961" s="2"/>
      <c r="W6961" s="2"/>
    </row>
    <row r="6962" spans="1:23" x14ac:dyDescent="0.25">
      <c r="A6962" s="2"/>
      <c r="B6962" s="2"/>
      <c r="C6962" s="1"/>
      <c r="D6962" s="2"/>
      <c r="E6962" s="2"/>
      <c r="F6962" s="2"/>
      <c r="G6962" s="2"/>
      <c r="H6962" s="2"/>
      <c r="I6962" s="2"/>
      <c r="J6962" s="2"/>
      <c r="K6962" s="2"/>
      <c r="L6962" s="2"/>
      <c r="M6962" s="2"/>
      <c r="N6962" s="2"/>
      <c r="O6962" s="2"/>
      <c r="P6962" s="2"/>
      <c r="Q6962" s="2"/>
      <c r="R6962" s="2"/>
      <c r="S6962" s="2"/>
      <c r="T6962" s="2"/>
      <c r="U6962" s="2"/>
      <c r="V6962" s="2"/>
      <c r="W6962" s="2"/>
    </row>
    <row r="6963" spans="1:23" x14ac:dyDescent="0.25">
      <c r="A6963" s="2"/>
      <c r="B6963" s="2"/>
      <c r="C6963" s="1"/>
      <c r="D6963" s="2"/>
      <c r="E6963" s="2"/>
      <c r="F6963" s="2"/>
      <c r="G6963" s="2"/>
      <c r="H6963" s="2"/>
      <c r="I6963" s="2"/>
      <c r="J6963" s="2"/>
      <c r="K6963" s="2"/>
      <c r="L6963" s="2"/>
      <c r="M6963" s="2"/>
      <c r="N6963" s="2"/>
      <c r="O6963" s="2"/>
      <c r="P6963" s="2"/>
      <c r="Q6963" s="2"/>
      <c r="R6963" s="2"/>
      <c r="S6963" s="2"/>
      <c r="T6963" s="2"/>
      <c r="U6963" s="2"/>
      <c r="V6963" s="2"/>
      <c r="W6963" s="2"/>
    </row>
    <row r="6964" spans="1:23" x14ac:dyDescent="0.25">
      <c r="A6964" s="2"/>
      <c r="B6964" s="2"/>
      <c r="C6964" s="1"/>
      <c r="D6964" s="2"/>
      <c r="E6964" s="2"/>
      <c r="F6964" s="2"/>
      <c r="G6964" s="2"/>
      <c r="H6964" s="2"/>
      <c r="I6964" s="2"/>
      <c r="J6964" s="2"/>
      <c r="K6964" s="2"/>
      <c r="L6964" s="2"/>
      <c r="M6964" s="2"/>
      <c r="N6964" s="2"/>
      <c r="O6964" s="2"/>
      <c r="P6964" s="2"/>
      <c r="Q6964" s="2"/>
      <c r="R6964" s="2"/>
      <c r="S6964" s="2"/>
      <c r="T6964" s="2"/>
      <c r="U6964" s="2"/>
      <c r="V6964" s="2"/>
      <c r="W6964" s="2"/>
    </row>
    <row r="6965" spans="1:23" x14ac:dyDescent="0.25">
      <c r="A6965" s="2"/>
      <c r="B6965" s="2"/>
      <c r="C6965" s="1"/>
      <c r="D6965" s="2"/>
      <c r="E6965" s="2"/>
      <c r="F6965" s="2"/>
      <c r="G6965" s="2"/>
      <c r="H6965" s="2"/>
      <c r="I6965" s="2"/>
      <c r="J6965" s="2"/>
      <c r="K6965" s="2"/>
      <c r="L6965" s="2"/>
      <c r="M6965" s="2"/>
      <c r="N6965" s="2"/>
      <c r="O6965" s="2"/>
      <c r="P6965" s="2"/>
      <c r="Q6965" s="2"/>
      <c r="R6965" s="2"/>
      <c r="S6965" s="2"/>
      <c r="T6965" s="2"/>
      <c r="U6965" s="2"/>
      <c r="V6965" s="2"/>
      <c r="W6965" s="2"/>
    </row>
    <row r="6966" spans="1:23" x14ac:dyDescent="0.25">
      <c r="A6966" s="2"/>
      <c r="B6966" s="2"/>
      <c r="C6966" s="1"/>
      <c r="D6966" s="2"/>
      <c r="E6966" s="2"/>
      <c r="F6966" s="2"/>
      <c r="G6966" s="2"/>
      <c r="H6966" s="2"/>
      <c r="I6966" s="2"/>
      <c r="J6966" s="2"/>
      <c r="K6966" s="2"/>
      <c r="L6966" s="2"/>
      <c r="M6966" s="2"/>
      <c r="N6966" s="2"/>
      <c r="O6966" s="2"/>
      <c r="P6966" s="2"/>
      <c r="Q6966" s="2"/>
      <c r="R6966" s="2"/>
      <c r="S6966" s="2"/>
      <c r="T6966" s="2"/>
      <c r="U6966" s="2"/>
      <c r="V6966" s="2"/>
      <c r="W6966" s="2"/>
    </row>
    <row r="6967" spans="1:23" x14ac:dyDescent="0.25">
      <c r="A6967" s="2"/>
      <c r="B6967" s="2"/>
      <c r="C6967" s="1"/>
      <c r="D6967" s="2"/>
      <c r="E6967" s="2"/>
      <c r="F6967" s="2"/>
      <c r="G6967" s="2"/>
      <c r="H6967" s="2"/>
      <c r="I6967" s="2"/>
      <c r="J6967" s="2"/>
      <c r="K6967" s="2"/>
      <c r="L6967" s="2"/>
      <c r="M6967" s="2"/>
      <c r="N6967" s="2"/>
      <c r="O6967" s="2"/>
      <c r="P6967" s="2"/>
      <c r="Q6967" s="2"/>
      <c r="R6967" s="2"/>
      <c r="S6967" s="2"/>
      <c r="T6967" s="2"/>
      <c r="U6967" s="2"/>
      <c r="V6967" s="2"/>
      <c r="W6967" s="2"/>
    </row>
    <row r="6968" spans="1:23" x14ac:dyDescent="0.25">
      <c r="A6968" s="2"/>
      <c r="B6968" s="2"/>
      <c r="C6968" s="1"/>
      <c r="D6968" s="2"/>
      <c r="E6968" s="2"/>
      <c r="F6968" s="2"/>
      <c r="G6968" s="2"/>
      <c r="H6968" s="2"/>
      <c r="I6968" s="2"/>
      <c r="J6968" s="2"/>
      <c r="K6968" s="2"/>
      <c r="L6968" s="2"/>
      <c r="M6968" s="2"/>
      <c r="N6968" s="2"/>
      <c r="O6968" s="2"/>
      <c r="P6968" s="2"/>
      <c r="Q6968" s="2"/>
      <c r="R6968" s="2"/>
      <c r="S6968" s="2"/>
      <c r="T6968" s="2"/>
      <c r="U6968" s="2"/>
      <c r="V6968" s="2"/>
      <c r="W6968" s="2"/>
    </row>
    <row r="6969" spans="1:23" x14ac:dyDescent="0.25">
      <c r="A6969" s="2"/>
      <c r="B6969" s="2"/>
      <c r="C6969" s="1"/>
      <c r="D6969" s="2"/>
      <c r="E6969" s="2"/>
      <c r="F6969" s="2"/>
      <c r="G6969" s="2"/>
      <c r="H6969" s="2"/>
      <c r="I6969" s="2"/>
      <c r="J6969" s="2"/>
      <c r="K6969" s="2"/>
      <c r="L6969" s="2"/>
      <c r="M6969" s="2"/>
      <c r="N6969" s="2"/>
      <c r="O6969" s="2"/>
      <c r="P6969" s="2"/>
      <c r="Q6969" s="2"/>
      <c r="R6969" s="2"/>
      <c r="S6969" s="2"/>
      <c r="T6969" s="2"/>
      <c r="U6969" s="2"/>
      <c r="V6969" s="2"/>
      <c r="W6969" s="2"/>
    </row>
    <row r="6970" spans="1:23" x14ac:dyDescent="0.25">
      <c r="A6970" s="2"/>
      <c r="B6970" s="2"/>
      <c r="C6970" s="1"/>
      <c r="D6970" s="2"/>
      <c r="E6970" s="2"/>
      <c r="F6970" s="2"/>
      <c r="G6970" s="2"/>
      <c r="H6970" s="2"/>
      <c r="I6970" s="2"/>
      <c r="J6970" s="2"/>
      <c r="K6970" s="2"/>
      <c r="L6970" s="2"/>
      <c r="M6970" s="2"/>
      <c r="N6970" s="2"/>
      <c r="O6970" s="2"/>
      <c r="P6970" s="2"/>
      <c r="Q6970" s="2"/>
      <c r="R6970" s="2"/>
      <c r="S6970" s="2"/>
      <c r="T6970" s="2"/>
      <c r="U6970" s="2"/>
      <c r="V6970" s="2"/>
      <c r="W6970" s="2"/>
    </row>
    <row r="6971" spans="1:23" x14ac:dyDescent="0.25">
      <c r="A6971" s="2"/>
      <c r="B6971" s="2"/>
      <c r="C6971" s="1"/>
      <c r="D6971" s="2"/>
      <c r="E6971" s="2"/>
      <c r="F6971" s="2"/>
      <c r="G6971" s="2"/>
      <c r="H6971" s="2"/>
      <c r="I6971" s="2"/>
      <c r="J6971" s="2"/>
      <c r="K6971" s="2"/>
      <c r="L6971" s="2"/>
      <c r="M6971" s="2"/>
      <c r="N6971" s="2"/>
      <c r="O6971" s="2"/>
      <c r="P6971" s="2"/>
      <c r="Q6971" s="2"/>
      <c r="R6971" s="2"/>
      <c r="S6971" s="2"/>
      <c r="T6971" s="2"/>
      <c r="U6971" s="2"/>
      <c r="V6971" s="2"/>
      <c r="W6971" s="2"/>
    </row>
    <row r="6972" spans="1:23" x14ac:dyDescent="0.25">
      <c r="A6972" s="2"/>
      <c r="B6972" s="2"/>
      <c r="C6972" s="1"/>
      <c r="D6972" s="2"/>
      <c r="E6972" s="2"/>
      <c r="F6972" s="2"/>
      <c r="G6972" s="2"/>
      <c r="H6972" s="2"/>
      <c r="I6972" s="2"/>
      <c r="J6972" s="2"/>
      <c r="K6972" s="2"/>
      <c r="L6972" s="2"/>
      <c r="M6972" s="2"/>
      <c r="N6972" s="2"/>
      <c r="O6972" s="2"/>
      <c r="P6972" s="2"/>
      <c r="Q6972" s="2"/>
      <c r="R6972" s="2"/>
      <c r="S6972" s="2"/>
      <c r="T6972" s="2"/>
      <c r="U6972" s="2"/>
      <c r="V6972" s="2"/>
      <c r="W6972" s="2"/>
    </row>
    <row r="6973" spans="1:23" x14ac:dyDescent="0.25">
      <c r="A6973" s="2"/>
      <c r="B6973" s="2"/>
      <c r="C6973" s="1"/>
      <c r="D6973" s="2"/>
      <c r="E6973" s="2"/>
      <c r="F6973" s="2"/>
      <c r="G6973" s="2"/>
      <c r="H6973" s="2"/>
      <c r="I6973" s="2"/>
      <c r="J6973" s="2"/>
      <c r="K6973" s="2"/>
      <c r="L6973" s="2"/>
      <c r="M6973" s="2"/>
      <c r="N6973" s="2"/>
      <c r="O6973" s="2"/>
      <c r="P6973" s="2"/>
      <c r="Q6973" s="2"/>
      <c r="R6973" s="2"/>
      <c r="S6973" s="2"/>
      <c r="T6973" s="2"/>
      <c r="U6973" s="2"/>
      <c r="V6973" s="2"/>
      <c r="W6973" s="2"/>
    </row>
    <row r="6974" spans="1:23" x14ac:dyDescent="0.25">
      <c r="A6974" s="2"/>
      <c r="B6974" s="2"/>
      <c r="C6974" s="1"/>
      <c r="D6974" s="2"/>
      <c r="E6974" s="2"/>
      <c r="F6974" s="2"/>
      <c r="G6974" s="2"/>
      <c r="H6974" s="2"/>
      <c r="I6974" s="2"/>
      <c r="J6974" s="2"/>
      <c r="K6974" s="2"/>
      <c r="L6974" s="2"/>
      <c r="M6974" s="2"/>
      <c r="N6974" s="2"/>
      <c r="O6974" s="2"/>
      <c r="P6974" s="2"/>
      <c r="Q6974" s="2"/>
      <c r="R6974" s="2"/>
      <c r="S6974" s="2"/>
      <c r="T6974" s="2"/>
      <c r="U6974" s="2"/>
      <c r="V6974" s="2"/>
      <c r="W6974" s="2"/>
    </row>
    <row r="6975" spans="1:23" x14ac:dyDescent="0.25">
      <c r="A6975" s="2"/>
      <c r="B6975" s="2"/>
      <c r="C6975" s="1"/>
      <c r="D6975" s="2"/>
      <c r="E6975" s="2"/>
      <c r="F6975" s="2"/>
      <c r="G6975" s="2"/>
      <c r="H6975" s="2"/>
      <c r="I6975" s="2"/>
      <c r="J6975" s="2"/>
      <c r="K6975" s="2"/>
      <c r="L6975" s="2"/>
      <c r="M6975" s="2"/>
      <c r="N6975" s="2"/>
      <c r="O6975" s="2"/>
      <c r="P6975" s="2"/>
      <c r="Q6975" s="2"/>
      <c r="R6975" s="2"/>
      <c r="S6975" s="2"/>
      <c r="T6975" s="2"/>
      <c r="U6975" s="2"/>
      <c r="V6975" s="2"/>
      <c r="W6975" s="2"/>
    </row>
    <row r="6976" spans="1:23" x14ac:dyDescent="0.25">
      <c r="A6976" s="2"/>
      <c r="B6976" s="2"/>
      <c r="C6976" s="1"/>
      <c r="D6976" s="2"/>
      <c r="E6976" s="2"/>
      <c r="F6976" s="2"/>
      <c r="G6976" s="2"/>
      <c r="H6976" s="2"/>
      <c r="I6976" s="2"/>
      <c r="J6976" s="2"/>
      <c r="K6976" s="2"/>
      <c r="L6976" s="2"/>
      <c r="M6976" s="2"/>
      <c r="N6976" s="2"/>
      <c r="O6976" s="2"/>
      <c r="P6976" s="2"/>
      <c r="Q6976" s="2"/>
      <c r="R6976" s="2"/>
      <c r="S6976" s="2"/>
      <c r="T6976" s="2"/>
      <c r="U6976" s="2"/>
      <c r="V6976" s="2"/>
      <c r="W6976" s="2"/>
    </row>
    <row r="6977" spans="1:23" x14ac:dyDescent="0.25">
      <c r="A6977" s="2"/>
      <c r="B6977" s="2"/>
      <c r="C6977" s="1"/>
      <c r="D6977" s="2"/>
      <c r="E6977" s="2"/>
      <c r="F6977" s="2"/>
      <c r="G6977" s="2"/>
      <c r="H6977" s="2"/>
      <c r="I6977" s="2"/>
      <c r="J6977" s="2"/>
      <c r="K6977" s="2"/>
      <c r="L6977" s="2"/>
      <c r="M6977" s="2"/>
      <c r="N6977" s="2"/>
      <c r="O6977" s="2"/>
      <c r="P6977" s="2"/>
      <c r="Q6977" s="2"/>
      <c r="R6977" s="2"/>
      <c r="S6977" s="2"/>
      <c r="T6977" s="2"/>
      <c r="U6977" s="2"/>
      <c r="V6977" s="2"/>
      <c r="W6977" s="2"/>
    </row>
    <row r="6978" spans="1:23" x14ac:dyDescent="0.25">
      <c r="A6978" s="2"/>
      <c r="B6978" s="2"/>
      <c r="C6978" s="1"/>
      <c r="D6978" s="2"/>
      <c r="E6978" s="2"/>
      <c r="F6978" s="2"/>
      <c r="G6978" s="2"/>
      <c r="H6978" s="2"/>
      <c r="I6978" s="2"/>
      <c r="J6978" s="2"/>
      <c r="K6978" s="2"/>
      <c r="L6978" s="2"/>
      <c r="M6978" s="2"/>
      <c r="N6978" s="2"/>
      <c r="O6978" s="2"/>
      <c r="P6978" s="2"/>
      <c r="Q6978" s="2"/>
      <c r="R6978" s="2"/>
      <c r="S6978" s="2"/>
      <c r="T6978" s="2"/>
      <c r="U6978" s="2"/>
      <c r="V6978" s="2"/>
      <c r="W6978" s="2"/>
    </row>
    <row r="6979" spans="1:23" x14ac:dyDescent="0.25">
      <c r="A6979" s="2"/>
      <c r="B6979" s="2"/>
      <c r="C6979" s="1"/>
      <c r="D6979" s="2"/>
      <c r="E6979" s="2"/>
      <c r="F6979" s="2"/>
      <c r="G6979" s="2"/>
      <c r="H6979" s="2"/>
      <c r="I6979" s="2"/>
      <c r="J6979" s="2"/>
      <c r="K6979" s="2"/>
      <c r="L6979" s="2"/>
      <c r="M6979" s="2"/>
      <c r="N6979" s="2"/>
      <c r="O6979" s="2"/>
      <c r="P6979" s="2"/>
      <c r="Q6979" s="2"/>
      <c r="R6979" s="2"/>
      <c r="S6979" s="2"/>
      <c r="T6979" s="2"/>
      <c r="U6979" s="2"/>
      <c r="V6979" s="2"/>
      <c r="W6979" s="2"/>
    </row>
    <row r="6980" spans="1:23" x14ac:dyDescent="0.25">
      <c r="A6980" s="2"/>
      <c r="B6980" s="2"/>
      <c r="C6980" s="1"/>
      <c r="D6980" s="2"/>
      <c r="E6980" s="2"/>
      <c r="F6980" s="2"/>
      <c r="G6980" s="2"/>
      <c r="H6980" s="2"/>
      <c r="I6980" s="2"/>
      <c r="J6980" s="2"/>
      <c r="K6980" s="2"/>
      <c r="L6980" s="2"/>
      <c r="M6980" s="2"/>
      <c r="N6980" s="2"/>
      <c r="O6980" s="2"/>
      <c r="P6980" s="2"/>
      <c r="Q6980" s="2"/>
      <c r="R6980" s="2"/>
      <c r="S6980" s="2"/>
      <c r="T6980" s="2"/>
      <c r="U6980" s="2"/>
      <c r="V6980" s="2"/>
      <c r="W6980" s="2"/>
    </row>
    <row r="6981" spans="1:23" x14ac:dyDescent="0.25">
      <c r="A6981" s="2"/>
      <c r="B6981" s="2"/>
      <c r="C6981" s="1"/>
      <c r="D6981" s="2"/>
      <c r="E6981" s="2"/>
      <c r="F6981" s="2"/>
      <c r="G6981" s="2"/>
      <c r="H6981" s="2"/>
      <c r="I6981" s="2"/>
      <c r="J6981" s="2"/>
      <c r="K6981" s="2"/>
      <c r="L6981" s="2"/>
      <c r="M6981" s="2"/>
      <c r="N6981" s="2"/>
      <c r="O6981" s="2"/>
      <c r="P6981" s="2"/>
      <c r="Q6981" s="2"/>
      <c r="R6981" s="2"/>
      <c r="S6981" s="2"/>
      <c r="T6981" s="2"/>
      <c r="U6981" s="2"/>
      <c r="V6981" s="2"/>
      <c r="W6981" s="2"/>
    </row>
    <row r="6982" spans="1:23" x14ac:dyDescent="0.25">
      <c r="A6982" s="2"/>
      <c r="B6982" s="2"/>
      <c r="C6982" s="1"/>
      <c r="D6982" s="2"/>
      <c r="E6982" s="2"/>
      <c r="F6982" s="2"/>
      <c r="G6982" s="2"/>
      <c r="H6982" s="2"/>
      <c r="I6982" s="2"/>
      <c r="J6982" s="2"/>
      <c r="K6982" s="2"/>
      <c r="L6982" s="2"/>
      <c r="M6982" s="2"/>
      <c r="N6982" s="2"/>
      <c r="O6982" s="2"/>
      <c r="P6982" s="2"/>
      <c r="Q6982" s="2"/>
      <c r="R6982" s="2"/>
      <c r="S6982" s="2"/>
      <c r="T6982" s="2"/>
      <c r="U6982" s="2"/>
      <c r="V6982" s="2"/>
      <c r="W6982" s="2"/>
    </row>
    <row r="6983" spans="1:23" x14ac:dyDescent="0.25">
      <c r="A6983" s="2"/>
      <c r="B6983" s="2"/>
      <c r="C6983" s="1"/>
      <c r="D6983" s="2"/>
      <c r="E6983" s="2"/>
      <c r="F6983" s="2"/>
      <c r="G6983" s="2"/>
      <c r="H6983" s="2"/>
      <c r="I6983" s="2"/>
      <c r="J6983" s="2"/>
      <c r="K6983" s="2"/>
      <c r="L6983" s="2"/>
      <c r="M6983" s="2"/>
      <c r="N6983" s="2"/>
      <c r="O6983" s="2"/>
      <c r="P6983" s="2"/>
      <c r="Q6983" s="2"/>
      <c r="R6983" s="2"/>
      <c r="S6983" s="2"/>
      <c r="T6983" s="2"/>
      <c r="U6983" s="2"/>
      <c r="V6983" s="2"/>
      <c r="W6983" s="2"/>
    </row>
    <row r="6984" spans="1:23" x14ac:dyDescent="0.25">
      <c r="A6984" s="2"/>
      <c r="B6984" s="2"/>
      <c r="C6984" s="1"/>
      <c r="D6984" s="2"/>
      <c r="E6984" s="2"/>
      <c r="F6984" s="2"/>
      <c r="G6984" s="2"/>
      <c r="H6984" s="2"/>
      <c r="I6984" s="2"/>
      <c r="J6984" s="2"/>
      <c r="K6984" s="2"/>
      <c r="L6984" s="2"/>
      <c r="M6984" s="2"/>
      <c r="N6984" s="2"/>
      <c r="O6984" s="2"/>
      <c r="P6984" s="2"/>
      <c r="Q6984" s="2"/>
      <c r="R6984" s="2"/>
      <c r="S6984" s="2"/>
      <c r="T6984" s="2"/>
      <c r="U6984" s="2"/>
      <c r="V6984" s="2"/>
      <c r="W6984" s="2"/>
    </row>
    <row r="6985" spans="1:23" x14ac:dyDescent="0.25">
      <c r="A6985" s="2"/>
      <c r="B6985" s="2"/>
      <c r="C6985" s="1"/>
      <c r="D6985" s="2"/>
      <c r="E6985" s="2"/>
      <c r="F6985" s="2"/>
      <c r="G6985" s="2"/>
      <c r="H6985" s="2"/>
      <c r="I6985" s="2"/>
      <c r="J6985" s="2"/>
      <c r="K6985" s="2"/>
      <c r="L6985" s="2"/>
      <c r="M6985" s="2"/>
      <c r="N6985" s="2"/>
      <c r="O6985" s="2"/>
      <c r="P6985" s="2"/>
      <c r="Q6985" s="2"/>
      <c r="R6985" s="2"/>
      <c r="S6985" s="2"/>
      <c r="T6985" s="2"/>
      <c r="U6985" s="2"/>
      <c r="V6985" s="2"/>
      <c r="W6985" s="2"/>
    </row>
    <row r="6986" spans="1:23" x14ac:dyDescent="0.25">
      <c r="A6986" s="2"/>
      <c r="B6986" s="2"/>
      <c r="C6986" s="1"/>
      <c r="D6986" s="2"/>
      <c r="E6986" s="2"/>
      <c r="F6986" s="2"/>
      <c r="G6986" s="2"/>
      <c r="H6986" s="2"/>
      <c r="I6986" s="2"/>
      <c r="J6986" s="2"/>
      <c r="K6986" s="2"/>
      <c r="L6986" s="2"/>
      <c r="M6986" s="2"/>
      <c r="N6986" s="2"/>
      <c r="O6986" s="2"/>
      <c r="P6986" s="2"/>
      <c r="Q6986" s="2"/>
      <c r="R6986" s="2"/>
      <c r="S6986" s="2"/>
      <c r="T6986" s="2"/>
      <c r="U6986" s="2"/>
      <c r="V6986" s="2"/>
      <c r="W6986" s="2"/>
    </row>
    <row r="6987" spans="1:23" x14ac:dyDescent="0.25">
      <c r="A6987" s="2"/>
      <c r="B6987" s="2"/>
      <c r="C6987" s="1"/>
      <c r="D6987" s="2"/>
      <c r="E6987" s="2"/>
      <c r="F6987" s="2"/>
      <c r="G6987" s="2"/>
      <c r="H6987" s="2"/>
      <c r="I6987" s="2"/>
      <c r="J6987" s="2"/>
      <c r="K6987" s="2"/>
      <c r="L6987" s="2"/>
      <c r="M6987" s="2"/>
      <c r="N6987" s="2"/>
      <c r="O6987" s="2"/>
      <c r="P6987" s="2"/>
      <c r="Q6987" s="2"/>
      <c r="R6987" s="2"/>
      <c r="S6987" s="2"/>
      <c r="T6987" s="2"/>
      <c r="U6987" s="2"/>
      <c r="V6987" s="2"/>
      <c r="W6987" s="2"/>
    </row>
    <row r="6988" spans="1:23" x14ac:dyDescent="0.25">
      <c r="A6988" s="2"/>
      <c r="B6988" s="2"/>
      <c r="C6988" s="1"/>
      <c r="D6988" s="2"/>
      <c r="E6988" s="2"/>
      <c r="F6988" s="2"/>
      <c r="G6988" s="2"/>
      <c r="H6988" s="2"/>
      <c r="I6988" s="2"/>
      <c r="J6988" s="2"/>
      <c r="K6988" s="2"/>
      <c r="L6988" s="2"/>
      <c r="M6988" s="2"/>
      <c r="N6988" s="2"/>
      <c r="O6988" s="2"/>
      <c r="P6988" s="2"/>
      <c r="Q6988" s="2"/>
      <c r="R6988" s="2"/>
      <c r="S6988" s="2"/>
      <c r="T6988" s="2"/>
      <c r="U6988" s="2"/>
      <c r="V6988" s="2"/>
      <c r="W6988" s="2"/>
    </row>
    <row r="6989" spans="1:23" x14ac:dyDescent="0.25">
      <c r="A6989" s="2"/>
      <c r="B6989" s="2"/>
      <c r="C6989" s="1"/>
      <c r="D6989" s="2"/>
      <c r="E6989" s="2"/>
      <c r="F6989" s="2"/>
      <c r="G6989" s="2"/>
      <c r="H6989" s="2"/>
      <c r="I6989" s="2"/>
      <c r="J6989" s="2"/>
      <c r="K6989" s="2"/>
      <c r="L6989" s="2"/>
      <c r="M6989" s="2"/>
      <c r="N6989" s="2"/>
      <c r="O6989" s="2"/>
      <c r="P6989" s="2"/>
      <c r="Q6989" s="2"/>
      <c r="R6989" s="2"/>
      <c r="S6989" s="2"/>
      <c r="T6989" s="2"/>
      <c r="U6989" s="2"/>
      <c r="V6989" s="2"/>
      <c r="W6989" s="2"/>
    </row>
    <row r="6990" spans="1:23" x14ac:dyDescent="0.25">
      <c r="A6990" s="2"/>
      <c r="B6990" s="2"/>
      <c r="C6990" s="1"/>
      <c r="D6990" s="2"/>
      <c r="E6990" s="2"/>
      <c r="F6990" s="2"/>
      <c r="G6990" s="2"/>
      <c r="H6990" s="2"/>
      <c r="I6990" s="2"/>
      <c r="J6990" s="2"/>
      <c r="K6990" s="2"/>
      <c r="L6990" s="2"/>
      <c r="M6990" s="2"/>
      <c r="N6990" s="2"/>
      <c r="O6990" s="2"/>
      <c r="P6990" s="2"/>
      <c r="Q6990" s="2"/>
      <c r="R6990" s="2"/>
      <c r="S6990" s="2"/>
      <c r="T6990" s="2"/>
      <c r="U6990" s="2"/>
      <c r="V6990" s="2"/>
      <c r="W6990" s="2"/>
    </row>
    <row r="6991" spans="1:23" x14ac:dyDescent="0.25">
      <c r="A6991" s="2"/>
      <c r="B6991" s="2"/>
      <c r="C6991" s="1"/>
      <c r="D6991" s="2"/>
      <c r="E6991" s="2"/>
      <c r="F6991" s="2"/>
      <c r="G6991" s="2"/>
      <c r="H6991" s="2"/>
      <c r="I6991" s="2"/>
      <c r="J6991" s="2"/>
      <c r="K6991" s="2"/>
      <c r="L6991" s="2"/>
      <c r="M6991" s="2"/>
      <c r="N6991" s="2"/>
      <c r="O6991" s="2"/>
      <c r="P6991" s="2"/>
      <c r="Q6991" s="2"/>
      <c r="R6991" s="2"/>
      <c r="S6991" s="2"/>
      <c r="T6991" s="2"/>
      <c r="U6991" s="2"/>
      <c r="V6991" s="2"/>
      <c r="W6991" s="2"/>
    </row>
    <row r="6992" spans="1:23" x14ac:dyDescent="0.25">
      <c r="A6992" s="2"/>
      <c r="B6992" s="2"/>
      <c r="C6992" s="1"/>
      <c r="D6992" s="2"/>
      <c r="E6992" s="2"/>
      <c r="F6992" s="2"/>
      <c r="G6992" s="2"/>
      <c r="H6992" s="2"/>
      <c r="I6992" s="2"/>
      <c r="J6992" s="2"/>
      <c r="K6992" s="2"/>
      <c r="L6992" s="2"/>
      <c r="M6992" s="2"/>
      <c r="N6992" s="2"/>
      <c r="O6992" s="2"/>
      <c r="P6992" s="2"/>
      <c r="Q6992" s="2"/>
      <c r="R6992" s="2"/>
      <c r="S6992" s="2"/>
      <c r="T6992" s="2"/>
      <c r="U6992" s="2"/>
      <c r="V6992" s="2"/>
      <c r="W6992" s="2"/>
    </row>
    <row r="6993" spans="1:23" x14ac:dyDescent="0.25">
      <c r="A6993" s="2"/>
      <c r="B6993" s="2"/>
      <c r="C6993" s="1"/>
      <c r="D6993" s="2"/>
      <c r="E6993" s="2"/>
      <c r="F6993" s="2"/>
      <c r="G6993" s="2"/>
      <c r="H6993" s="2"/>
      <c r="I6993" s="2"/>
      <c r="J6993" s="2"/>
      <c r="K6993" s="2"/>
      <c r="L6993" s="2"/>
      <c r="M6993" s="2"/>
      <c r="N6993" s="2"/>
      <c r="O6993" s="2"/>
      <c r="P6993" s="2"/>
      <c r="Q6993" s="2"/>
      <c r="R6993" s="2"/>
      <c r="S6993" s="2"/>
      <c r="T6993" s="2"/>
      <c r="U6993" s="2"/>
      <c r="V6993" s="2"/>
      <c r="W6993" s="2"/>
    </row>
    <row r="6994" spans="1:23" x14ac:dyDescent="0.25">
      <c r="A6994" s="2"/>
      <c r="B6994" s="2"/>
      <c r="C6994" s="1"/>
      <c r="D6994" s="2"/>
      <c r="E6994" s="2"/>
      <c r="F6994" s="2"/>
      <c r="G6994" s="2"/>
      <c r="H6994" s="2"/>
      <c r="I6994" s="2"/>
      <c r="J6994" s="2"/>
      <c r="K6994" s="2"/>
      <c r="L6994" s="2"/>
      <c r="M6994" s="2"/>
      <c r="N6994" s="2"/>
      <c r="O6994" s="2"/>
      <c r="P6994" s="2"/>
      <c r="Q6994" s="2"/>
      <c r="R6994" s="2"/>
      <c r="S6994" s="2"/>
      <c r="T6994" s="2"/>
      <c r="U6994" s="2"/>
      <c r="V6994" s="2"/>
      <c r="W6994" s="2"/>
    </row>
    <row r="6995" spans="1:23" x14ac:dyDescent="0.25">
      <c r="A6995" s="2"/>
      <c r="B6995" s="2"/>
      <c r="C6995" s="1"/>
      <c r="D6995" s="2"/>
      <c r="E6995" s="2"/>
      <c r="F6995" s="2"/>
      <c r="G6995" s="2"/>
      <c r="H6995" s="2"/>
      <c r="I6995" s="2"/>
      <c r="J6995" s="2"/>
      <c r="K6995" s="2"/>
      <c r="L6995" s="2"/>
      <c r="M6995" s="2"/>
      <c r="N6995" s="2"/>
      <c r="O6995" s="2"/>
      <c r="P6995" s="2"/>
      <c r="Q6995" s="2"/>
      <c r="R6995" s="2"/>
      <c r="S6995" s="2"/>
      <c r="T6995" s="2"/>
      <c r="U6995" s="2"/>
      <c r="V6995" s="2"/>
      <c r="W6995" s="2"/>
    </row>
    <row r="6996" spans="1:23" x14ac:dyDescent="0.25">
      <c r="A6996" s="2"/>
      <c r="B6996" s="2"/>
      <c r="C6996" s="1"/>
      <c r="D6996" s="2"/>
      <c r="E6996" s="2"/>
      <c r="F6996" s="2"/>
      <c r="G6996" s="2"/>
      <c r="H6996" s="2"/>
      <c r="I6996" s="2"/>
      <c r="J6996" s="2"/>
      <c r="K6996" s="2"/>
      <c r="L6996" s="2"/>
      <c r="M6996" s="2"/>
      <c r="N6996" s="2"/>
      <c r="O6996" s="2"/>
      <c r="P6996" s="2"/>
      <c r="Q6996" s="2"/>
      <c r="R6996" s="2"/>
      <c r="S6996" s="2"/>
      <c r="T6996" s="2"/>
      <c r="U6996" s="2"/>
      <c r="V6996" s="2"/>
      <c r="W6996" s="2"/>
    </row>
    <row r="6997" spans="1:23" x14ac:dyDescent="0.25">
      <c r="A6997" s="2"/>
      <c r="B6997" s="2"/>
      <c r="C6997" s="1"/>
      <c r="D6997" s="2"/>
      <c r="E6997" s="2"/>
      <c r="F6997" s="2"/>
      <c r="G6997" s="2"/>
      <c r="H6997" s="2"/>
      <c r="I6997" s="2"/>
      <c r="J6997" s="2"/>
      <c r="K6997" s="2"/>
      <c r="L6997" s="2"/>
      <c r="M6997" s="2"/>
      <c r="N6997" s="2"/>
      <c r="O6997" s="2"/>
      <c r="P6997" s="2"/>
      <c r="Q6997" s="2"/>
      <c r="R6997" s="2"/>
      <c r="S6997" s="2"/>
      <c r="T6997" s="2"/>
      <c r="U6997" s="2"/>
      <c r="V6997" s="2"/>
      <c r="W6997" s="2"/>
    </row>
    <row r="6998" spans="1:23" x14ac:dyDescent="0.25">
      <c r="A6998" s="2"/>
      <c r="B6998" s="2"/>
      <c r="C6998" s="1"/>
      <c r="D6998" s="2"/>
      <c r="E6998" s="2"/>
      <c r="F6998" s="2"/>
      <c r="G6998" s="2"/>
      <c r="H6998" s="2"/>
      <c r="I6998" s="2"/>
      <c r="J6998" s="2"/>
      <c r="K6998" s="2"/>
      <c r="L6998" s="2"/>
      <c r="M6998" s="2"/>
      <c r="N6998" s="2"/>
      <c r="O6998" s="2"/>
      <c r="P6998" s="2"/>
      <c r="Q6998" s="2"/>
      <c r="R6998" s="2"/>
      <c r="S6998" s="2"/>
      <c r="T6998" s="2"/>
      <c r="U6998" s="2"/>
      <c r="V6998" s="2"/>
      <c r="W6998" s="2"/>
    </row>
    <row r="6999" spans="1:23" x14ac:dyDescent="0.25">
      <c r="A6999" s="2"/>
      <c r="B6999" s="2"/>
      <c r="C6999" s="1"/>
      <c r="D6999" s="2"/>
      <c r="E6999" s="2"/>
      <c r="F6999" s="2"/>
      <c r="G6999" s="2"/>
      <c r="H6999" s="2"/>
      <c r="I6999" s="2"/>
      <c r="J6999" s="2"/>
      <c r="K6999" s="2"/>
      <c r="L6999" s="2"/>
      <c r="M6999" s="2"/>
      <c r="N6999" s="2"/>
      <c r="O6999" s="2"/>
      <c r="P6999" s="2"/>
      <c r="Q6999" s="2"/>
      <c r="R6999" s="2"/>
      <c r="S6999" s="2"/>
      <c r="T6999" s="2"/>
      <c r="U6999" s="2"/>
      <c r="V6999" s="2"/>
      <c r="W6999" s="2"/>
    </row>
    <row r="7000" spans="1:23" x14ac:dyDescent="0.25">
      <c r="A7000" s="2"/>
      <c r="B7000" s="2"/>
      <c r="C7000" s="1"/>
      <c r="D7000" s="2"/>
      <c r="E7000" s="2"/>
      <c r="F7000" s="2"/>
      <c r="G7000" s="2"/>
      <c r="H7000" s="2"/>
      <c r="I7000" s="2"/>
      <c r="J7000" s="2"/>
      <c r="K7000" s="2"/>
      <c r="L7000" s="2"/>
      <c r="M7000" s="2"/>
      <c r="N7000" s="2"/>
      <c r="O7000" s="2"/>
      <c r="P7000" s="2"/>
      <c r="Q7000" s="2"/>
      <c r="R7000" s="2"/>
      <c r="S7000" s="2"/>
      <c r="T7000" s="2"/>
      <c r="U7000" s="2"/>
      <c r="V7000" s="2"/>
      <c r="W7000" s="2"/>
    </row>
    <row r="7001" spans="1:23" x14ac:dyDescent="0.25">
      <c r="A7001" s="2"/>
      <c r="B7001" s="2"/>
      <c r="C7001" s="1"/>
      <c r="D7001" s="2"/>
      <c r="E7001" s="2"/>
      <c r="F7001" s="2"/>
      <c r="G7001" s="2"/>
      <c r="H7001" s="2"/>
      <c r="I7001" s="2"/>
      <c r="J7001" s="2"/>
      <c r="K7001" s="2"/>
      <c r="L7001" s="2"/>
      <c r="M7001" s="2"/>
      <c r="N7001" s="2"/>
      <c r="O7001" s="2"/>
      <c r="P7001" s="2"/>
      <c r="Q7001" s="2"/>
      <c r="R7001" s="2"/>
      <c r="S7001" s="2"/>
      <c r="T7001" s="2"/>
      <c r="U7001" s="2"/>
      <c r="V7001" s="2"/>
      <c r="W7001" s="2"/>
    </row>
    <row r="7002" spans="1:23" x14ac:dyDescent="0.25">
      <c r="A7002" s="2"/>
      <c r="B7002" s="2"/>
      <c r="C7002" s="1"/>
      <c r="D7002" s="2"/>
      <c r="E7002" s="2"/>
      <c r="F7002" s="2"/>
      <c r="G7002" s="2"/>
      <c r="H7002" s="2"/>
      <c r="I7002" s="2"/>
      <c r="J7002" s="2"/>
      <c r="K7002" s="2"/>
      <c r="L7002" s="2"/>
      <c r="M7002" s="2"/>
      <c r="N7002" s="2"/>
      <c r="O7002" s="2"/>
      <c r="P7002" s="2"/>
      <c r="Q7002" s="2"/>
      <c r="R7002" s="2"/>
      <c r="S7002" s="2"/>
      <c r="T7002" s="2"/>
      <c r="U7002" s="2"/>
      <c r="V7002" s="2"/>
      <c r="W7002" s="2"/>
    </row>
    <row r="7003" spans="1:23" x14ac:dyDescent="0.25">
      <c r="A7003" s="2"/>
      <c r="B7003" s="2"/>
      <c r="C7003" s="1"/>
      <c r="D7003" s="2"/>
      <c r="E7003" s="2"/>
      <c r="F7003" s="2"/>
      <c r="G7003" s="2"/>
      <c r="H7003" s="2"/>
      <c r="I7003" s="2"/>
      <c r="J7003" s="2"/>
      <c r="K7003" s="2"/>
      <c r="L7003" s="2"/>
      <c r="M7003" s="2"/>
      <c r="N7003" s="2"/>
      <c r="O7003" s="2"/>
      <c r="P7003" s="2"/>
      <c r="Q7003" s="2"/>
      <c r="R7003" s="2"/>
      <c r="S7003" s="2"/>
      <c r="T7003" s="2"/>
      <c r="U7003" s="2"/>
      <c r="V7003" s="2"/>
      <c r="W7003" s="2"/>
    </row>
    <row r="7004" spans="1:23" x14ac:dyDescent="0.25">
      <c r="A7004" s="2"/>
      <c r="B7004" s="2"/>
      <c r="C7004" s="1"/>
      <c r="D7004" s="2"/>
      <c r="E7004" s="2"/>
      <c r="F7004" s="2"/>
      <c r="G7004" s="2"/>
      <c r="H7004" s="2"/>
      <c r="I7004" s="2"/>
      <c r="J7004" s="2"/>
      <c r="K7004" s="2"/>
      <c r="L7004" s="2"/>
      <c r="M7004" s="2"/>
      <c r="N7004" s="2"/>
      <c r="O7004" s="2"/>
      <c r="P7004" s="2"/>
      <c r="Q7004" s="2"/>
      <c r="R7004" s="2"/>
      <c r="S7004" s="2"/>
      <c r="T7004" s="2"/>
      <c r="U7004" s="2"/>
      <c r="V7004" s="2"/>
      <c r="W7004" s="2"/>
    </row>
    <row r="7005" spans="1:23" x14ac:dyDescent="0.25">
      <c r="A7005" s="2"/>
      <c r="B7005" s="2"/>
      <c r="C7005" s="1"/>
      <c r="D7005" s="2"/>
      <c r="E7005" s="2"/>
      <c r="F7005" s="2"/>
      <c r="G7005" s="2"/>
      <c r="H7005" s="2"/>
      <c r="I7005" s="2"/>
      <c r="J7005" s="2"/>
      <c r="K7005" s="2"/>
      <c r="L7005" s="2"/>
      <c r="M7005" s="2"/>
      <c r="N7005" s="2"/>
      <c r="O7005" s="2"/>
      <c r="P7005" s="2"/>
      <c r="Q7005" s="2"/>
      <c r="R7005" s="2"/>
      <c r="S7005" s="2"/>
      <c r="T7005" s="2"/>
      <c r="U7005" s="2"/>
      <c r="V7005" s="2"/>
      <c r="W7005" s="2"/>
    </row>
    <row r="7006" spans="1:23" x14ac:dyDescent="0.25">
      <c r="A7006" s="2"/>
      <c r="B7006" s="2"/>
      <c r="C7006" s="1"/>
      <c r="D7006" s="2"/>
      <c r="E7006" s="2"/>
      <c r="F7006" s="2"/>
      <c r="G7006" s="2"/>
      <c r="H7006" s="2"/>
      <c r="I7006" s="2"/>
      <c r="J7006" s="2"/>
      <c r="K7006" s="2"/>
      <c r="L7006" s="2"/>
      <c r="M7006" s="2"/>
      <c r="N7006" s="2"/>
      <c r="O7006" s="2"/>
      <c r="P7006" s="2"/>
      <c r="Q7006" s="2"/>
      <c r="R7006" s="2"/>
      <c r="S7006" s="2"/>
      <c r="T7006" s="2"/>
      <c r="U7006" s="2"/>
      <c r="V7006" s="2"/>
      <c r="W7006" s="2"/>
    </row>
    <row r="7007" spans="1:23" x14ac:dyDescent="0.25">
      <c r="A7007" s="2"/>
      <c r="B7007" s="2"/>
      <c r="C7007" s="1"/>
      <c r="D7007" s="2"/>
      <c r="E7007" s="2"/>
      <c r="F7007" s="2"/>
      <c r="G7007" s="2"/>
      <c r="H7007" s="2"/>
      <c r="I7007" s="2"/>
      <c r="J7007" s="2"/>
      <c r="K7007" s="2"/>
      <c r="L7007" s="2"/>
      <c r="M7007" s="2"/>
      <c r="N7007" s="2"/>
      <c r="O7007" s="2"/>
      <c r="P7007" s="2"/>
      <c r="Q7007" s="2"/>
      <c r="R7007" s="2"/>
      <c r="S7007" s="2"/>
      <c r="T7007" s="2"/>
      <c r="U7007" s="2"/>
      <c r="V7007" s="2"/>
      <c r="W7007" s="2"/>
    </row>
    <row r="7008" spans="1:23" x14ac:dyDescent="0.25">
      <c r="A7008" s="2"/>
      <c r="B7008" s="2"/>
      <c r="C7008" s="1"/>
      <c r="D7008" s="2"/>
      <c r="E7008" s="2"/>
      <c r="F7008" s="2"/>
      <c r="G7008" s="2"/>
      <c r="H7008" s="2"/>
      <c r="I7008" s="2"/>
      <c r="J7008" s="2"/>
      <c r="K7008" s="2"/>
      <c r="L7008" s="2"/>
      <c r="M7008" s="2"/>
      <c r="N7008" s="2"/>
      <c r="O7008" s="2"/>
      <c r="P7008" s="2"/>
      <c r="Q7008" s="2"/>
      <c r="R7008" s="2"/>
      <c r="S7008" s="2"/>
      <c r="T7008" s="2"/>
      <c r="U7008" s="2"/>
      <c r="V7008" s="2"/>
      <c r="W7008" s="2"/>
    </row>
    <row r="7009" spans="1:23" x14ac:dyDescent="0.25">
      <c r="A7009" s="2"/>
      <c r="B7009" s="2"/>
      <c r="C7009" s="1"/>
      <c r="D7009" s="2"/>
      <c r="E7009" s="2"/>
      <c r="F7009" s="2"/>
      <c r="G7009" s="2"/>
      <c r="H7009" s="2"/>
      <c r="I7009" s="2"/>
      <c r="J7009" s="2"/>
      <c r="K7009" s="2"/>
      <c r="L7009" s="2"/>
      <c r="M7009" s="2"/>
      <c r="N7009" s="2"/>
      <c r="O7009" s="2"/>
      <c r="P7009" s="2"/>
      <c r="Q7009" s="2"/>
      <c r="R7009" s="2"/>
      <c r="S7009" s="2"/>
      <c r="T7009" s="2"/>
      <c r="U7009" s="2"/>
      <c r="V7009" s="2"/>
      <c r="W7009" s="2"/>
    </row>
    <row r="7010" spans="1:23" x14ac:dyDescent="0.25">
      <c r="A7010" s="2"/>
      <c r="B7010" s="2"/>
      <c r="C7010" s="1"/>
      <c r="D7010" s="2"/>
      <c r="E7010" s="2"/>
      <c r="F7010" s="2"/>
      <c r="G7010" s="2"/>
      <c r="H7010" s="2"/>
      <c r="I7010" s="2"/>
      <c r="J7010" s="2"/>
      <c r="K7010" s="2"/>
      <c r="L7010" s="2"/>
      <c r="M7010" s="2"/>
      <c r="N7010" s="2"/>
      <c r="O7010" s="2"/>
      <c r="P7010" s="2"/>
      <c r="Q7010" s="2"/>
      <c r="R7010" s="2"/>
      <c r="S7010" s="2"/>
      <c r="T7010" s="2"/>
      <c r="U7010" s="2"/>
      <c r="V7010" s="2"/>
      <c r="W7010" s="2"/>
    </row>
    <row r="7011" spans="1:23" x14ac:dyDescent="0.25">
      <c r="A7011" s="2"/>
      <c r="B7011" s="2"/>
      <c r="C7011" s="1"/>
      <c r="D7011" s="2"/>
      <c r="E7011" s="2"/>
      <c r="F7011" s="2"/>
      <c r="G7011" s="2"/>
      <c r="H7011" s="2"/>
      <c r="I7011" s="2"/>
      <c r="J7011" s="2"/>
      <c r="K7011" s="2"/>
      <c r="L7011" s="2"/>
      <c r="M7011" s="2"/>
      <c r="N7011" s="2"/>
      <c r="O7011" s="2"/>
      <c r="P7011" s="2"/>
      <c r="Q7011" s="2"/>
      <c r="R7011" s="2"/>
      <c r="S7011" s="2"/>
      <c r="T7011" s="2"/>
      <c r="U7011" s="2"/>
      <c r="V7011" s="2"/>
      <c r="W7011" s="2"/>
    </row>
    <row r="7012" spans="1:23" x14ac:dyDescent="0.25">
      <c r="A7012" s="2"/>
      <c r="B7012" s="2"/>
      <c r="C7012" s="1"/>
      <c r="D7012" s="2"/>
      <c r="E7012" s="2"/>
      <c r="F7012" s="2"/>
      <c r="G7012" s="2"/>
      <c r="H7012" s="2"/>
      <c r="I7012" s="2"/>
      <c r="J7012" s="2"/>
      <c r="K7012" s="2"/>
      <c r="L7012" s="2"/>
      <c r="M7012" s="2"/>
      <c r="N7012" s="2"/>
      <c r="O7012" s="2"/>
      <c r="P7012" s="2"/>
      <c r="Q7012" s="2"/>
      <c r="R7012" s="2"/>
      <c r="S7012" s="2"/>
      <c r="T7012" s="2"/>
      <c r="U7012" s="2"/>
      <c r="V7012" s="2"/>
      <c r="W7012" s="2"/>
    </row>
    <row r="7013" spans="1:23" x14ac:dyDescent="0.25">
      <c r="A7013" s="2"/>
      <c r="B7013" s="2"/>
      <c r="C7013" s="1"/>
      <c r="D7013" s="2"/>
      <c r="E7013" s="2"/>
      <c r="F7013" s="2"/>
      <c r="G7013" s="2"/>
      <c r="H7013" s="2"/>
      <c r="I7013" s="2"/>
      <c r="J7013" s="2"/>
      <c r="K7013" s="2"/>
      <c r="L7013" s="2"/>
      <c r="M7013" s="2"/>
      <c r="N7013" s="2"/>
      <c r="O7013" s="2"/>
      <c r="P7013" s="2"/>
      <c r="Q7013" s="2"/>
      <c r="R7013" s="2"/>
      <c r="S7013" s="2"/>
      <c r="T7013" s="2"/>
      <c r="U7013" s="2"/>
      <c r="V7013" s="2"/>
      <c r="W7013" s="2"/>
    </row>
    <row r="7014" spans="1:23" x14ac:dyDescent="0.25">
      <c r="A7014" s="2"/>
      <c r="B7014" s="2"/>
      <c r="C7014" s="1"/>
      <c r="D7014" s="2"/>
      <c r="E7014" s="2"/>
      <c r="F7014" s="2"/>
      <c r="G7014" s="2"/>
      <c r="H7014" s="2"/>
      <c r="I7014" s="2"/>
      <c r="J7014" s="2"/>
      <c r="K7014" s="2"/>
      <c r="L7014" s="2"/>
      <c r="M7014" s="2"/>
      <c r="N7014" s="2"/>
      <c r="O7014" s="2"/>
      <c r="P7014" s="2"/>
      <c r="Q7014" s="2"/>
      <c r="R7014" s="2"/>
      <c r="S7014" s="2"/>
      <c r="T7014" s="2"/>
      <c r="U7014" s="2"/>
      <c r="V7014" s="2"/>
      <c r="W7014" s="2"/>
    </row>
    <row r="7015" spans="1:23" x14ac:dyDescent="0.25">
      <c r="A7015" s="2"/>
      <c r="B7015" s="2"/>
      <c r="C7015" s="1"/>
      <c r="D7015" s="2"/>
      <c r="E7015" s="2"/>
      <c r="F7015" s="2"/>
      <c r="G7015" s="2"/>
      <c r="H7015" s="2"/>
      <c r="I7015" s="2"/>
      <c r="J7015" s="2"/>
      <c r="K7015" s="2"/>
      <c r="L7015" s="2"/>
      <c r="M7015" s="2"/>
      <c r="N7015" s="2"/>
      <c r="O7015" s="2"/>
      <c r="P7015" s="2"/>
      <c r="Q7015" s="2"/>
      <c r="R7015" s="2"/>
      <c r="S7015" s="2"/>
      <c r="T7015" s="2"/>
      <c r="U7015" s="2"/>
      <c r="V7015" s="2"/>
      <c r="W7015" s="2"/>
    </row>
    <row r="7016" spans="1:23" x14ac:dyDescent="0.25">
      <c r="A7016" s="2"/>
      <c r="B7016" s="2"/>
      <c r="C7016" s="1"/>
      <c r="D7016" s="2"/>
      <c r="E7016" s="2"/>
      <c r="F7016" s="2"/>
      <c r="G7016" s="2"/>
      <c r="H7016" s="2"/>
      <c r="I7016" s="2"/>
      <c r="J7016" s="2"/>
      <c r="K7016" s="2"/>
      <c r="L7016" s="2"/>
      <c r="M7016" s="2"/>
      <c r="N7016" s="2"/>
      <c r="O7016" s="2"/>
      <c r="P7016" s="2"/>
      <c r="Q7016" s="2"/>
      <c r="R7016" s="2"/>
      <c r="S7016" s="2"/>
      <c r="T7016" s="2"/>
      <c r="U7016" s="2"/>
      <c r="V7016" s="2"/>
      <c r="W7016" s="2"/>
    </row>
    <row r="7017" spans="1:23" x14ac:dyDescent="0.25">
      <c r="A7017" s="2"/>
      <c r="B7017" s="2"/>
      <c r="C7017" s="1"/>
      <c r="D7017" s="2"/>
      <c r="E7017" s="2"/>
      <c r="F7017" s="2"/>
      <c r="G7017" s="2"/>
      <c r="H7017" s="2"/>
      <c r="I7017" s="2"/>
      <c r="J7017" s="2"/>
      <c r="K7017" s="2"/>
      <c r="L7017" s="2"/>
      <c r="M7017" s="2"/>
      <c r="N7017" s="2"/>
      <c r="O7017" s="2"/>
      <c r="P7017" s="2"/>
      <c r="Q7017" s="2"/>
      <c r="R7017" s="2"/>
      <c r="S7017" s="2"/>
      <c r="T7017" s="2"/>
      <c r="U7017" s="2"/>
      <c r="V7017" s="2"/>
      <c r="W7017" s="2"/>
    </row>
    <row r="7018" spans="1:23" x14ac:dyDescent="0.25">
      <c r="A7018" s="2"/>
      <c r="B7018" s="2"/>
      <c r="C7018" s="1"/>
      <c r="D7018" s="2"/>
      <c r="E7018" s="2"/>
      <c r="F7018" s="2"/>
      <c r="G7018" s="2"/>
      <c r="H7018" s="2"/>
      <c r="I7018" s="2"/>
      <c r="J7018" s="2"/>
      <c r="K7018" s="2"/>
      <c r="L7018" s="2"/>
      <c r="M7018" s="2"/>
      <c r="N7018" s="2"/>
      <c r="O7018" s="2"/>
      <c r="P7018" s="2"/>
      <c r="Q7018" s="2"/>
      <c r="R7018" s="2"/>
      <c r="S7018" s="2"/>
      <c r="T7018" s="2"/>
      <c r="U7018" s="2"/>
      <c r="V7018" s="2"/>
      <c r="W7018" s="2"/>
    </row>
    <row r="7019" spans="1:23" x14ac:dyDescent="0.25">
      <c r="A7019" s="2"/>
      <c r="B7019" s="2"/>
      <c r="C7019" s="1"/>
      <c r="D7019" s="2"/>
      <c r="E7019" s="2"/>
      <c r="F7019" s="2"/>
      <c r="G7019" s="2"/>
      <c r="H7019" s="2"/>
      <c r="I7019" s="2"/>
      <c r="J7019" s="2"/>
      <c r="K7019" s="2"/>
      <c r="L7019" s="2"/>
      <c r="M7019" s="2"/>
      <c r="N7019" s="2"/>
      <c r="O7019" s="2"/>
      <c r="P7019" s="2"/>
      <c r="Q7019" s="2"/>
      <c r="R7019" s="2"/>
      <c r="S7019" s="2"/>
      <c r="T7019" s="2"/>
      <c r="U7019" s="2"/>
      <c r="V7019" s="2"/>
      <c r="W7019" s="2"/>
    </row>
    <row r="7020" spans="1:23" x14ac:dyDescent="0.25">
      <c r="A7020" s="2"/>
      <c r="B7020" s="2"/>
      <c r="C7020" s="1"/>
      <c r="D7020" s="2"/>
      <c r="E7020" s="2"/>
      <c r="F7020" s="2"/>
      <c r="G7020" s="2"/>
      <c r="H7020" s="2"/>
      <c r="I7020" s="2"/>
      <c r="J7020" s="2"/>
      <c r="K7020" s="2"/>
      <c r="L7020" s="2"/>
      <c r="M7020" s="2"/>
      <c r="N7020" s="2"/>
      <c r="O7020" s="2"/>
      <c r="P7020" s="2"/>
      <c r="Q7020" s="2"/>
      <c r="R7020" s="2"/>
      <c r="S7020" s="2"/>
      <c r="T7020" s="2"/>
      <c r="U7020" s="2"/>
      <c r="V7020" s="2"/>
      <c r="W7020" s="2"/>
    </row>
    <row r="7021" spans="1:23" x14ac:dyDescent="0.25">
      <c r="A7021" s="2"/>
      <c r="B7021" s="2"/>
      <c r="C7021" s="1"/>
      <c r="D7021" s="2"/>
      <c r="E7021" s="2"/>
      <c r="F7021" s="2"/>
      <c r="G7021" s="2"/>
      <c r="H7021" s="2"/>
      <c r="I7021" s="2"/>
      <c r="J7021" s="2"/>
      <c r="K7021" s="2"/>
      <c r="L7021" s="2"/>
      <c r="M7021" s="2"/>
      <c r="N7021" s="2"/>
      <c r="O7021" s="2"/>
      <c r="P7021" s="2"/>
      <c r="Q7021" s="2"/>
      <c r="R7021" s="2"/>
      <c r="S7021" s="2"/>
      <c r="T7021" s="2"/>
      <c r="U7021" s="2"/>
      <c r="V7021" s="2"/>
      <c r="W7021" s="2"/>
    </row>
    <row r="7022" spans="1:23" x14ac:dyDescent="0.25">
      <c r="A7022" s="2"/>
      <c r="B7022" s="2"/>
      <c r="C7022" s="1"/>
      <c r="D7022" s="2"/>
      <c r="E7022" s="2"/>
      <c r="F7022" s="2"/>
      <c r="G7022" s="2"/>
      <c r="H7022" s="2"/>
      <c r="I7022" s="2"/>
      <c r="J7022" s="2"/>
      <c r="K7022" s="2"/>
      <c r="L7022" s="2"/>
      <c r="M7022" s="2"/>
      <c r="N7022" s="2"/>
      <c r="O7022" s="2"/>
      <c r="P7022" s="2"/>
      <c r="Q7022" s="2"/>
      <c r="R7022" s="2"/>
      <c r="S7022" s="2"/>
      <c r="T7022" s="2"/>
      <c r="U7022" s="2"/>
      <c r="V7022" s="2"/>
      <c r="W7022" s="2"/>
    </row>
    <row r="7023" spans="1:23" x14ac:dyDescent="0.25">
      <c r="A7023" s="2"/>
      <c r="B7023" s="2"/>
      <c r="C7023" s="1"/>
      <c r="D7023" s="2"/>
      <c r="E7023" s="2"/>
      <c r="F7023" s="2"/>
      <c r="G7023" s="2"/>
      <c r="H7023" s="2"/>
      <c r="I7023" s="2"/>
      <c r="J7023" s="2"/>
      <c r="K7023" s="2"/>
      <c r="L7023" s="2"/>
      <c r="M7023" s="2"/>
      <c r="N7023" s="2"/>
      <c r="O7023" s="2"/>
      <c r="P7023" s="2"/>
      <c r="Q7023" s="2"/>
      <c r="R7023" s="2"/>
      <c r="S7023" s="2"/>
      <c r="T7023" s="2"/>
      <c r="U7023" s="2"/>
      <c r="V7023" s="2"/>
      <c r="W7023" s="2"/>
    </row>
    <row r="7024" spans="1:23" x14ac:dyDescent="0.25">
      <c r="A7024" s="2"/>
      <c r="B7024" s="2"/>
      <c r="C7024" s="1"/>
      <c r="D7024" s="2"/>
      <c r="E7024" s="2"/>
      <c r="F7024" s="2"/>
      <c r="G7024" s="2"/>
      <c r="H7024" s="2"/>
      <c r="I7024" s="2"/>
      <c r="J7024" s="2"/>
      <c r="K7024" s="2"/>
      <c r="L7024" s="2"/>
      <c r="M7024" s="2"/>
      <c r="N7024" s="2"/>
      <c r="O7024" s="2"/>
      <c r="P7024" s="2"/>
      <c r="Q7024" s="2"/>
      <c r="R7024" s="2"/>
      <c r="S7024" s="2"/>
      <c r="T7024" s="2"/>
      <c r="U7024" s="2"/>
      <c r="V7024" s="2"/>
      <c r="W7024" s="2"/>
    </row>
    <row r="7025" spans="1:23" x14ac:dyDescent="0.25">
      <c r="A7025" s="2"/>
      <c r="B7025" s="2"/>
      <c r="C7025" s="1"/>
      <c r="D7025" s="2"/>
      <c r="E7025" s="2"/>
      <c r="F7025" s="2"/>
      <c r="G7025" s="2"/>
      <c r="H7025" s="2"/>
      <c r="I7025" s="2"/>
      <c r="J7025" s="2"/>
      <c r="K7025" s="2"/>
      <c r="L7025" s="2"/>
      <c r="M7025" s="2"/>
      <c r="N7025" s="2"/>
      <c r="O7025" s="2"/>
      <c r="P7025" s="2"/>
      <c r="Q7025" s="2"/>
      <c r="R7025" s="2"/>
      <c r="S7025" s="2"/>
      <c r="T7025" s="2"/>
      <c r="U7025" s="2"/>
      <c r="V7025" s="2"/>
      <c r="W7025" s="2"/>
    </row>
    <row r="7026" spans="1:23" x14ac:dyDescent="0.25">
      <c r="A7026" s="2"/>
      <c r="B7026" s="2"/>
      <c r="C7026" s="1"/>
      <c r="D7026" s="2"/>
      <c r="E7026" s="2"/>
      <c r="F7026" s="2"/>
      <c r="G7026" s="2"/>
      <c r="H7026" s="2"/>
      <c r="I7026" s="2"/>
      <c r="J7026" s="2"/>
      <c r="K7026" s="2"/>
      <c r="L7026" s="2"/>
      <c r="M7026" s="2"/>
      <c r="N7026" s="2"/>
      <c r="O7026" s="2"/>
      <c r="P7026" s="2"/>
      <c r="Q7026" s="2"/>
      <c r="R7026" s="2"/>
      <c r="S7026" s="2"/>
      <c r="T7026" s="2"/>
      <c r="U7026" s="2"/>
      <c r="V7026" s="2"/>
      <c r="W7026" s="2"/>
    </row>
    <row r="7027" spans="1:23" x14ac:dyDescent="0.25">
      <c r="A7027" s="2"/>
      <c r="B7027" s="2"/>
      <c r="C7027" s="1"/>
      <c r="D7027" s="2"/>
      <c r="E7027" s="2"/>
      <c r="F7027" s="2"/>
      <c r="G7027" s="2"/>
      <c r="H7027" s="2"/>
      <c r="I7027" s="2"/>
      <c r="J7027" s="2"/>
      <c r="K7027" s="2"/>
      <c r="L7027" s="2"/>
      <c r="M7027" s="2"/>
      <c r="N7027" s="2"/>
      <c r="O7027" s="2"/>
      <c r="P7027" s="2"/>
      <c r="Q7027" s="2"/>
      <c r="R7027" s="2"/>
      <c r="S7027" s="2"/>
      <c r="T7027" s="2"/>
      <c r="U7027" s="2"/>
      <c r="V7027" s="2"/>
      <c r="W7027" s="2"/>
    </row>
    <row r="7028" spans="1:23" x14ac:dyDescent="0.25">
      <c r="A7028" s="2"/>
      <c r="B7028" s="2"/>
      <c r="C7028" s="1"/>
      <c r="D7028" s="2"/>
      <c r="E7028" s="2"/>
      <c r="F7028" s="2"/>
      <c r="G7028" s="2"/>
      <c r="H7028" s="2"/>
      <c r="I7028" s="2"/>
      <c r="J7028" s="2"/>
      <c r="K7028" s="2"/>
      <c r="L7028" s="2"/>
      <c r="M7028" s="2"/>
      <c r="N7028" s="2"/>
      <c r="O7028" s="2"/>
      <c r="P7028" s="2"/>
      <c r="Q7028" s="2"/>
      <c r="R7028" s="2"/>
      <c r="S7028" s="2"/>
      <c r="T7028" s="2"/>
      <c r="U7028" s="2"/>
      <c r="V7028" s="2"/>
      <c r="W7028" s="2"/>
    </row>
    <row r="7029" spans="1:23" x14ac:dyDescent="0.25">
      <c r="A7029" s="2"/>
      <c r="B7029" s="2"/>
      <c r="C7029" s="1"/>
      <c r="D7029" s="2"/>
      <c r="E7029" s="2"/>
      <c r="F7029" s="2"/>
      <c r="G7029" s="2"/>
      <c r="H7029" s="2"/>
      <c r="I7029" s="2"/>
      <c r="J7029" s="2"/>
      <c r="K7029" s="2"/>
      <c r="L7029" s="2"/>
      <c r="M7029" s="2"/>
      <c r="N7029" s="2"/>
      <c r="O7029" s="2"/>
      <c r="P7029" s="2"/>
      <c r="Q7029" s="2"/>
      <c r="R7029" s="2"/>
      <c r="S7029" s="2"/>
      <c r="T7029" s="2"/>
      <c r="U7029" s="2"/>
      <c r="V7029" s="2"/>
      <c r="W7029" s="2"/>
    </row>
    <row r="7030" spans="1:23" x14ac:dyDescent="0.25">
      <c r="A7030" s="2"/>
      <c r="B7030" s="2"/>
      <c r="C7030" s="1"/>
      <c r="D7030" s="2"/>
      <c r="E7030" s="2"/>
      <c r="F7030" s="2"/>
      <c r="G7030" s="2"/>
      <c r="H7030" s="2"/>
      <c r="I7030" s="2"/>
      <c r="J7030" s="2"/>
      <c r="K7030" s="2"/>
      <c r="L7030" s="2"/>
      <c r="M7030" s="2"/>
      <c r="N7030" s="2"/>
      <c r="O7030" s="2"/>
      <c r="P7030" s="2"/>
      <c r="Q7030" s="2"/>
      <c r="R7030" s="2"/>
      <c r="S7030" s="2"/>
      <c r="T7030" s="2"/>
      <c r="U7030" s="2"/>
      <c r="V7030" s="2"/>
      <c r="W7030" s="2"/>
    </row>
    <row r="7031" spans="1:23" x14ac:dyDescent="0.25">
      <c r="A7031" s="2"/>
      <c r="B7031" s="2"/>
      <c r="C7031" s="1"/>
      <c r="D7031" s="2"/>
      <c r="E7031" s="2"/>
      <c r="F7031" s="2"/>
      <c r="G7031" s="2"/>
      <c r="H7031" s="2"/>
      <c r="I7031" s="2"/>
      <c r="J7031" s="2"/>
      <c r="K7031" s="2"/>
      <c r="L7031" s="2"/>
      <c r="M7031" s="2"/>
      <c r="N7031" s="2"/>
      <c r="O7031" s="2"/>
      <c r="P7031" s="2"/>
      <c r="Q7031" s="2"/>
      <c r="R7031" s="2"/>
      <c r="S7031" s="2"/>
      <c r="T7031" s="2"/>
      <c r="U7031" s="2"/>
      <c r="V7031" s="2"/>
      <c r="W7031" s="2"/>
    </row>
    <row r="7032" spans="1:23" x14ac:dyDescent="0.25">
      <c r="A7032" s="2"/>
      <c r="B7032" s="2"/>
      <c r="C7032" s="1"/>
      <c r="D7032" s="2"/>
      <c r="E7032" s="2"/>
      <c r="F7032" s="2"/>
      <c r="G7032" s="2"/>
      <c r="H7032" s="2"/>
      <c r="I7032" s="2"/>
      <c r="J7032" s="2"/>
      <c r="K7032" s="2"/>
      <c r="L7032" s="2"/>
      <c r="M7032" s="2"/>
      <c r="N7032" s="2"/>
      <c r="O7032" s="2"/>
      <c r="P7032" s="2"/>
      <c r="Q7032" s="2"/>
      <c r="R7032" s="2"/>
      <c r="S7032" s="2"/>
      <c r="T7032" s="2"/>
      <c r="U7032" s="2"/>
      <c r="V7032" s="2"/>
      <c r="W7032" s="2"/>
    </row>
    <row r="7033" spans="1:23" x14ac:dyDescent="0.25">
      <c r="A7033" s="2"/>
      <c r="B7033" s="2"/>
      <c r="C7033" s="1"/>
      <c r="D7033" s="2"/>
      <c r="E7033" s="2"/>
      <c r="F7033" s="2"/>
      <c r="G7033" s="2"/>
      <c r="H7033" s="2"/>
      <c r="I7033" s="2"/>
      <c r="J7033" s="2"/>
      <c r="K7033" s="2"/>
      <c r="L7033" s="2"/>
      <c r="M7033" s="2"/>
      <c r="N7033" s="2"/>
      <c r="O7033" s="2"/>
      <c r="P7033" s="2"/>
      <c r="Q7033" s="2"/>
      <c r="R7033" s="2"/>
      <c r="S7033" s="2"/>
      <c r="T7033" s="2"/>
      <c r="U7033" s="2"/>
      <c r="V7033" s="2"/>
      <c r="W7033" s="2"/>
    </row>
    <row r="7034" spans="1:23" x14ac:dyDescent="0.25">
      <c r="A7034" s="2"/>
      <c r="B7034" s="2"/>
      <c r="C7034" s="1"/>
      <c r="D7034" s="2"/>
      <c r="E7034" s="2"/>
      <c r="F7034" s="2"/>
      <c r="G7034" s="2"/>
      <c r="H7034" s="2"/>
      <c r="I7034" s="2"/>
      <c r="J7034" s="2"/>
      <c r="K7034" s="2"/>
      <c r="L7034" s="2"/>
      <c r="M7034" s="2"/>
      <c r="N7034" s="2"/>
      <c r="O7034" s="2"/>
      <c r="P7034" s="2"/>
      <c r="Q7034" s="2"/>
      <c r="R7034" s="2"/>
      <c r="S7034" s="2"/>
      <c r="T7034" s="2"/>
      <c r="U7034" s="2"/>
      <c r="V7034" s="2"/>
      <c r="W7034" s="2"/>
    </row>
    <row r="7035" spans="1:23" x14ac:dyDescent="0.25">
      <c r="A7035" s="2"/>
      <c r="B7035" s="2"/>
      <c r="C7035" s="1"/>
      <c r="D7035" s="2"/>
      <c r="E7035" s="2"/>
      <c r="F7035" s="2"/>
      <c r="G7035" s="2"/>
      <c r="H7035" s="2"/>
      <c r="I7035" s="2"/>
      <c r="J7035" s="2"/>
      <c r="K7035" s="2"/>
      <c r="L7035" s="2"/>
      <c r="M7035" s="2"/>
      <c r="N7035" s="2"/>
      <c r="O7035" s="2"/>
      <c r="P7035" s="2"/>
      <c r="Q7035" s="2"/>
      <c r="R7035" s="2"/>
      <c r="S7035" s="2"/>
      <c r="T7035" s="2"/>
      <c r="U7035" s="2"/>
      <c r="V7035" s="2"/>
      <c r="W7035" s="2"/>
    </row>
    <row r="7036" spans="1:23" x14ac:dyDescent="0.25">
      <c r="A7036" s="2"/>
      <c r="B7036" s="2"/>
      <c r="C7036" s="1"/>
      <c r="D7036" s="2"/>
      <c r="E7036" s="2"/>
      <c r="F7036" s="2"/>
      <c r="G7036" s="2"/>
      <c r="H7036" s="2"/>
      <c r="I7036" s="2"/>
      <c r="J7036" s="2"/>
      <c r="K7036" s="2"/>
      <c r="L7036" s="2"/>
      <c r="M7036" s="2"/>
      <c r="N7036" s="2"/>
      <c r="O7036" s="2"/>
      <c r="P7036" s="2"/>
      <c r="Q7036" s="2"/>
      <c r="R7036" s="2"/>
      <c r="S7036" s="2"/>
      <c r="T7036" s="2"/>
      <c r="U7036" s="2"/>
      <c r="V7036" s="2"/>
      <c r="W7036" s="2"/>
    </row>
    <row r="7037" spans="1:23" x14ac:dyDescent="0.25">
      <c r="A7037" s="2"/>
      <c r="B7037" s="2"/>
      <c r="C7037" s="1"/>
      <c r="D7037" s="2"/>
      <c r="E7037" s="2"/>
      <c r="F7037" s="2"/>
      <c r="G7037" s="2"/>
      <c r="H7037" s="2"/>
      <c r="I7037" s="2"/>
      <c r="J7037" s="2"/>
      <c r="K7037" s="2"/>
      <c r="L7037" s="2"/>
      <c r="M7037" s="2"/>
      <c r="N7037" s="2"/>
      <c r="O7037" s="2"/>
      <c r="P7037" s="2"/>
      <c r="Q7037" s="2"/>
      <c r="R7037" s="2"/>
      <c r="S7037" s="2"/>
      <c r="T7037" s="2"/>
      <c r="U7037" s="2"/>
      <c r="V7037" s="2"/>
      <c r="W7037" s="2"/>
    </row>
    <row r="7038" spans="1:23" x14ac:dyDescent="0.25">
      <c r="A7038" s="2"/>
      <c r="B7038" s="2"/>
      <c r="C7038" s="1"/>
      <c r="D7038" s="2"/>
      <c r="E7038" s="2"/>
      <c r="F7038" s="2"/>
      <c r="G7038" s="2"/>
      <c r="H7038" s="2"/>
      <c r="I7038" s="2"/>
      <c r="J7038" s="2"/>
      <c r="K7038" s="2"/>
      <c r="L7038" s="2"/>
      <c r="M7038" s="2"/>
      <c r="N7038" s="2"/>
      <c r="O7038" s="2"/>
      <c r="P7038" s="2"/>
      <c r="Q7038" s="2"/>
      <c r="R7038" s="2"/>
      <c r="S7038" s="2"/>
      <c r="T7038" s="2"/>
      <c r="U7038" s="2"/>
      <c r="V7038" s="2"/>
      <c r="W7038" s="2"/>
    </row>
    <row r="7039" spans="1:23" x14ac:dyDescent="0.25">
      <c r="A7039" s="2"/>
      <c r="B7039" s="2"/>
      <c r="C7039" s="1"/>
      <c r="D7039" s="2"/>
      <c r="E7039" s="2"/>
      <c r="F7039" s="2"/>
      <c r="G7039" s="2"/>
      <c r="H7039" s="2"/>
      <c r="I7039" s="2"/>
      <c r="J7039" s="2"/>
      <c r="K7039" s="2"/>
      <c r="L7039" s="2"/>
      <c r="M7039" s="2"/>
      <c r="N7039" s="2"/>
      <c r="O7039" s="2"/>
      <c r="P7039" s="2"/>
      <c r="Q7039" s="2"/>
      <c r="R7039" s="2"/>
      <c r="S7039" s="2"/>
      <c r="T7039" s="2"/>
      <c r="U7039" s="2"/>
      <c r="V7039" s="2"/>
      <c r="W7039" s="2"/>
    </row>
    <row r="7040" spans="1:23" x14ac:dyDescent="0.25">
      <c r="A7040" s="2"/>
      <c r="B7040" s="2"/>
      <c r="C7040" s="1"/>
      <c r="D7040" s="2"/>
      <c r="E7040" s="2"/>
      <c r="F7040" s="2"/>
      <c r="G7040" s="2"/>
      <c r="H7040" s="2"/>
      <c r="I7040" s="2"/>
      <c r="J7040" s="2"/>
      <c r="K7040" s="2"/>
      <c r="L7040" s="2"/>
      <c r="M7040" s="2"/>
      <c r="N7040" s="2"/>
      <c r="O7040" s="2"/>
      <c r="P7040" s="2"/>
      <c r="Q7040" s="2"/>
      <c r="R7040" s="2"/>
      <c r="S7040" s="2"/>
      <c r="T7040" s="2"/>
      <c r="U7040" s="2"/>
      <c r="V7040" s="2"/>
      <c r="W7040" s="2"/>
    </row>
    <row r="7041" spans="1:23" x14ac:dyDescent="0.25">
      <c r="A7041" s="2"/>
      <c r="B7041" s="2"/>
      <c r="C7041" s="1"/>
      <c r="D7041" s="2"/>
      <c r="E7041" s="2"/>
      <c r="F7041" s="2"/>
      <c r="G7041" s="2"/>
      <c r="H7041" s="2"/>
      <c r="I7041" s="2"/>
      <c r="J7041" s="2"/>
      <c r="K7041" s="2"/>
      <c r="L7041" s="2"/>
      <c r="M7041" s="2"/>
      <c r="N7041" s="2"/>
      <c r="O7041" s="2"/>
      <c r="P7041" s="2"/>
      <c r="Q7041" s="2"/>
      <c r="R7041" s="2"/>
      <c r="S7041" s="2"/>
      <c r="T7041" s="2"/>
      <c r="U7041" s="2"/>
      <c r="V7041" s="2"/>
      <c r="W7041" s="2"/>
    </row>
    <row r="7042" spans="1:23" x14ac:dyDescent="0.25">
      <c r="A7042" s="2"/>
      <c r="B7042" s="2"/>
      <c r="C7042" s="1"/>
      <c r="D7042" s="2"/>
      <c r="E7042" s="2"/>
      <c r="F7042" s="2"/>
      <c r="G7042" s="2"/>
      <c r="H7042" s="2"/>
      <c r="I7042" s="2"/>
      <c r="J7042" s="2"/>
      <c r="K7042" s="2"/>
      <c r="L7042" s="2"/>
      <c r="M7042" s="2"/>
      <c r="N7042" s="2"/>
      <c r="O7042" s="2"/>
      <c r="P7042" s="2"/>
      <c r="Q7042" s="2"/>
      <c r="R7042" s="2"/>
      <c r="S7042" s="2"/>
      <c r="T7042" s="2"/>
      <c r="U7042" s="2"/>
      <c r="V7042" s="2"/>
      <c r="W7042" s="2"/>
    </row>
    <row r="7043" spans="1:23" x14ac:dyDescent="0.25">
      <c r="A7043" s="2"/>
      <c r="B7043" s="2"/>
      <c r="C7043" s="1"/>
      <c r="D7043" s="2"/>
      <c r="E7043" s="2"/>
      <c r="F7043" s="2"/>
      <c r="G7043" s="2"/>
      <c r="H7043" s="2"/>
      <c r="I7043" s="2"/>
      <c r="J7043" s="2"/>
      <c r="K7043" s="2"/>
      <c r="L7043" s="2"/>
      <c r="M7043" s="2"/>
      <c r="N7043" s="2"/>
      <c r="O7043" s="2"/>
      <c r="P7043" s="2"/>
      <c r="Q7043" s="2"/>
      <c r="R7043" s="2"/>
      <c r="S7043" s="2"/>
      <c r="T7043" s="2"/>
      <c r="U7043" s="2"/>
      <c r="V7043" s="2"/>
      <c r="W7043" s="2"/>
    </row>
    <row r="7044" spans="1:23" x14ac:dyDescent="0.25">
      <c r="A7044" s="2"/>
      <c r="B7044" s="2"/>
      <c r="C7044" s="1"/>
      <c r="D7044" s="2"/>
      <c r="E7044" s="2"/>
      <c r="F7044" s="2"/>
      <c r="G7044" s="2"/>
      <c r="H7044" s="2"/>
      <c r="I7044" s="2"/>
      <c r="J7044" s="2"/>
      <c r="K7044" s="2"/>
      <c r="L7044" s="2"/>
      <c r="M7044" s="2"/>
      <c r="N7044" s="2"/>
      <c r="O7044" s="2"/>
      <c r="P7044" s="2"/>
      <c r="Q7044" s="2"/>
      <c r="R7044" s="2"/>
      <c r="S7044" s="2"/>
      <c r="T7044" s="2"/>
      <c r="U7044" s="2"/>
      <c r="V7044" s="2"/>
      <c r="W7044" s="2"/>
    </row>
    <row r="7045" spans="1:23" x14ac:dyDescent="0.25">
      <c r="A7045" s="2"/>
      <c r="B7045" s="2"/>
      <c r="C7045" s="1"/>
      <c r="D7045" s="2"/>
      <c r="E7045" s="2"/>
      <c r="F7045" s="2"/>
      <c r="G7045" s="2"/>
      <c r="H7045" s="2"/>
      <c r="I7045" s="2"/>
      <c r="J7045" s="2"/>
      <c r="K7045" s="2"/>
      <c r="L7045" s="2"/>
      <c r="M7045" s="2"/>
      <c r="N7045" s="2"/>
      <c r="O7045" s="2"/>
      <c r="P7045" s="2"/>
      <c r="Q7045" s="2"/>
      <c r="R7045" s="2"/>
      <c r="S7045" s="2"/>
      <c r="T7045" s="2"/>
      <c r="U7045" s="2"/>
      <c r="V7045" s="2"/>
      <c r="W7045" s="2"/>
    </row>
    <row r="7046" spans="1:23" x14ac:dyDescent="0.25">
      <c r="A7046" s="2"/>
      <c r="B7046" s="2"/>
      <c r="C7046" s="1"/>
      <c r="D7046" s="2"/>
      <c r="E7046" s="2"/>
      <c r="F7046" s="2"/>
      <c r="G7046" s="2"/>
      <c r="H7046" s="2"/>
      <c r="I7046" s="2"/>
      <c r="J7046" s="2"/>
      <c r="K7046" s="2"/>
      <c r="L7046" s="2"/>
      <c r="M7046" s="2"/>
      <c r="N7046" s="2"/>
      <c r="O7046" s="2"/>
      <c r="P7046" s="2"/>
      <c r="Q7046" s="2"/>
      <c r="R7046" s="2"/>
      <c r="S7046" s="2"/>
      <c r="T7046" s="2"/>
      <c r="U7046" s="2"/>
      <c r="V7046" s="2"/>
      <c r="W7046" s="2"/>
    </row>
    <row r="7047" spans="1:23" x14ac:dyDescent="0.25">
      <c r="A7047" s="2"/>
      <c r="B7047" s="2"/>
      <c r="C7047" s="1"/>
      <c r="D7047" s="2"/>
      <c r="E7047" s="2"/>
      <c r="F7047" s="2"/>
      <c r="G7047" s="2"/>
      <c r="H7047" s="2"/>
      <c r="I7047" s="2"/>
      <c r="J7047" s="2"/>
      <c r="K7047" s="2"/>
      <c r="L7047" s="2"/>
      <c r="M7047" s="2"/>
      <c r="N7047" s="2"/>
      <c r="O7047" s="2"/>
      <c r="P7047" s="2"/>
      <c r="Q7047" s="2"/>
      <c r="R7047" s="2"/>
      <c r="S7047" s="2"/>
      <c r="T7047" s="2"/>
      <c r="U7047" s="2"/>
      <c r="V7047" s="2"/>
      <c r="W7047" s="2"/>
    </row>
    <row r="7048" spans="1:23" x14ac:dyDescent="0.25">
      <c r="A7048" s="2"/>
      <c r="B7048" s="2"/>
      <c r="C7048" s="1"/>
      <c r="D7048" s="2"/>
      <c r="E7048" s="2"/>
      <c r="F7048" s="2"/>
      <c r="G7048" s="2"/>
      <c r="H7048" s="2"/>
      <c r="I7048" s="2"/>
      <c r="J7048" s="2"/>
      <c r="K7048" s="2"/>
      <c r="L7048" s="2"/>
      <c r="M7048" s="2"/>
      <c r="N7048" s="2"/>
      <c r="O7048" s="2"/>
      <c r="P7048" s="2"/>
      <c r="Q7048" s="2"/>
      <c r="R7048" s="2"/>
      <c r="S7048" s="2"/>
      <c r="T7048" s="2"/>
      <c r="U7048" s="2"/>
      <c r="V7048" s="2"/>
      <c r="W7048" s="2"/>
    </row>
    <row r="7049" spans="1:23" x14ac:dyDescent="0.25">
      <c r="A7049" s="2"/>
      <c r="B7049" s="2"/>
      <c r="C7049" s="1"/>
      <c r="D7049" s="2"/>
      <c r="E7049" s="2"/>
      <c r="F7049" s="2"/>
      <c r="G7049" s="2"/>
      <c r="H7049" s="2"/>
      <c r="I7049" s="2"/>
      <c r="J7049" s="2"/>
      <c r="K7049" s="2"/>
      <c r="L7049" s="2"/>
      <c r="M7049" s="2"/>
      <c r="N7049" s="2"/>
      <c r="O7049" s="2"/>
      <c r="P7049" s="2"/>
      <c r="Q7049" s="2"/>
      <c r="R7049" s="2"/>
      <c r="S7049" s="2"/>
      <c r="T7049" s="2"/>
      <c r="U7049" s="2"/>
      <c r="V7049" s="2"/>
      <c r="W7049" s="2"/>
    </row>
    <row r="7050" spans="1:23" x14ac:dyDescent="0.25">
      <c r="A7050" s="2"/>
      <c r="B7050" s="2"/>
      <c r="C7050" s="1"/>
      <c r="D7050" s="2"/>
      <c r="E7050" s="2"/>
      <c r="F7050" s="2"/>
      <c r="G7050" s="2"/>
      <c r="H7050" s="2"/>
      <c r="I7050" s="2"/>
      <c r="J7050" s="2"/>
      <c r="K7050" s="2"/>
      <c r="L7050" s="2"/>
      <c r="M7050" s="2"/>
      <c r="N7050" s="2"/>
      <c r="O7050" s="2"/>
      <c r="P7050" s="2"/>
      <c r="Q7050" s="2"/>
      <c r="R7050" s="2"/>
      <c r="S7050" s="2"/>
      <c r="T7050" s="2"/>
      <c r="U7050" s="2"/>
      <c r="V7050" s="2"/>
      <c r="W7050" s="2"/>
    </row>
    <row r="7051" spans="1:23" x14ac:dyDescent="0.25">
      <c r="A7051" s="2"/>
      <c r="B7051" s="2"/>
      <c r="C7051" s="1"/>
      <c r="D7051" s="2"/>
      <c r="E7051" s="2"/>
      <c r="F7051" s="2"/>
      <c r="G7051" s="2"/>
      <c r="H7051" s="2"/>
      <c r="I7051" s="2"/>
      <c r="J7051" s="2"/>
      <c r="K7051" s="2"/>
      <c r="L7051" s="2"/>
      <c r="M7051" s="2"/>
      <c r="N7051" s="2"/>
      <c r="O7051" s="2"/>
      <c r="P7051" s="2"/>
      <c r="Q7051" s="2"/>
      <c r="R7051" s="2"/>
      <c r="S7051" s="2"/>
      <c r="T7051" s="2"/>
      <c r="U7051" s="2"/>
      <c r="V7051" s="2"/>
      <c r="W7051" s="2"/>
    </row>
    <row r="7052" spans="1:23" x14ac:dyDescent="0.25">
      <c r="A7052" s="2"/>
      <c r="B7052" s="2"/>
      <c r="C7052" s="1"/>
      <c r="D7052" s="2"/>
      <c r="E7052" s="2"/>
      <c r="F7052" s="2"/>
      <c r="G7052" s="2"/>
      <c r="H7052" s="2"/>
      <c r="I7052" s="2"/>
      <c r="J7052" s="2"/>
      <c r="K7052" s="2"/>
      <c r="L7052" s="2"/>
      <c r="M7052" s="2"/>
      <c r="N7052" s="2"/>
      <c r="O7052" s="2"/>
      <c r="P7052" s="2"/>
      <c r="Q7052" s="2"/>
      <c r="R7052" s="2"/>
      <c r="S7052" s="2"/>
      <c r="T7052" s="2"/>
      <c r="U7052" s="2"/>
      <c r="V7052" s="2"/>
      <c r="W7052" s="2"/>
    </row>
    <row r="7053" spans="1:23" x14ac:dyDescent="0.25">
      <c r="A7053" s="2"/>
      <c r="B7053" s="2"/>
      <c r="C7053" s="1"/>
      <c r="D7053" s="2"/>
      <c r="E7053" s="2"/>
      <c r="F7053" s="2"/>
      <c r="G7053" s="2"/>
      <c r="H7053" s="2"/>
      <c r="I7053" s="2"/>
      <c r="J7053" s="2"/>
      <c r="K7053" s="2"/>
      <c r="L7053" s="2"/>
      <c r="M7053" s="2"/>
      <c r="N7053" s="2"/>
      <c r="O7053" s="2"/>
      <c r="P7053" s="2"/>
      <c r="Q7053" s="2"/>
      <c r="R7053" s="2"/>
      <c r="S7053" s="2"/>
      <c r="T7053" s="2"/>
      <c r="U7053" s="2"/>
      <c r="V7053" s="2"/>
      <c r="W7053" s="2"/>
    </row>
    <row r="7054" spans="1:23" x14ac:dyDescent="0.25">
      <c r="A7054" s="2"/>
      <c r="B7054" s="2"/>
      <c r="C7054" s="1"/>
      <c r="D7054" s="2"/>
      <c r="E7054" s="2"/>
      <c r="F7054" s="2"/>
      <c r="G7054" s="2"/>
      <c r="H7054" s="2"/>
      <c r="I7054" s="2"/>
      <c r="J7054" s="2"/>
      <c r="K7054" s="2"/>
      <c r="L7054" s="2"/>
      <c r="M7054" s="2"/>
      <c r="N7054" s="2"/>
      <c r="O7054" s="2"/>
      <c r="P7054" s="2"/>
      <c r="Q7054" s="2"/>
      <c r="R7054" s="2"/>
      <c r="S7054" s="2"/>
      <c r="T7054" s="2"/>
      <c r="U7054" s="2"/>
      <c r="V7054" s="2"/>
      <c r="W7054" s="2"/>
    </row>
    <row r="7055" spans="1:23" x14ac:dyDescent="0.25">
      <c r="A7055" s="2"/>
      <c r="B7055" s="2"/>
      <c r="C7055" s="1"/>
      <c r="D7055" s="2"/>
      <c r="E7055" s="2"/>
      <c r="F7055" s="2"/>
      <c r="G7055" s="2"/>
      <c r="H7055" s="2"/>
      <c r="I7055" s="2"/>
      <c r="J7055" s="2"/>
      <c r="K7055" s="2"/>
      <c r="L7055" s="2"/>
      <c r="M7055" s="2"/>
      <c r="N7055" s="2"/>
      <c r="O7055" s="2"/>
      <c r="P7055" s="2"/>
      <c r="Q7055" s="2"/>
      <c r="R7055" s="2"/>
      <c r="S7055" s="2"/>
      <c r="T7055" s="2"/>
      <c r="U7055" s="2"/>
      <c r="V7055" s="2"/>
      <c r="W7055" s="2"/>
    </row>
    <row r="7056" spans="1:23" x14ac:dyDescent="0.25">
      <c r="A7056" s="2"/>
      <c r="B7056" s="2"/>
      <c r="C7056" s="1"/>
      <c r="D7056" s="2"/>
      <c r="E7056" s="2"/>
      <c r="F7056" s="2"/>
      <c r="G7056" s="2"/>
      <c r="H7056" s="2"/>
      <c r="I7056" s="2"/>
      <c r="J7056" s="2"/>
      <c r="K7056" s="2"/>
      <c r="L7056" s="2"/>
      <c r="M7056" s="2"/>
      <c r="N7056" s="2"/>
      <c r="O7056" s="2"/>
      <c r="P7056" s="2"/>
      <c r="Q7056" s="2"/>
      <c r="R7056" s="2"/>
      <c r="S7056" s="2"/>
      <c r="T7056" s="2"/>
      <c r="U7056" s="2"/>
      <c r="V7056" s="2"/>
      <c r="W7056" s="2"/>
    </row>
    <row r="7057" spans="1:23" x14ac:dyDescent="0.25">
      <c r="A7057" s="2"/>
      <c r="B7057" s="2"/>
      <c r="C7057" s="1"/>
      <c r="D7057" s="2"/>
      <c r="E7057" s="2"/>
      <c r="F7057" s="2"/>
      <c r="G7057" s="2"/>
      <c r="H7057" s="2"/>
      <c r="I7057" s="2"/>
      <c r="J7057" s="2"/>
      <c r="K7057" s="2"/>
      <c r="L7057" s="2"/>
      <c r="M7057" s="2"/>
      <c r="N7057" s="2"/>
      <c r="O7057" s="2"/>
      <c r="P7057" s="2"/>
      <c r="Q7057" s="2"/>
      <c r="R7057" s="2"/>
      <c r="S7057" s="2"/>
      <c r="T7057" s="2"/>
      <c r="U7057" s="2"/>
      <c r="V7057" s="2"/>
      <c r="W7057" s="2"/>
    </row>
    <row r="7058" spans="1:23" x14ac:dyDescent="0.25">
      <c r="A7058" s="2"/>
      <c r="B7058" s="2"/>
      <c r="C7058" s="1"/>
      <c r="D7058" s="2"/>
      <c r="E7058" s="2"/>
      <c r="F7058" s="2"/>
      <c r="G7058" s="2"/>
      <c r="H7058" s="2"/>
      <c r="I7058" s="2"/>
      <c r="J7058" s="2"/>
      <c r="K7058" s="2"/>
      <c r="L7058" s="2"/>
      <c r="M7058" s="2"/>
      <c r="N7058" s="2"/>
      <c r="O7058" s="2"/>
      <c r="P7058" s="2"/>
      <c r="Q7058" s="2"/>
      <c r="R7058" s="2"/>
      <c r="S7058" s="2"/>
      <c r="T7058" s="2"/>
      <c r="U7058" s="2"/>
      <c r="V7058" s="2"/>
      <c r="W7058" s="2"/>
    </row>
    <row r="7059" spans="1:23" x14ac:dyDescent="0.25">
      <c r="A7059" s="2"/>
      <c r="B7059" s="2"/>
      <c r="C7059" s="1"/>
      <c r="D7059" s="2"/>
      <c r="E7059" s="2"/>
      <c r="F7059" s="2"/>
      <c r="G7059" s="2"/>
      <c r="H7059" s="2"/>
      <c r="I7059" s="2"/>
      <c r="J7059" s="2"/>
      <c r="K7059" s="2"/>
      <c r="L7059" s="2"/>
      <c r="M7059" s="2"/>
      <c r="N7059" s="2"/>
      <c r="O7059" s="2"/>
      <c r="P7059" s="2"/>
      <c r="Q7059" s="2"/>
      <c r="R7059" s="2"/>
      <c r="S7059" s="2"/>
      <c r="T7059" s="2"/>
      <c r="U7059" s="2"/>
      <c r="V7059" s="2"/>
      <c r="W7059" s="2"/>
    </row>
    <row r="7060" spans="1:23" x14ac:dyDescent="0.25">
      <c r="A7060" s="2"/>
      <c r="B7060" s="2"/>
      <c r="C7060" s="1"/>
      <c r="D7060" s="2"/>
      <c r="E7060" s="2"/>
      <c r="F7060" s="2"/>
      <c r="G7060" s="2"/>
      <c r="H7060" s="2"/>
      <c r="I7060" s="2"/>
      <c r="J7060" s="2"/>
      <c r="K7060" s="2"/>
      <c r="L7060" s="2"/>
      <c r="M7060" s="2"/>
      <c r="N7060" s="2"/>
      <c r="O7060" s="2"/>
      <c r="P7060" s="2"/>
      <c r="Q7060" s="2"/>
      <c r="R7060" s="2"/>
      <c r="S7060" s="2"/>
      <c r="T7060" s="2"/>
      <c r="U7060" s="2"/>
      <c r="V7060" s="2"/>
      <c r="W7060" s="2"/>
    </row>
    <row r="7061" spans="1:23" x14ac:dyDescent="0.25">
      <c r="A7061" s="2"/>
      <c r="B7061" s="2"/>
      <c r="C7061" s="1"/>
      <c r="D7061" s="2"/>
      <c r="E7061" s="2"/>
      <c r="F7061" s="2"/>
      <c r="G7061" s="2"/>
      <c r="H7061" s="2"/>
      <c r="I7061" s="2"/>
      <c r="J7061" s="2"/>
      <c r="K7061" s="2"/>
      <c r="L7061" s="2"/>
      <c r="M7061" s="2"/>
      <c r="N7061" s="2"/>
      <c r="O7061" s="2"/>
      <c r="P7061" s="2"/>
      <c r="Q7061" s="2"/>
      <c r="R7061" s="2"/>
      <c r="S7061" s="2"/>
      <c r="T7061" s="2"/>
      <c r="U7061" s="2"/>
      <c r="V7061" s="2"/>
      <c r="W7061" s="2"/>
    </row>
    <row r="7062" spans="1:23" x14ac:dyDescent="0.25">
      <c r="A7062" s="2"/>
      <c r="B7062" s="2"/>
      <c r="C7062" s="1"/>
      <c r="D7062" s="2"/>
      <c r="E7062" s="2"/>
      <c r="F7062" s="2"/>
      <c r="G7062" s="2"/>
      <c r="H7062" s="2"/>
      <c r="I7062" s="2"/>
      <c r="J7062" s="2"/>
      <c r="K7062" s="2"/>
      <c r="L7062" s="2"/>
      <c r="M7062" s="2"/>
      <c r="N7062" s="2"/>
      <c r="O7062" s="2"/>
      <c r="P7062" s="2"/>
      <c r="Q7062" s="2"/>
      <c r="R7062" s="2"/>
      <c r="S7062" s="2"/>
      <c r="T7062" s="2"/>
      <c r="U7062" s="2"/>
      <c r="V7062" s="2"/>
      <c r="W7062" s="2"/>
    </row>
    <row r="7063" spans="1:23" x14ac:dyDescent="0.25">
      <c r="A7063" s="2"/>
      <c r="B7063" s="2"/>
      <c r="C7063" s="1"/>
      <c r="D7063" s="2"/>
      <c r="E7063" s="2"/>
      <c r="F7063" s="2"/>
      <c r="G7063" s="2"/>
      <c r="H7063" s="2"/>
      <c r="I7063" s="2"/>
      <c r="J7063" s="2"/>
      <c r="K7063" s="2"/>
      <c r="L7063" s="2"/>
      <c r="M7063" s="2"/>
      <c r="N7063" s="2"/>
      <c r="O7063" s="2"/>
      <c r="P7063" s="2"/>
      <c r="Q7063" s="2"/>
      <c r="R7063" s="2"/>
      <c r="S7063" s="2"/>
      <c r="T7063" s="2"/>
      <c r="U7063" s="2"/>
      <c r="V7063" s="2"/>
      <c r="W7063" s="2"/>
    </row>
    <row r="7064" spans="1:23" x14ac:dyDescent="0.25">
      <c r="A7064" s="2"/>
      <c r="B7064" s="2"/>
      <c r="C7064" s="1"/>
      <c r="D7064" s="2"/>
      <c r="E7064" s="2"/>
      <c r="F7064" s="2"/>
      <c r="G7064" s="2"/>
      <c r="H7064" s="2"/>
      <c r="I7064" s="2"/>
      <c r="J7064" s="2"/>
      <c r="K7064" s="2"/>
      <c r="L7064" s="2"/>
      <c r="M7064" s="2"/>
      <c r="N7064" s="2"/>
      <c r="O7064" s="2"/>
      <c r="P7064" s="2"/>
      <c r="Q7064" s="2"/>
      <c r="R7064" s="2"/>
      <c r="S7064" s="2"/>
      <c r="T7064" s="2"/>
      <c r="U7064" s="2"/>
      <c r="V7064" s="2"/>
      <c r="W7064" s="2"/>
    </row>
    <row r="7065" spans="1:23" x14ac:dyDescent="0.25">
      <c r="A7065" s="2"/>
      <c r="B7065" s="2"/>
      <c r="C7065" s="1"/>
      <c r="D7065" s="2"/>
      <c r="E7065" s="2"/>
      <c r="F7065" s="2"/>
      <c r="G7065" s="2"/>
      <c r="H7065" s="2"/>
      <c r="I7065" s="2"/>
      <c r="J7065" s="2"/>
      <c r="K7065" s="2"/>
      <c r="L7065" s="2"/>
      <c r="M7065" s="2"/>
      <c r="N7065" s="2"/>
      <c r="O7065" s="2"/>
      <c r="P7065" s="2"/>
      <c r="Q7065" s="2"/>
      <c r="R7065" s="2"/>
      <c r="S7065" s="2"/>
      <c r="T7065" s="2"/>
      <c r="U7065" s="2"/>
      <c r="V7065" s="2"/>
      <c r="W7065" s="2"/>
    </row>
    <row r="7066" spans="1:23" x14ac:dyDescent="0.25">
      <c r="A7066" s="2"/>
      <c r="B7066" s="2"/>
      <c r="C7066" s="1"/>
      <c r="D7066" s="2"/>
      <c r="E7066" s="2"/>
      <c r="F7066" s="2"/>
      <c r="G7066" s="2"/>
      <c r="H7066" s="2"/>
      <c r="I7066" s="2"/>
      <c r="J7066" s="2"/>
      <c r="K7066" s="2"/>
      <c r="L7066" s="2"/>
      <c r="M7066" s="2"/>
      <c r="N7066" s="2"/>
      <c r="O7066" s="2"/>
      <c r="P7066" s="2"/>
      <c r="Q7066" s="2"/>
      <c r="R7066" s="2"/>
      <c r="S7066" s="2"/>
      <c r="T7066" s="2"/>
      <c r="U7066" s="2"/>
      <c r="V7066" s="2"/>
      <c r="W7066" s="2"/>
    </row>
    <row r="7067" spans="1:23" x14ac:dyDescent="0.25">
      <c r="A7067" s="2"/>
      <c r="B7067" s="2"/>
      <c r="C7067" s="1"/>
      <c r="D7067" s="2"/>
      <c r="E7067" s="2"/>
      <c r="F7067" s="2"/>
      <c r="G7067" s="2"/>
      <c r="H7067" s="2"/>
      <c r="I7067" s="2"/>
      <c r="J7067" s="2"/>
      <c r="K7067" s="2"/>
      <c r="L7067" s="2"/>
      <c r="M7067" s="2"/>
      <c r="N7067" s="2"/>
      <c r="O7067" s="2"/>
      <c r="P7067" s="2"/>
      <c r="Q7067" s="2"/>
      <c r="R7067" s="2"/>
      <c r="S7067" s="2"/>
      <c r="T7067" s="2"/>
      <c r="U7067" s="2"/>
      <c r="V7067" s="2"/>
      <c r="W7067" s="2"/>
    </row>
    <row r="7068" spans="1:23" x14ac:dyDescent="0.25">
      <c r="A7068" s="2"/>
      <c r="B7068" s="2"/>
      <c r="C7068" s="1"/>
      <c r="D7068" s="2"/>
      <c r="E7068" s="2"/>
      <c r="F7068" s="2"/>
      <c r="G7068" s="2"/>
      <c r="H7068" s="2"/>
      <c r="I7068" s="2"/>
      <c r="J7068" s="2"/>
      <c r="K7068" s="2"/>
      <c r="L7068" s="2"/>
      <c r="M7068" s="2"/>
      <c r="N7068" s="2"/>
      <c r="O7068" s="2"/>
      <c r="P7068" s="2"/>
      <c r="Q7068" s="2"/>
      <c r="R7068" s="2"/>
      <c r="S7068" s="2"/>
      <c r="T7068" s="2"/>
      <c r="U7068" s="2"/>
      <c r="V7068" s="2"/>
      <c r="W7068" s="2"/>
    </row>
    <row r="7069" spans="1:23" x14ac:dyDescent="0.25">
      <c r="A7069" s="2"/>
      <c r="B7069" s="2"/>
      <c r="C7069" s="1"/>
      <c r="D7069" s="2"/>
      <c r="E7069" s="2"/>
      <c r="F7069" s="2"/>
      <c r="G7069" s="2"/>
      <c r="H7069" s="2"/>
      <c r="I7069" s="2"/>
      <c r="J7069" s="2"/>
      <c r="K7069" s="2"/>
      <c r="L7069" s="2"/>
      <c r="M7069" s="2"/>
      <c r="N7069" s="2"/>
      <c r="O7069" s="2"/>
      <c r="P7069" s="2"/>
      <c r="Q7069" s="2"/>
      <c r="R7069" s="2"/>
      <c r="S7069" s="2"/>
      <c r="T7069" s="2"/>
      <c r="U7069" s="2"/>
      <c r="V7069" s="2"/>
      <c r="W7069" s="2"/>
    </row>
    <row r="7070" spans="1:23" x14ac:dyDescent="0.25">
      <c r="A7070" s="2"/>
      <c r="B7070" s="2"/>
      <c r="C7070" s="1"/>
      <c r="D7070" s="2"/>
      <c r="E7070" s="2"/>
      <c r="F7070" s="2"/>
      <c r="G7070" s="2"/>
      <c r="H7070" s="2"/>
      <c r="I7070" s="2"/>
      <c r="J7070" s="2"/>
      <c r="K7070" s="2"/>
      <c r="L7070" s="2"/>
      <c r="M7070" s="2"/>
      <c r="N7070" s="2"/>
      <c r="O7070" s="2"/>
      <c r="P7070" s="2"/>
      <c r="Q7070" s="2"/>
      <c r="R7070" s="2"/>
      <c r="S7070" s="2"/>
      <c r="T7070" s="2"/>
      <c r="U7070" s="2"/>
      <c r="V7070" s="2"/>
      <c r="W7070" s="2"/>
    </row>
    <row r="7071" spans="1:23" x14ac:dyDescent="0.25">
      <c r="A7071" s="2"/>
      <c r="B7071" s="2"/>
      <c r="C7071" s="1"/>
      <c r="D7071" s="2"/>
      <c r="E7071" s="2"/>
      <c r="F7071" s="2"/>
      <c r="G7071" s="2"/>
      <c r="H7071" s="2"/>
      <c r="I7071" s="2"/>
      <c r="J7071" s="2"/>
      <c r="K7071" s="2"/>
      <c r="L7071" s="2"/>
      <c r="M7071" s="2"/>
      <c r="N7071" s="2"/>
      <c r="O7071" s="2"/>
      <c r="P7071" s="2"/>
      <c r="Q7071" s="2"/>
      <c r="R7071" s="2"/>
      <c r="S7071" s="2"/>
      <c r="T7071" s="2"/>
      <c r="U7071" s="2"/>
      <c r="V7071" s="2"/>
      <c r="W7071" s="2"/>
    </row>
    <row r="7072" spans="1:23" x14ac:dyDescent="0.25">
      <c r="A7072" s="2"/>
      <c r="B7072" s="2"/>
      <c r="C7072" s="1"/>
      <c r="D7072" s="2"/>
      <c r="E7072" s="2"/>
      <c r="F7072" s="2"/>
      <c r="G7072" s="2"/>
      <c r="H7072" s="2"/>
      <c r="I7072" s="2"/>
      <c r="J7072" s="2"/>
      <c r="K7072" s="2"/>
      <c r="L7072" s="2"/>
      <c r="M7072" s="2"/>
      <c r="N7072" s="2"/>
      <c r="O7072" s="2"/>
      <c r="P7072" s="2"/>
      <c r="Q7072" s="2"/>
      <c r="R7072" s="2"/>
      <c r="S7072" s="2"/>
      <c r="T7072" s="2"/>
      <c r="U7072" s="2"/>
      <c r="V7072" s="2"/>
      <c r="W7072" s="2"/>
    </row>
    <row r="7073" spans="1:23" x14ac:dyDescent="0.25">
      <c r="A7073" s="2"/>
      <c r="B7073" s="2"/>
      <c r="C7073" s="1"/>
      <c r="D7073" s="2"/>
      <c r="E7073" s="2"/>
      <c r="F7073" s="2"/>
      <c r="G7073" s="2"/>
      <c r="H7073" s="2"/>
      <c r="I7073" s="2"/>
      <c r="J7073" s="2"/>
      <c r="K7073" s="2"/>
      <c r="L7073" s="2"/>
      <c r="M7073" s="2"/>
      <c r="N7073" s="2"/>
      <c r="O7073" s="2"/>
      <c r="P7073" s="2"/>
      <c r="Q7073" s="2"/>
      <c r="R7073" s="2"/>
      <c r="S7073" s="2"/>
      <c r="T7073" s="2"/>
      <c r="U7073" s="2"/>
      <c r="V7073" s="2"/>
      <c r="W7073" s="2"/>
    </row>
    <row r="7074" spans="1:23" x14ac:dyDescent="0.25">
      <c r="A7074" s="2"/>
      <c r="B7074" s="2"/>
      <c r="C7074" s="1"/>
      <c r="D7074" s="2"/>
      <c r="E7074" s="2"/>
      <c r="F7074" s="2"/>
      <c r="G7074" s="2"/>
      <c r="H7074" s="2"/>
      <c r="I7074" s="2"/>
      <c r="J7074" s="2"/>
      <c r="K7074" s="2"/>
      <c r="L7074" s="2"/>
      <c r="M7074" s="2"/>
      <c r="N7074" s="2"/>
      <c r="O7074" s="2"/>
      <c r="P7074" s="2"/>
      <c r="Q7074" s="2"/>
      <c r="R7074" s="2"/>
      <c r="S7074" s="2"/>
      <c r="T7074" s="2"/>
      <c r="U7074" s="2"/>
      <c r="V7074" s="2"/>
      <c r="W7074" s="2"/>
    </row>
    <row r="7075" spans="1:23" x14ac:dyDescent="0.25">
      <c r="A7075" s="2"/>
      <c r="B7075" s="2"/>
      <c r="C7075" s="1"/>
      <c r="D7075" s="2"/>
      <c r="E7075" s="2"/>
      <c r="F7075" s="2"/>
      <c r="G7075" s="2"/>
      <c r="H7075" s="2"/>
      <c r="I7075" s="2"/>
      <c r="J7075" s="2"/>
      <c r="K7075" s="2"/>
      <c r="L7075" s="2"/>
      <c r="M7075" s="2"/>
      <c r="N7075" s="2"/>
      <c r="O7075" s="2"/>
      <c r="P7075" s="2"/>
      <c r="Q7075" s="2"/>
      <c r="R7075" s="2"/>
      <c r="S7075" s="2"/>
      <c r="T7075" s="2"/>
      <c r="U7075" s="2"/>
      <c r="V7075" s="2"/>
      <c r="W7075" s="2"/>
    </row>
    <row r="7076" spans="1:23" x14ac:dyDescent="0.25">
      <c r="A7076" s="2"/>
      <c r="B7076" s="2"/>
      <c r="C7076" s="1"/>
      <c r="D7076" s="2"/>
      <c r="E7076" s="2"/>
      <c r="F7076" s="2"/>
      <c r="G7076" s="2"/>
      <c r="H7076" s="2"/>
      <c r="I7076" s="2"/>
      <c r="J7076" s="2"/>
      <c r="K7076" s="2"/>
      <c r="L7076" s="2"/>
      <c r="M7076" s="2"/>
      <c r="N7076" s="2"/>
      <c r="O7076" s="2"/>
      <c r="P7076" s="2"/>
      <c r="Q7076" s="2"/>
      <c r="R7076" s="2"/>
      <c r="S7076" s="2"/>
      <c r="T7076" s="2"/>
      <c r="U7076" s="2"/>
      <c r="V7076" s="2"/>
      <c r="W7076" s="2"/>
    </row>
    <row r="7077" spans="1:23" x14ac:dyDescent="0.25">
      <c r="A7077" s="2"/>
      <c r="B7077" s="2"/>
      <c r="C7077" s="1"/>
      <c r="D7077" s="2"/>
      <c r="E7077" s="2"/>
      <c r="F7077" s="2"/>
      <c r="G7077" s="2"/>
      <c r="H7077" s="2"/>
      <c r="I7077" s="2"/>
      <c r="J7077" s="2"/>
      <c r="K7077" s="2"/>
      <c r="L7077" s="2"/>
      <c r="M7077" s="2"/>
      <c r="N7077" s="2"/>
      <c r="O7077" s="2"/>
      <c r="P7077" s="2"/>
      <c r="Q7077" s="2"/>
      <c r="R7077" s="2"/>
      <c r="S7077" s="2"/>
      <c r="T7077" s="2"/>
      <c r="U7077" s="2"/>
      <c r="V7077" s="2"/>
      <c r="W7077" s="2"/>
    </row>
    <row r="7078" spans="1:23" x14ac:dyDescent="0.25">
      <c r="A7078" s="2"/>
      <c r="B7078" s="2"/>
      <c r="C7078" s="1"/>
      <c r="D7078" s="2"/>
      <c r="E7078" s="2"/>
      <c r="F7078" s="2"/>
      <c r="G7078" s="2"/>
      <c r="H7078" s="2"/>
      <c r="I7078" s="2"/>
      <c r="J7078" s="2"/>
      <c r="K7078" s="2"/>
      <c r="L7078" s="2"/>
      <c r="M7078" s="2"/>
      <c r="N7078" s="2"/>
      <c r="O7078" s="2"/>
      <c r="P7078" s="2"/>
      <c r="Q7078" s="2"/>
      <c r="R7078" s="2"/>
      <c r="S7078" s="2"/>
      <c r="T7078" s="2"/>
      <c r="U7078" s="2"/>
      <c r="V7078" s="2"/>
      <c r="W7078" s="2"/>
    </row>
    <row r="7079" spans="1:23" x14ac:dyDescent="0.25">
      <c r="A7079" s="2"/>
      <c r="B7079" s="2"/>
      <c r="C7079" s="1"/>
      <c r="D7079" s="2"/>
      <c r="E7079" s="2"/>
      <c r="F7079" s="2"/>
      <c r="G7079" s="2"/>
      <c r="H7079" s="2"/>
      <c r="I7079" s="2"/>
      <c r="J7079" s="2"/>
      <c r="K7079" s="2"/>
      <c r="L7079" s="2"/>
      <c r="M7079" s="2"/>
      <c r="N7079" s="2"/>
      <c r="O7079" s="2"/>
      <c r="P7079" s="2"/>
      <c r="Q7079" s="2"/>
      <c r="R7079" s="2"/>
      <c r="S7079" s="2"/>
      <c r="T7079" s="2"/>
      <c r="U7079" s="2"/>
      <c r="V7079" s="2"/>
      <c r="W7079" s="2"/>
    </row>
    <row r="7080" spans="1:23" x14ac:dyDescent="0.25">
      <c r="A7080" s="2"/>
      <c r="B7080" s="2"/>
      <c r="C7080" s="1"/>
      <c r="D7080" s="2"/>
      <c r="E7080" s="2"/>
      <c r="F7080" s="2"/>
      <c r="G7080" s="2"/>
      <c r="H7080" s="2"/>
      <c r="I7080" s="2"/>
      <c r="J7080" s="2"/>
      <c r="K7080" s="2"/>
      <c r="L7080" s="2"/>
      <c r="M7080" s="2"/>
      <c r="N7080" s="2"/>
      <c r="O7080" s="2"/>
      <c r="P7080" s="2"/>
      <c r="Q7080" s="2"/>
      <c r="R7080" s="2"/>
      <c r="S7080" s="2"/>
      <c r="T7080" s="2"/>
      <c r="U7080" s="2"/>
      <c r="V7080" s="2"/>
      <c r="W7080" s="2"/>
    </row>
    <row r="7081" spans="1:23" x14ac:dyDescent="0.25">
      <c r="A7081" s="2"/>
      <c r="B7081" s="2"/>
      <c r="C7081" s="1"/>
      <c r="D7081" s="2"/>
      <c r="E7081" s="2"/>
      <c r="F7081" s="2"/>
      <c r="G7081" s="2"/>
      <c r="H7081" s="2"/>
      <c r="I7081" s="2"/>
      <c r="J7081" s="2"/>
      <c r="K7081" s="2"/>
      <c r="L7081" s="2"/>
      <c r="M7081" s="2"/>
      <c r="N7081" s="2"/>
      <c r="O7081" s="2"/>
      <c r="P7081" s="2"/>
      <c r="Q7081" s="2"/>
      <c r="R7081" s="2"/>
      <c r="S7081" s="2"/>
      <c r="T7081" s="2"/>
      <c r="U7081" s="2"/>
      <c r="V7081" s="2"/>
      <c r="W7081" s="2"/>
    </row>
    <row r="7082" spans="1:23" x14ac:dyDescent="0.25">
      <c r="A7082" s="2"/>
      <c r="B7082" s="2"/>
      <c r="C7082" s="1"/>
      <c r="D7082" s="2"/>
      <c r="E7082" s="2"/>
      <c r="F7082" s="2"/>
      <c r="G7082" s="2"/>
      <c r="H7082" s="2"/>
      <c r="I7082" s="2"/>
      <c r="J7082" s="2"/>
      <c r="K7082" s="2"/>
      <c r="L7082" s="2"/>
      <c r="M7082" s="2"/>
      <c r="N7082" s="2"/>
      <c r="O7082" s="2"/>
      <c r="P7082" s="2"/>
      <c r="Q7082" s="2"/>
      <c r="R7082" s="2"/>
      <c r="S7082" s="2"/>
      <c r="T7082" s="2"/>
      <c r="U7082" s="2"/>
      <c r="V7082" s="2"/>
      <c r="W7082" s="2"/>
    </row>
    <row r="7083" spans="1:23" x14ac:dyDescent="0.25">
      <c r="A7083" s="2"/>
      <c r="B7083" s="2"/>
      <c r="C7083" s="1"/>
      <c r="D7083" s="2"/>
      <c r="E7083" s="2"/>
      <c r="F7083" s="2"/>
      <c r="G7083" s="2"/>
      <c r="H7083" s="2"/>
      <c r="I7083" s="2"/>
      <c r="J7083" s="2"/>
      <c r="K7083" s="2"/>
      <c r="L7083" s="2"/>
      <c r="M7083" s="2"/>
      <c r="N7083" s="2"/>
      <c r="O7083" s="2"/>
      <c r="P7083" s="2"/>
      <c r="Q7083" s="2"/>
      <c r="R7083" s="2"/>
      <c r="S7083" s="2"/>
      <c r="T7083" s="2"/>
      <c r="U7083" s="2"/>
      <c r="V7083" s="2"/>
      <c r="W7083" s="2"/>
    </row>
    <row r="7084" spans="1:23" x14ac:dyDescent="0.25">
      <c r="A7084" s="2"/>
      <c r="B7084" s="2"/>
      <c r="C7084" s="1"/>
      <c r="D7084" s="2"/>
      <c r="E7084" s="2"/>
      <c r="F7084" s="2"/>
      <c r="G7084" s="2"/>
      <c r="H7084" s="2"/>
      <c r="I7084" s="2"/>
      <c r="J7084" s="2"/>
      <c r="K7084" s="2"/>
      <c r="L7084" s="2"/>
      <c r="M7084" s="2"/>
      <c r="N7084" s="2"/>
      <c r="O7084" s="2"/>
      <c r="P7084" s="2"/>
      <c r="Q7084" s="2"/>
      <c r="R7084" s="2"/>
      <c r="S7084" s="2"/>
      <c r="T7084" s="2"/>
      <c r="U7084" s="2"/>
      <c r="V7084" s="2"/>
      <c r="W7084" s="2"/>
    </row>
    <row r="7085" spans="1:23" x14ac:dyDescent="0.25">
      <c r="A7085" s="2"/>
      <c r="B7085" s="2"/>
      <c r="C7085" s="1"/>
      <c r="D7085" s="2"/>
      <c r="E7085" s="2"/>
      <c r="F7085" s="2"/>
      <c r="G7085" s="2"/>
      <c r="H7085" s="2"/>
      <c r="I7085" s="2"/>
      <c r="J7085" s="2"/>
      <c r="K7085" s="2"/>
      <c r="L7085" s="2"/>
      <c r="M7085" s="2"/>
      <c r="N7085" s="2"/>
      <c r="O7085" s="2"/>
      <c r="P7085" s="2"/>
      <c r="Q7085" s="2"/>
      <c r="R7085" s="2"/>
      <c r="S7085" s="2"/>
      <c r="T7085" s="2"/>
      <c r="U7085" s="2"/>
      <c r="V7085" s="2"/>
      <c r="W7085" s="2"/>
    </row>
    <row r="7086" spans="1:23" x14ac:dyDescent="0.25">
      <c r="A7086" s="2"/>
      <c r="B7086" s="2"/>
      <c r="C7086" s="1"/>
      <c r="D7086" s="2"/>
      <c r="E7086" s="2"/>
      <c r="F7086" s="2"/>
      <c r="G7086" s="2"/>
      <c r="H7086" s="2"/>
      <c r="I7086" s="2"/>
      <c r="J7086" s="2"/>
      <c r="K7086" s="2"/>
      <c r="L7086" s="2"/>
      <c r="M7086" s="2"/>
      <c r="N7086" s="2"/>
      <c r="O7086" s="2"/>
      <c r="P7086" s="2"/>
      <c r="Q7086" s="2"/>
      <c r="R7086" s="2"/>
      <c r="S7086" s="2"/>
      <c r="T7086" s="2"/>
      <c r="U7086" s="2"/>
      <c r="V7086" s="2"/>
      <c r="W7086" s="2"/>
    </row>
    <row r="7087" spans="1:23" x14ac:dyDescent="0.25">
      <c r="A7087" s="2"/>
      <c r="B7087" s="2"/>
      <c r="C7087" s="1"/>
      <c r="D7087" s="2"/>
      <c r="E7087" s="2"/>
      <c r="F7087" s="2"/>
      <c r="G7087" s="2"/>
      <c r="H7087" s="2"/>
      <c r="I7087" s="2"/>
      <c r="J7087" s="2"/>
      <c r="K7087" s="2"/>
      <c r="L7087" s="2"/>
      <c r="M7087" s="2"/>
      <c r="N7087" s="2"/>
      <c r="O7087" s="2"/>
      <c r="P7087" s="2"/>
      <c r="Q7087" s="2"/>
      <c r="R7087" s="2"/>
      <c r="S7087" s="2"/>
      <c r="T7087" s="2"/>
      <c r="U7087" s="2"/>
      <c r="V7087" s="2"/>
      <c r="W7087" s="2"/>
    </row>
    <row r="7088" spans="1:23" x14ac:dyDescent="0.25">
      <c r="A7088" s="2"/>
      <c r="B7088" s="2"/>
      <c r="C7088" s="1"/>
      <c r="D7088" s="2"/>
      <c r="E7088" s="2"/>
      <c r="F7088" s="2"/>
      <c r="G7088" s="2"/>
      <c r="H7088" s="2"/>
      <c r="I7088" s="2"/>
      <c r="J7088" s="2"/>
      <c r="K7088" s="2"/>
      <c r="L7088" s="2"/>
      <c r="M7088" s="2"/>
      <c r="N7088" s="2"/>
      <c r="O7088" s="2"/>
      <c r="P7088" s="2"/>
      <c r="Q7088" s="2"/>
      <c r="R7088" s="2"/>
      <c r="S7088" s="2"/>
      <c r="T7088" s="2"/>
      <c r="U7088" s="2"/>
      <c r="V7088" s="2"/>
      <c r="W7088" s="2"/>
    </row>
    <row r="7089" spans="1:23" x14ac:dyDescent="0.25">
      <c r="A7089" s="2"/>
      <c r="B7089" s="2"/>
      <c r="C7089" s="1"/>
      <c r="D7089" s="2"/>
      <c r="E7089" s="2"/>
      <c r="F7089" s="2"/>
      <c r="G7089" s="2"/>
      <c r="H7089" s="2"/>
      <c r="I7089" s="2"/>
      <c r="J7089" s="2"/>
      <c r="K7089" s="2"/>
      <c r="L7089" s="2"/>
      <c r="M7089" s="2"/>
      <c r="N7089" s="2"/>
      <c r="O7089" s="2"/>
      <c r="P7089" s="2"/>
      <c r="Q7089" s="2"/>
      <c r="R7089" s="2"/>
      <c r="S7089" s="2"/>
      <c r="T7089" s="2"/>
      <c r="U7089" s="2"/>
      <c r="V7089" s="2"/>
      <c r="W7089" s="2"/>
    </row>
    <row r="7090" spans="1:23" x14ac:dyDescent="0.25">
      <c r="A7090" s="2"/>
      <c r="B7090" s="2"/>
      <c r="C7090" s="1"/>
      <c r="D7090" s="2"/>
      <c r="E7090" s="2"/>
      <c r="F7090" s="2"/>
      <c r="G7090" s="2"/>
      <c r="H7090" s="2"/>
      <c r="I7090" s="2"/>
      <c r="J7090" s="2"/>
      <c r="K7090" s="2"/>
      <c r="L7090" s="2"/>
      <c r="M7090" s="2"/>
      <c r="N7090" s="2"/>
      <c r="O7090" s="2"/>
      <c r="P7090" s="2"/>
      <c r="Q7090" s="2"/>
      <c r="R7090" s="2"/>
      <c r="S7090" s="2"/>
      <c r="T7090" s="2"/>
      <c r="U7090" s="2"/>
      <c r="V7090" s="2"/>
      <c r="W7090" s="2"/>
    </row>
    <row r="7091" spans="1:23" x14ac:dyDescent="0.25">
      <c r="A7091" s="2"/>
      <c r="B7091" s="2"/>
      <c r="C7091" s="1"/>
      <c r="D7091" s="2"/>
      <c r="E7091" s="2"/>
      <c r="F7091" s="2"/>
      <c r="G7091" s="2"/>
      <c r="H7091" s="2"/>
      <c r="I7091" s="2"/>
      <c r="J7091" s="2"/>
      <c r="K7091" s="2"/>
      <c r="L7091" s="2"/>
      <c r="M7091" s="2"/>
      <c r="N7091" s="2"/>
      <c r="O7091" s="2"/>
      <c r="P7091" s="2"/>
      <c r="Q7091" s="2"/>
      <c r="R7091" s="2"/>
      <c r="S7091" s="2"/>
      <c r="T7091" s="2"/>
      <c r="U7091" s="2"/>
      <c r="V7091" s="2"/>
      <c r="W7091" s="2"/>
    </row>
    <row r="7092" spans="1:23" x14ac:dyDescent="0.25">
      <c r="A7092" s="2"/>
      <c r="B7092" s="2"/>
      <c r="C7092" s="1"/>
      <c r="D7092" s="2"/>
      <c r="E7092" s="2"/>
      <c r="F7092" s="2"/>
      <c r="G7092" s="2"/>
      <c r="H7092" s="2"/>
      <c r="I7092" s="2"/>
      <c r="J7092" s="2"/>
      <c r="K7092" s="2"/>
      <c r="L7092" s="2"/>
      <c r="M7092" s="2"/>
      <c r="N7092" s="2"/>
      <c r="O7092" s="2"/>
      <c r="P7092" s="2"/>
      <c r="Q7092" s="2"/>
      <c r="R7092" s="2"/>
      <c r="S7092" s="2"/>
      <c r="T7092" s="2"/>
      <c r="U7092" s="2"/>
      <c r="V7092" s="2"/>
      <c r="W7092" s="2"/>
    </row>
    <row r="7093" spans="1:23" x14ac:dyDescent="0.25">
      <c r="A7093" s="2"/>
      <c r="B7093" s="2"/>
      <c r="C7093" s="1"/>
      <c r="D7093" s="2"/>
      <c r="E7093" s="2"/>
      <c r="F7093" s="2"/>
      <c r="G7093" s="2"/>
      <c r="H7093" s="2"/>
      <c r="I7093" s="2"/>
      <c r="J7093" s="2"/>
      <c r="K7093" s="2"/>
      <c r="L7093" s="2"/>
      <c r="M7093" s="2"/>
      <c r="N7093" s="2"/>
      <c r="O7093" s="2"/>
      <c r="P7093" s="2"/>
      <c r="Q7093" s="2"/>
      <c r="R7093" s="2"/>
      <c r="S7093" s="2"/>
      <c r="T7093" s="2"/>
      <c r="U7093" s="2"/>
      <c r="V7093" s="2"/>
      <c r="W7093" s="2"/>
    </row>
    <row r="7094" spans="1:23" x14ac:dyDescent="0.25">
      <c r="A7094" s="2"/>
      <c r="B7094" s="2"/>
      <c r="C7094" s="1"/>
      <c r="D7094" s="2"/>
      <c r="E7094" s="2"/>
      <c r="F7094" s="2"/>
      <c r="G7094" s="2"/>
      <c r="H7094" s="2"/>
      <c r="I7094" s="2"/>
      <c r="J7094" s="2"/>
      <c r="K7094" s="2"/>
      <c r="L7094" s="2"/>
      <c r="M7094" s="2"/>
      <c r="N7094" s="2"/>
      <c r="O7094" s="2"/>
      <c r="P7094" s="2"/>
      <c r="Q7094" s="2"/>
      <c r="R7094" s="2"/>
      <c r="S7094" s="2"/>
      <c r="T7094" s="2"/>
      <c r="U7094" s="2"/>
      <c r="V7094" s="2"/>
      <c r="W7094" s="2"/>
    </row>
    <row r="7095" spans="1:23" x14ac:dyDescent="0.25">
      <c r="A7095" s="2"/>
      <c r="B7095" s="2"/>
      <c r="C7095" s="1"/>
      <c r="D7095" s="2"/>
      <c r="E7095" s="2"/>
      <c r="F7095" s="2"/>
      <c r="G7095" s="2"/>
      <c r="H7095" s="2"/>
      <c r="I7095" s="2"/>
      <c r="J7095" s="2"/>
      <c r="K7095" s="2"/>
      <c r="L7095" s="2"/>
      <c r="M7095" s="2"/>
      <c r="N7095" s="2"/>
      <c r="O7095" s="2"/>
      <c r="P7095" s="2"/>
      <c r="Q7095" s="2"/>
      <c r="R7095" s="2"/>
      <c r="S7095" s="2"/>
      <c r="T7095" s="2"/>
      <c r="U7095" s="2"/>
      <c r="V7095" s="2"/>
      <c r="W7095" s="2"/>
    </row>
    <row r="7096" spans="1:23" x14ac:dyDescent="0.25">
      <c r="A7096" s="2"/>
      <c r="B7096" s="2"/>
      <c r="C7096" s="1"/>
      <c r="D7096" s="2"/>
      <c r="E7096" s="2"/>
      <c r="F7096" s="2"/>
      <c r="G7096" s="2"/>
      <c r="H7096" s="2"/>
      <c r="I7096" s="2"/>
      <c r="J7096" s="2"/>
      <c r="K7096" s="2"/>
      <c r="L7096" s="2"/>
      <c r="M7096" s="2"/>
      <c r="N7096" s="2"/>
      <c r="O7096" s="2"/>
      <c r="P7096" s="2"/>
      <c r="Q7096" s="2"/>
      <c r="R7096" s="2"/>
      <c r="S7096" s="2"/>
      <c r="T7096" s="2"/>
      <c r="U7096" s="2"/>
      <c r="V7096" s="2"/>
      <c r="W7096" s="2"/>
    </row>
    <row r="7097" spans="1:23" x14ac:dyDescent="0.25">
      <c r="A7097" s="2"/>
      <c r="B7097" s="2"/>
      <c r="C7097" s="1"/>
      <c r="D7097" s="2"/>
      <c r="E7097" s="2"/>
      <c r="F7097" s="2"/>
      <c r="G7097" s="2"/>
      <c r="H7097" s="2"/>
      <c r="I7097" s="2"/>
      <c r="J7097" s="2"/>
      <c r="K7097" s="2"/>
      <c r="L7097" s="2"/>
      <c r="M7097" s="2"/>
      <c r="N7097" s="2"/>
      <c r="O7097" s="2"/>
      <c r="P7097" s="2"/>
      <c r="Q7097" s="2"/>
      <c r="R7097" s="2"/>
      <c r="S7097" s="2"/>
      <c r="T7097" s="2"/>
      <c r="U7097" s="2"/>
      <c r="V7097" s="2"/>
      <c r="W7097" s="2"/>
    </row>
    <row r="7098" spans="1:23" x14ac:dyDescent="0.25">
      <c r="A7098" s="2"/>
      <c r="B7098" s="2"/>
      <c r="C7098" s="1"/>
      <c r="D7098" s="2"/>
      <c r="E7098" s="2"/>
      <c r="F7098" s="2"/>
      <c r="G7098" s="2"/>
      <c r="H7098" s="2"/>
      <c r="I7098" s="2"/>
      <c r="J7098" s="2"/>
      <c r="K7098" s="2"/>
      <c r="L7098" s="2"/>
      <c r="M7098" s="2"/>
      <c r="N7098" s="2"/>
      <c r="O7098" s="2"/>
      <c r="P7098" s="2"/>
      <c r="Q7098" s="2"/>
      <c r="R7098" s="2"/>
      <c r="S7098" s="2"/>
      <c r="T7098" s="2"/>
      <c r="U7098" s="2"/>
      <c r="V7098" s="2"/>
      <c r="W7098" s="2"/>
    </row>
    <row r="7099" spans="1:23" x14ac:dyDescent="0.25">
      <c r="A7099" s="2"/>
      <c r="B7099" s="2"/>
      <c r="C7099" s="1"/>
      <c r="D7099" s="2"/>
      <c r="E7099" s="2"/>
      <c r="F7099" s="2"/>
      <c r="G7099" s="2"/>
      <c r="H7099" s="2"/>
      <c r="I7099" s="2"/>
      <c r="J7099" s="2"/>
      <c r="K7099" s="2"/>
      <c r="L7099" s="2"/>
      <c r="M7099" s="2"/>
      <c r="N7099" s="2"/>
      <c r="O7099" s="2"/>
      <c r="P7099" s="2"/>
      <c r="Q7099" s="2"/>
      <c r="R7099" s="2"/>
      <c r="S7099" s="2"/>
      <c r="T7099" s="2"/>
      <c r="U7099" s="2"/>
      <c r="V7099" s="2"/>
      <c r="W7099" s="2"/>
    </row>
    <row r="7100" spans="1:23" x14ac:dyDescent="0.25">
      <c r="A7100" s="2"/>
      <c r="B7100" s="2"/>
      <c r="C7100" s="1"/>
      <c r="D7100" s="2"/>
      <c r="E7100" s="2"/>
      <c r="F7100" s="2"/>
      <c r="G7100" s="2"/>
      <c r="H7100" s="2"/>
      <c r="I7100" s="2"/>
      <c r="J7100" s="2"/>
      <c r="K7100" s="2"/>
      <c r="L7100" s="2"/>
      <c r="M7100" s="2"/>
      <c r="N7100" s="2"/>
      <c r="O7100" s="2"/>
      <c r="P7100" s="2"/>
      <c r="Q7100" s="2"/>
      <c r="R7100" s="2"/>
      <c r="S7100" s="2"/>
      <c r="T7100" s="2"/>
      <c r="U7100" s="2"/>
      <c r="V7100" s="2"/>
      <c r="W7100" s="2"/>
    </row>
    <row r="7101" spans="1:23" x14ac:dyDescent="0.25">
      <c r="A7101" s="2"/>
      <c r="B7101" s="2"/>
      <c r="C7101" s="1"/>
      <c r="D7101" s="2"/>
      <c r="E7101" s="2"/>
      <c r="F7101" s="2"/>
      <c r="G7101" s="2"/>
      <c r="H7101" s="2"/>
      <c r="I7101" s="2"/>
      <c r="J7101" s="2"/>
      <c r="K7101" s="2"/>
      <c r="L7101" s="2"/>
      <c r="M7101" s="2"/>
      <c r="N7101" s="2"/>
      <c r="O7101" s="2"/>
      <c r="P7101" s="2"/>
      <c r="Q7101" s="2"/>
      <c r="R7101" s="2"/>
      <c r="S7101" s="2"/>
      <c r="T7101" s="2"/>
      <c r="U7101" s="2"/>
      <c r="V7101" s="2"/>
      <c r="W7101" s="2"/>
    </row>
    <row r="7102" spans="1:23" x14ac:dyDescent="0.25">
      <c r="A7102" s="2"/>
      <c r="B7102" s="2"/>
      <c r="C7102" s="1"/>
      <c r="D7102" s="2"/>
      <c r="E7102" s="2"/>
      <c r="F7102" s="2"/>
      <c r="G7102" s="2"/>
      <c r="H7102" s="2"/>
      <c r="I7102" s="2"/>
      <c r="J7102" s="2"/>
      <c r="K7102" s="2"/>
      <c r="L7102" s="2"/>
      <c r="M7102" s="2"/>
      <c r="N7102" s="2"/>
      <c r="O7102" s="2"/>
      <c r="P7102" s="2"/>
      <c r="Q7102" s="2"/>
      <c r="R7102" s="2"/>
      <c r="S7102" s="2"/>
      <c r="T7102" s="2"/>
      <c r="U7102" s="2"/>
      <c r="V7102" s="2"/>
      <c r="W7102" s="2"/>
    </row>
    <row r="7103" spans="1:23" x14ac:dyDescent="0.25">
      <c r="A7103" s="2"/>
      <c r="B7103" s="2"/>
      <c r="C7103" s="1"/>
      <c r="D7103" s="2"/>
      <c r="E7103" s="2"/>
      <c r="F7103" s="2"/>
      <c r="G7103" s="2"/>
      <c r="H7103" s="2"/>
      <c r="I7103" s="2"/>
      <c r="J7103" s="2"/>
      <c r="K7103" s="2"/>
      <c r="L7103" s="2"/>
      <c r="M7103" s="2"/>
      <c r="N7103" s="2"/>
      <c r="O7103" s="2"/>
      <c r="P7103" s="2"/>
      <c r="Q7103" s="2"/>
      <c r="R7103" s="2"/>
      <c r="S7103" s="2"/>
      <c r="T7103" s="2"/>
      <c r="U7103" s="2"/>
      <c r="V7103" s="2"/>
      <c r="W7103" s="2"/>
    </row>
    <row r="7104" spans="1:23" x14ac:dyDescent="0.25">
      <c r="A7104" s="2"/>
      <c r="B7104" s="2"/>
      <c r="C7104" s="1"/>
      <c r="D7104" s="2"/>
      <c r="E7104" s="2"/>
      <c r="F7104" s="2"/>
      <c r="G7104" s="2"/>
      <c r="H7104" s="2"/>
      <c r="I7104" s="2"/>
      <c r="J7104" s="2"/>
      <c r="K7104" s="2"/>
      <c r="L7104" s="2"/>
      <c r="M7104" s="2"/>
      <c r="N7104" s="2"/>
      <c r="O7104" s="2"/>
      <c r="P7104" s="2"/>
      <c r="Q7104" s="2"/>
      <c r="R7104" s="2"/>
      <c r="S7104" s="2"/>
      <c r="T7104" s="2"/>
      <c r="U7104" s="2"/>
      <c r="V7104" s="2"/>
      <c r="W7104" s="2"/>
    </row>
    <row r="7105" spans="1:23" x14ac:dyDescent="0.25">
      <c r="A7105" s="2"/>
      <c r="B7105" s="2"/>
      <c r="C7105" s="1"/>
      <c r="D7105" s="2"/>
      <c r="E7105" s="2"/>
      <c r="F7105" s="2"/>
      <c r="G7105" s="2"/>
      <c r="H7105" s="2"/>
      <c r="I7105" s="2"/>
      <c r="J7105" s="2"/>
      <c r="K7105" s="2"/>
      <c r="L7105" s="2"/>
      <c r="M7105" s="2"/>
      <c r="N7105" s="2"/>
      <c r="O7105" s="2"/>
      <c r="P7105" s="2"/>
      <c r="Q7105" s="2"/>
      <c r="R7105" s="2"/>
      <c r="S7105" s="2"/>
      <c r="T7105" s="2"/>
      <c r="U7105" s="2"/>
      <c r="V7105" s="2"/>
      <c r="W7105" s="2"/>
    </row>
    <row r="7106" spans="1:23" x14ac:dyDescent="0.25">
      <c r="A7106" s="2"/>
      <c r="B7106" s="2"/>
      <c r="C7106" s="1"/>
      <c r="D7106" s="2"/>
      <c r="E7106" s="2"/>
      <c r="F7106" s="2"/>
      <c r="G7106" s="2"/>
      <c r="H7106" s="2"/>
      <c r="I7106" s="2"/>
      <c r="J7106" s="2"/>
      <c r="K7106" s="2"/>
      <c r="L7106" s="2"/>
      <c r="M7106" s="2"/>
      <c r="N7106" s="2"/>
      <c r="O7106" s="2"/>
      <c r="P7106" s="2"/>
      <c r="Q7106" s="2"/>
      <c r="R7106" s="2"/>
      <c r="S7106" s="2"/>
      <c r="T7106" s="2"/>
      <c r="U7106" s="2"/>
      <c r="V7106" s="2"/>
      <c r="W7106" s="2"/>
    </row>
    <row r="7107" spans="1:23" x14ac:dyDescent="0.25">
      <c r="A7107" s="2"/>
      <c r="B7107" s="2"/>
      <c r="C7107" s="1"/>
      <c r="D7107" s="2"/>
      <c r="E7107" s="2"/>
      <c r="F7107" s="2"/>
      <c r="G7107" s="2"/>
      <c r="H7107" s="2"/>
      <c r="I7107" s="2"/>
      <c r="J7107" s="2"/>
      <c r="K7107" s="2"/>
      <c r="L7107" s="2"/>
      <c r="M7107" s="2"/>
      <c r="N7107" s="2"/>
      <c r="O7107" s="2"/>
      <c r="P7107" s="2"/>
      <c r="Q7107" s="2"/>
      <c r="R7107" s="2"/>
      <c r="S7107" s="2"/>
      <c r="T7107" s="2"/>
      <c r="U7107" s="2"/>
      <c r="V7107" s="2"/>
      <c r="W7107" s="2"/>
    </row>
    <row r="7108" spans="1:23" x14ac:dyDescent="0.25">
      <c r="A7108" s="2"/>
      <c r="B7108" s="2"/>
      <c r="C7108" s="1"/>
      <c r="D7108" s="2"/>
      <c r="E7108" s="2"/>
      <c r="F7108" s="2"/>
      <c r="G7108" s="2"/>
      <c r="H7108" s="2"/>
      <c r="I7108" s="2"/>
      <c r="J7108" s="2"/>
      <c r="K7108" s="2"/>
      <c r="L7108" s="2"/>
      <c r="M7108" s="2"/>
      <c r="N7108" s="2"/>
      <c r="O7108" s="2"/>
      <c r="P7108" s="2"/>
      <c r="Q7108" s="2"/>
      <c r="R7108" s="2"/>
      <c r="S7108" s="2"/>
      <c r="T7108" s="2"/>
      <c r="U7108" s="2"/>
      <c r="V7108" s="2"/>
      <c r="W7108" s="2"/>
    </row>
    <row r="7109" spans="1:23" x14ac:dyDescent="0.25">
      <c r="A7109" s="2"/>
      <c r="B7109" s="2"/>
      <c r="C7109" s="1"/>
      <c r="D7109" s="2"/>
      <c r="E7109" s="2"/>
      <c r="F7109" s="2"/>
      <c r="G7109" s="2"/>
      <c r="H7109" s="2"/>
      <c r="I7109" s="2"/>
      <c r="J7109" s="2"/>
      <c r="K7109" s="2"/>
      <c r="L7109" s="2"/>
      <c r="M7109" s="2"/>
      <c r="N7109" s="2"/>
      <c r="O7109" s="2"/>
      <c r="P7109" s="2"/>
      <c r="Q7109" s="2"/>
      <c r="R7109" s="2"/>
      <c r="S7109" s="2"/>
      <c r="T7109" s="2"/>
      <c r="U7109" s="2"/>
      <c r="V7109" s="2"/>
      <c r="W7109" s="2"/>
    </row>
    <row r="7110" spans="1:23" x14ac:dyDescent="0.25">
      <c r="A7110" s="2"/>
      <c r="B7110" s="2"/>
      <c r="C7110" s="1"/>
      <c r="D7110" s="2"/>
      <c r="E7110" s="2"/>
      <c r="F7110" s="2"/>
      <c r="G7110" s="2"/>
      <c r="H7110" s="2"/>
      <c r="I7110" s="2"/>
      <c r="J7110" s="2"/>
      <c r="K7110" s="2"/>
      <c r="L7110" s="2"/>
      <c r="M7110" s="2"/>
      <c r="N7110" s="2"/>
      <c r="O7110" s="2"/>
      <c r="P7110" s="2"/>
      <c r="Q7110" s="2"/>
      <c r="R7110" s="2"/>
      <c r="S7110" s="2"/>
      <c r="T7110" s="2"/>
      <c r="U7110" s="2"/>
      <c r="V7110" s="2"/>
      <c r="W7110" s="2"/>
    </row>
    <row r="7111" spans="1:23" x14ac:dyDescent="0.25">
      <c r="A7111" s="2"/>
      <c r="B7111" s="2"/>
      <c r="C7111" s="1"/>
      <c r="D7111" s="2"/>
      <c r="E7111" s="2"/>
      <c r="F7111" s="2"/>
      <c r="G7111" s="2"/>
      <c r="H7111" s="2"/>
      <c r="I7111" s="2"/>
      <c r="J7111" s="2"/>
      <c r="K7111" s="2"/>
      <c r="L7111" s="2"/>
      <c r="M7111" s="2"/>
      <c r="N7111" s="2"/>
      <c r="O7111" s="2"/>
      <c r="P7111" s="2"/>
      <c r="Q7111" s="2"/>
      <c r="R7111" s="2"/>
      <c r="S7111" s="2"/>
      <c r="T7111" s="2"/>
      <c r="U7111" s="2"/>
      <c r="V7111" s="2"/>
      <c r="W7111" s="2"/>
    </row>
    <row r="7112" spans="1:23" x14ac:dyDescent="0.25">
      <c r="A7112" s="2"/>
      <c r="B7112" s="2"/>
      <c r="C7112" s="1"/>
      <c r="D7112" s="2"/>
      <c r="E7112" s="2"/>
      <c r="F7112" s="2"/>
      <c r="G7112" s="2"/>
      <c r="H7112" s="2"/>
      <c r="I7112" s="2"/>
      <c r="J7112" s="2"/>
      <c r="K7112" s="2"/>
      <c r="L7112" s="2"/>
      <c r="M7112" s="2"/>
      <c r="N7112" s="2"/>
      <c r="O7112" s="2"/>
      <c r="P7112" s="2"/>
      <c r="Q7112" s="2"/>
      <c r="R7112" s="2"/>
      <c r="S7112" s="2"/>
      <c r="T7112" s="2"/>
      <c r="U7112" s="2"/>
      <c r="V7112" s="2"/>
      <c r="W7112" s="2"/>
    </row>
    <row r="7113" spans="1:23" x14ac:dyDescent="0.25">
      <c r="A7113" s="2"/>
      <c r="B7113" s="2"/>
      <c r="C7113" s="1"/>
      <c r="D7113" s="2"/>
      <c r="E7113" s="2"/>
      <c r="F7113" s="2"/>
      <c r="G7113" s="2"/>
      <c r="H7113" s="2"/>
      <c r="I7113" s="2"/>
      <c r="J7113" s="2"/>
      <c r="K7113" s="2"/>
      <c r="L7113" s="2"/>
      <c r="M7113" s="2"/>
      <c r="N7113" s="2"/>
      <c r="O7113" s="2"/>
      <c r="P7113" s="2"/>
      <c r="Q7113" s="2"/>
      <c r="R7113" s="2"/>
      <c r="S7113" s="2"/>
      <c r="T7113" s="2"/>
      <c r="U7113" s="2"/>
      <c r="V7113" s="2"/>
      <c r="W7113" s="2"/>
    </row>
    <row r="7114" spans="1:23" x14ac:dyDescent="0.25">
      <c r="A7114" s="2"/>
      <c r="B7114" s="2"/>
      <c r="C7114" s="1"/>
      <c r="D7114" s="2"/>
      <c r="E7114" s="2"/>
      <c r="F7114" s="2"/>
      <c r="G7114" s="2"/>
      <c r="H7114" s="2"/>
      <c r="I7114" s="2"/>
      <c r="J7114" s="2"/>
      <c r="K7114" s="2"/>
      <c r="L7114" s="2"/>
      <c r="M7114" s="2"/>
      <c r="N7114" s="2"/>
      <c r="O7114" s="2"/>
      <c r="P7114" s="2"/>
      <c r="Q7114" s="2"/>
      <c r="R7114" s="2"/>
      <c r="S7114" s="2"/>
      <c r="T7114" s="2"/>
      <c r="U7114" s="2"/>
      <c r="V7114" s="2"/>
      <c r="W7114" s="2"/>
    </row>
    <row r="7115" spans="1:23" x14ac:dyDescent="0.25">
      <c r="A7115" s="2"/>
      <c r="B7115" s="2"/>
      <c r="C7115" s="1"/>
      <c r="D7115" s="2"/>
      <c r="E7115" s="2"/>
      <c r="F7115" s="2"/>
      <c r="G7115" s="2"/>
      <c r="H7115" s="2"/>
      <c r="I7115" s="2"/>
      <c r="J7115" s="2"/>
      <c r="K7115" s="2"/>
      <c r="L7115" s="2"/>
      <c r="M7115" s="2"/>
      <c r="N7115" s="2"/>
      <c r="O7115" s="2"/>
      <c r="P7115" s="2"/>
      <c r="Q7115" s="2"/>
      <c r="R7115" s="2"/>
      <c r="S7115" s="2"/>
      <c r="T7115" s="2"/>
      <c r="U7115" s="2"/>
      <c r="V7115" s="2"/>
      <c r="W7115" s="2"/>
    </row>
    <row r="7116" spans="1:23" x14ac:dyDescent="0.25">
      <c r="A7116" s="2"/>
      <c r="B7116" s="2"/>
      <c r="C7116" s="1"/>
      <c r="D7116" s="2"/>
      <c r="E7116" s="2"/>
      <c r="F7116" s="2"/>
      <c r="G7116" s="2"/>
      <c r="H7116" s="2"/>
      <c r="I7116" s="2"/>
      <c r="J7116" s="2"/>
      <c r="K7116" s="2"/>
      <c r="L7116" s="2"/>
      <c r="M7116" s="2"/>
      <c r="N7116" s="2"/>
      <c r="O7116" s="2"/>
      <c r="P7116" s="2"/>
      <c r="Q7116" s="2"/>
      <c r="R7116" s="2"/>
      <c r="S7116" s="2"/>
      <c r="T7116" s="2"/>
      <c r="U7116" s="2"/>
      <c r="V7116" s="2"/>
      <c r="W7116" s="2"/>
    </row>
    <row r="7117" spans="1:23" x14ac:dyDescent="0.25">
      <c r="A7117" s="2"/>
      <c r="B7117" s="2"/>
      <c r="C7117" s="1"/>
      <c r="D7117" s="2"/>
      <c r="E7117" s="2"/>
      <c r="F7117" s="2"/>
      <c r="G7117" s="2"/>
      <c r="H7117" s="2"/>
      <c r="I7117" s="2"/>
      <c r="J7117" s="2"/>
      <c r="K7117" s="2"/>
      <c r="L7117" s="2"/>
      <c r="M7117" s="2"/>
      <c r="N7117" s="2"/>
      <c r="O7117" s="2"/>
      <c r="P7117" s="2"/>
      <c r="Q7117" s="2"/>
      <c r="R7117" s="2"/>
      <c r="S7117" s="2"/>
      <c r="T7117" s="2"/>
      <c r="U7117" s="2"/>
      <c r="V7117" s="2"/>
      <c r="W7117" s="2"/>
    </row>
    <row r="7118" spans="1:23" x14ac:dyDescent="0.25">
      <c r="A7118" s="2"/>
      <c r="B7118" s="2"/>
      <c r="C7118" s="1"/>
      <c r="D7118" s="2"/>
      <c r="E7118" s="2"/>
      <c r="F7118" s="2"/>
      <c r="G7118" s="2"/>
      <c r="H7118" s="2"/>
      <c r="I7118" s="2"/>
      <c r="J7118" s="2"/>
      <c r="K7118" s="2"/>
      <c r="L7118" s="2"/>
      <c r="M7118" s="2"/>
      <c r="N7118" s="2"/>
      <c r="O7118" s="2"/>
      <c r="P7118" s="2"/>
      <c r="Q7118" s="2"/>
      <c r="R7118" s="2"/>
      <c r="S7118" s="2"/>
      <c r="T7118" s="2"/>
      <c r="U7118" s="2"/>
      <c r="V7118" s="2"/>
      <c r="W7118" s="2"/>
    </row>
    <row r="7119" spans="1:23" x14ac:dyDescent="0.25">
      <c r="A7119" s="2"/>
      <c r="B7119" s="2"/>
      <c r="C7119" s="1"/>
      <c r="D7119" s="2"/>
      <c r="E7119" s="2"/>
      <c r="F7119" s="2"/>
      <c r="G7119" s="2"/>
      <c r="H7119" s="2"/>
      <c r="I7119" s="2"/>
      <c r="J7119" s="2"/>
      <c r="K7119" s="2"/>
      <c r="L7119" s="2"/>
      <c r="M7119" s="2"/>
      <c r="N7119" s="2"/>
      <c r="O7119" s="2"/>
      <c r="P7119" s="2"/>
      <c r="Q7119" s="2"/>
      <c r="R7119" s="2"/>
      <c r="S7119" s="2"/>
      <c r="T7119" s="2"/>
      <c r="U7119" s="2"/>
      <c r="V7119" s="2"/>
      <c r="W7119" s="2"/>
    </row>
    <row r="7120" spans="1:23" x14ac:dyDescent="0.25">
      <c r="A7120" s="2"/>
      <c r="B7120" s="2"/>
      <c r="C7120" s="1"/>
      <c r="D7120" s="2"/>
      <c r="E7120" s="2"/>
      <c r="F7120" s="2"/>
      <c r="G7120" s="2"/>
      <c r="H7120" s="2"/>
      <c r="I7120" s="2"/>
      <c r="J7120" s="2"/>
      <c r="K7120" s="2"/>
      <c r="L7120" s="2"/>
      <c r="M7120" s="2"/>
      <c r="N7120" s="2"/>
      <c r="O7120" s="2"/>
      <c r="P7120" s="2"/>
      <c r="Q7120" s="2"/>
      <c r="R7120" s="2"/>
      <c r="S7120" s="2"/>
      <c r="T7120" s="2"/>
      <c r="U7120" s="2"/>
      <c r="V7120" s="2"/>
      <c r="W7120" s="2"/>
    </row>
    <row r="7121" spans="1:23" x14ac:dyDescent="0.25">
      <c r="A7121" s="2"/>
      <c r="B7121" s="2"/>
      <c r="C7121" s="1"/>
      <c r="D7121" s="2"/>
      <c r="E7121" s="2"/>
      <c r="F7121" s="2"/>
      <c r="G7121" s="2"/>
      <c r="H7121" s="2"/>
      <c r="I7121" s="2"/>
      <c r="J7121" s="2"/>
      <c r="K7121" s="2"/>
      <c r="L7121" s="2"/>
      <c r="M7121" s="2"/>
      <c r="N7121" s="2"/>
      <c r="O7121" s="2"/>
      <c r="P7121" s="2"/>
      <c r="Q7121" s="2"/>
      <c r="R7121" s="2"/>
      <c r="S7121" s="2"/>
      <c r="T7121" s="2"/>
      <c r="U7121" s="2"/>
      <c r="V7121" s="2"/>
      <c r="W7121" s="2"/>
    </row>
    <row r="7122" spans="1:23" x14ac:dyDescent="0.25">
      <c r="A7122" s="2"/>
      <c r="B7122" s="2"/>
      <c r="C7122" s="1"/>
      <c r="D7122" s="2"/>
      <c r="E7122" s="2"/>
      <c r="F7122" s="2"/>
      <c r="G7122" s="2"/>
      <c r="H7122" s="2"/>
      <c r="I7122" s="2"/>
      <c r="J7122" s="2"/>
      <c r="K7122" s="2"/>
      <c r="L7122" s="2"/>
      <c r="M7122" s="2"/>
      <c r="N7122" s="2"/>
      <c r="O7122" s="2"/>
      <c r="P7122" s="2"/>
      <c r="Q7122" s="2"/>
      <c r="R7122" s="2"/>
      <c r="S7122" s="2"/>
      <c r="T7122" s="2"/>
      <c r="U7122" s="2"/>
      <c r="V7122" s="2"/>
      <c r="W7122" s="2"/>
    </row>
    <row r="7123" spans="1:23" x14ac:dyDescent="0.25">
      <c r="A7123" s="2"/>
      <c r="B7123" s="2"/>
      <c r="C7123" s="1"/>
      <c r="D7123" s="2"/>
      <c r="E7123" s="2"/>
      <c r="F7123" s="2"/>
      <c r="G7123" s="2"/>
      <c r="H7123" s="2"/>
      <c r="I7123" s="2"/>
      <c r="J7123" s="2"/>
      <c r="K7123" s="2"/>
      <c r="L7123" s="2"/>
      <c r="M7123" s="2"/>
      <c r="N7123" s="2"/>
      <c r="O7123" s="2"/>
      <c r="P7123" s="2"/>
      <c r="Q7123" s="2"/>
      <c r="R7123" s="2"/>
      <c r="S7123" s="2"/>
      <c r="T7123" s="2"/>
      <c r="U7123" s="2"/>
      <c r="V7123" s="2"/>
      <c r="W7123" s="2"/>
    </row>
    <row r="7124" spans="1:23" x14ac:dyDescent="0.25">
      <c r="A7124" s="2"/>
      <c r="B7124" s="2"/>
      <c r="C7124" s="1"/>
      <c r="D7124" s="2"/>
      <c r="E7124" s="2"/>
      <c r="F7124" s="2"/>
      <c r="G7124" s="2"/>
      <c r="H7124" s="2"/>
      <c r="I7124" s="2"/>
      <c r="J7124" s="2"/>
      <c r="K7124" s="2"/>
      <c r="L7124" s="2"/>
      <c r="M7124" s="2"/>
      <c r="N7124" s="2"/>
      <c r="O7124" s="2"/>
      <c r="P7124" s="2"/>
      <c r="Q7124" s="2"/>
      <c r="R7124" s="2"/>
      <c r="S7124" s="2"/>
      <c r="T7124" s="2"/>
      <c r="U7124" s="2"/>
      <c r="V7124" s="2"/>
      <c r="W7124" s="2"/>
    </row>
    <row r="7125" spans="1:23" x14ac:dyDescent="0.25">
      <c r="A7125" s="2"/>
      <c r="B7125" s="2"/>
      <c r="C7125" s="1"/>
      <c r="D7125" s="2"/>
      <c r="E7125" s="2"/>
      <c r="F7125" s="2"/>
      <c r="G7125" s="2"/>
      <c r="H7125" s="2"/>
      <c r="I7125" s="2"/>
      <c r="J7125" s="2"/>
      <c r="K7125" s="2"/>
      <c r="L7125" s="2"/>
      <c r="M7125" s="2"/>
      <c r="N7125" s="2"/>
      <c r="O7125" s="2"/>
      <c r="P7125" s="2"/>
      <c r="Q7125" s="2"/>
      <c r="R7125" s="2"/>
      <c r="S7125" s="2"/>
      <c r="T7125" s="2"/>
      <c r="U7125" s="2"/>
      <c r="V7125" s="2"/>
      <c r="W7125" s="2"/>
    </row>
    <row r="7126" spans="1:23" x14ac:dyDescent="0.25">
      <c r="A7126" s="2"/>
      <c r="B7126" s="2"/>
      <c r="C7126" s="1"/>
      <c r="D7126" s="2"/>
      <c r="E7126" s="2"/>
      <c r="F7126" s="2"/>
      <c r="G7126" s="2"/>
      <c r="H7126" s="2"/>
      <c r="I7126" s="2"/>
      <c r="J7126" s="2"/>
      <c r="K7126" s="2"/>
      <c r="L7126" s="2"/>
      <c r="M7126" s="2"/>
      <c r="N7126" s="2"/>
      <c r="O7126" s="2"/>
      <c r="P7126" s="2"/>
      <c r="Q7126" s="2"/>
      <c r="R7126" s="2"/>
      <c r="S7126" s="2"/>
      <c r="T7126" s="2"/>
      <c r="U7126" s="2"/>
      <c r="V7126" s="2"/>
      <c r="W7126" s="2"/>
    </row>
    <row r="7127" spans="1:23" x14ac:dyDescent="0.25">
      <c r="A7127" s="2"/>
      <c r="B7127" s="2"/>
      <c r="C7127" s="1"/>
      <c r="D7127" s="2"/>
      <c r="E7127" s="2"/>
      <c r="F7127" s="2"/>
      <c r="G7127" s="2"/>
      <c r="H7127" s="2"/>
      <c r="I7127" s="2"/>
      <c r="J7127" s="2"/>
      <c r="K7127" s="2"/>
      <c r="L7127" s="2"/>
      <c r="M7127" s="2"/>
      <c r="N7127" s="2"/>
      <c r="O7127" s="2"/>
      <c r="P7127" s="2"/>
      <c r="Q7127" s="2"/>
      <c r="R7127" s="2"/>
      <c r="S7127" s="2"/>
      <c r="T7127" s="2"/>
      <c r="U7127" s="2"/>
      <c r="V7127" s="2"/>
      <c r="W7127" s="2"/>
    </row>
    <row r="7128" spans="1:23" x14ac:dyDescent="0.25">
      <c r="A7128" s="2"/>
      <c r="B7128" s="2"/>
      <c r="C7128" s="1"/>
      <c r="D7128" s="2"/>
      <c r="E7128" s="2"/>
      <c r="F7128" s="2"/>
      <c r="G7128" s="2"/>
      <c r="H7128" s="2"/>
      <c r="I7128" s="2"/>
      <c r="J7128" s="2"/>
      <c r="K7128" s="2"/>
      <c r="L7128" s="2"/>
      <c r="M7128" s="2"/>
      <c r="N7128" s="2"/>
      <c r="O7128" s="2"/>
      <c r="P7128" s="2"/>
      <c r="Q7128" s="2"/>
      <c r="R7128" s="2"/>
      <c r="S7128" s="2"/>
      <c r="T7128" s="2"/>
      <c r="U7128" s="2"/>
      <c r="V7128" s="2"/>
      <c r="W7128" s="2"/>
    </row>
    <row r="7129" spans="1:23" x14ac:dyDescent="0.25">
      <c r="A7129" s="2"/>
      <c r="B7129" s="2"/>
      <c r="C7129" s="1"/>
      <c r="D7129" s="2"/>
      <c r="E7129" s="2"/>
      <c r="F7129" s="2"/>
      <c r="G7129" s="2"/>
      <c r="H7129" s="2"/>
      <c r="I7129" s="2"/>
      <c r="J7129" s="2"/>
      <c r="K7129" s="2"/>
      <c r="L7129" s="2"/>
      <c r="M7129" s="2"/>
      <c r="N7129" s="2"/>
      <c r="O7129" s="2"/>
      <c r="P7129" s="2"/>
      <c r="Q7129" s="2"/>
      <c r="R7129" s="2"/>
      <c r="S7129" s="2"/>
      <c r="T7129" s="2"/>
      <c r="U7129" s="2"/>
      <c r="V7129" s="2"/>
      <c r="W7129" s="2"/>
    </row>
    <row r="7130" spans="1:23" x14ac:dyDescent="0.25">
      <c r="A7130" s="2"/>
      <c r="B7130" s="2"/>
      <c r="C7130" s="1"/>
      <c r="D7130" s="2"/>
      <c r="E7130" s="2"/>
      <c r="F7130" s="2"/>
      <c r="G7130" s="2"/>
      <c r="H7130" s="2"/>
      <c r="I7130" s="2"/>
      <c r="J7130" s="2"/>
      <c r="K7130" s="2"/>
      <c r="L7130" s="2"/>
      <c r="M7130" s="2"/>
      <c r="N7130" s="2"/>
      <c r="O7130" s="2"/>
      <c r="P7130" s="2"/>
      <c r="Q7130" s="2"/>
      <c r="R7130" s="2"/>
      <c r="S7130" s="2"/>
      <c r="T7130" s="2"/>
      <c r="U7130" s="2"/>
      <c r="V7130" s="2"/>
      <c r="W7130" s="2"/>
    </row>
    <row r="7131" spans="1:23" x14ac:dyDescent="0.25">
      <c r="A7131" s="2"/>
      <c r="B7131" s="2"/>
      <c r="C7131" s="1"/>
      <c r="D7131" s="2"/>
      <c r="E7131" s="2"/>
      <c r="F7131" s="2"/>
      <c r="G7131" s="2"/>
      <c r="H7131" s="2"/>
      <c r="I7131" s="2"/>
      <c r="J7131" s="2"/>
      <c r="K7131" s="2"/>
      <c r="L7131" s="2"/>
      <c r="M7131" s="2"/>
      <c r="N7131" s="2"/>
      <c r="O7131" s="2"/>
      <c r="P7131" s="2"/>
      <c r="Q7131" s="2"/>
      <c r="R7131" s="2"/>
      <c r="S7131" s="2"/>
      <c r="T7131" s="2"/>
      <c r="U7131" s="2"/>
      <c r="V7131" s="2"/>
      <c r="W7131" s="2"/>
    </row>
    <row r="7132" spans="1:23" x14ac:dyDescent="0.25">
      <c r="A7132" s="2"/>
      <c r="B7132" s="2"/>
      <c r="C7132" s="1"/>
      <c r="D7132" s="2"/>
      <c r="E7132" s="2"/>
      <c r="F7132" s="2"/>
      <c r="G7132" s="2"/>
      <c r="H7132" s="2"/>
      <c r="I7132" s="2"/>
      <c r="J7132" s="2"/>
      <c r="K7132" s="2"/>
      <c r="L7132" s="2"/>
      <c r="M7132" s="2"/>
      <c r="N7132" s="2"/>
      <c r="O7132" s="2"/>
      <c r="P7132" s="2"/>
      <c r="Q7132" s="2"/>
      <c r="R7132" s="2"/>
      <c r="S7132" s="2"/>
      <c r="T7132" s="2"/>
      <c r="U7132" s="2"/>
      <c r="V7132" s="2"/>
      <c r="W7132" s="2"/>
    </row>
    <row r="7133" spans="1:23" x14ac:dyDescent="0.25">
      <c r="A7133" s="2"/>
      <c r="B7133" s="2"/>
      <c r="C7133" s="1"/>
      <c r="D7133" s="2"/>
      <c r="E7133" s="2"/>
      <c r="F7133" s="2"/>
      <c r="G7133" s="2"/>
      <c r="H7133" s="2"/>
      <c r="I7133" s="2"/>
      <c r="J7133" s="2"/>
      <c r="K7133" s="2"/>
      <c r="L7133" s="2"/>
      <c r="M7133" s="2"/>
      <c r="N7133" s="2"/>
      <c r="O7133" s="2"/>
      <c r="P7133" s="2"/>
      <c r="Q7133" s="2"/>
      <c r="R7133" s="2"/>
      <c r="S7133" s="2"/>
      <c r="T7133" s="2"/>
      <c r="U7133" s="2"/>
      <c r="V7133" s="2"/>
      <c r="W7133" s="2"/>
    </row>
    <row r="7134" spans="1:23" x14ac:dyDescent="0.25">
      <c r="A7134" s="2"/>
      <c r="B7134" s="2"/>
      <c r="C7134" s="1"/>
      <c r="D7134" s="2"/>
      <c r="E7134" s="2"/>
      <c r="F7134" s="2"/>
      <c r="G7134" s="2"/>
      <c r="H7134" s="2"/>
      <c r="I7134" s="2"/>
      <c r="J7134" s="2"/>
      <c r="K7134" s="2"/>
      <c r="L7134" s="2"/>
      <c r="M7134" s="2"/>
      <c r="N7134" s="2"/>
      <c r="O7134" s="2"/>
      <c r="P7134" s="2"/>
      <c r="Q7134" s="2"/>
      <c r="R7134" s="2"/>
      <c r="S7134" s="2"/>
      <c r="T7134" s="2"/>
      <c r="U7134" s="2"/>
      <c r="V7134" s="2"/>
      <c r="W7134" s="2"/>
    </row>
    <row r="7135" spans="1:23" x14ac:dyDescent="0.25">
      <c r="A7135" s="2"/>
      <c r="B7135" s="2"/>
      <c r="C7135" s="1"/>
      <c r="D7135" s="2"/>
      <c r="E7135" s="2"/>
      <c r="F7135" s="2"/>
      <c r="G7135" s="2"/>
      <c r="H7135" s="2"/>
      <c r="I7135" s="2"/>
      <c r="J7135" s="2"/>
      <c r="K7135" s="2"/>
      <c r="L7135" s="2"/>
      <c r="M7135" s="2"/>
      <c r="N7135" s="2"/>
      <c r="O7135" s="2"/>
      <c r="P7135" s="2"/>
      <c r="Q7135" s="2"/>
      <c r="R7135" s="2"/>
      <c r="S7135" s="2"/>
      <c r="T7135" s="2"/>
      <c r="U7135" s="2"/>
      <c r="V7135" s="2"/>
      <c r="W7135" s="2"/>
    </row>
    <row r="7136" spans="1:23" x14ac:dyDescent="0.25">
      <c r="A7136" s="2"/>
      <c r="B7136" s="2"/>
      <c r="C7136" s="1"/>
      <c r="D7136" s="2"/>
      <c r="E7136" s="2"/>
      <c r="F7136" s="2"/>
      <c r="G7136" s="2"/>
      <c r="H7136" s="2"/>
      <c r="I7136" s="2"/>
      <c r="J7136" s="2"/>
      <c r="K7136" s="2"/>
      <c r="L7136" s="2"/>
      <c r="M7136" s="2"/>
      <c r="N7136" s="2"/>
      <c r="O7136" s="2"/>
      <c r="P7136" s="2"/>
      <c r="Q7136" s="2"/>
      <c r="R7136" s="2"/>
      <c r="S7136" s="2"/>
      <c r="T7136" s="2"/>
      <c r="U7136" s="2"/>
      <c r="V7136" s="2"/>
      <c r="W7136" s="2"/>
    </row>
    <row r="7137" spans="1:23" x14ac:dyDescent="0.25">
      <c r="A7137" s="2"/>
      <c r="B7137" s="2"/>
      <c r="C7137" s="1"/>
      <c r="D7137" s="2"/>
      <c r="E7137" s="2"/>
      <c r="F7137" s="2"/>
      <c r="G7137" s="2"/>
      <c r="H7137" s="2"/>
      <c r="I7137" s="2"/>
      <c r="J7137" s="2"/>
      <c r="K7137" s="2"/>
      <c r="L7137" s="2"/>
      <c r="M7137" s="2"/>
      <c r="N7137" s="2"/>
      <c r="O7137" s="2"/>
      <c r="P7137" s="2"/>
      <c r="Q7137" s="2"/>
      <c r="R7137" s="2"/>
      <c r="S7137" s="2"/>
      <c r="T7137" s="2"/>
      <c r="U7137" s="2"/>
      <c r="V7137" s="2"/>
      <c r="W7137" s="2"/>
    </row>
    <row r="7138" spans="1:23" x14ac:dyDescent="0.25">
      <c r="A7138" s="2"/>
      <c r="B7138" s="2"/>
      <c r="C7138" s="1"/>
      <c r="D7138" s="2"/>
      <c r="E7138" s="2"/>
      <c r="F7138" s="2"/>
      <c r="G7138" s="2"/>
      <c r="H7138" s="2"/>
      <c r="I7138" s="2"/>
      <c r="J7138" s="2"/>
      <c r="K7138" s="2"/>
      <c r="L7138" s="2"/>
      <c r="M7138" s="2"/>
      <c r="N7138" s="2"/>
      <c r="O7138" s="2"/>
      <c r="P7138" s="2"/>
      <c r="Q7138" s="2"/>
      <c r="R7138" s="2"/>
      <c r="S7138" s="2"/>
      <c r="T7138" s="2"/>
      <c r="U7138" s="2"/>
      <c r="V7138" s="2"/>
      <c r="W7138" s="2"/>
    </row>
    <row r="7139" spans="1:23" x14ac:dyDescent="0.25">
      <c r="A7139" s="2"/>
      <c r="B7139" s="2"/>
      <c r="C7139" s="1"/>
      <c r="D7139" s="2"/>
      <c r="E7139" s="2"/>
      <c r="F7139" s="2"/>
      <c r="G7139" s="2"/>
      <c r="H7139" s="2"/>
      <c r="I7139" s="2"/>
      <c r="J7139" s="2"/>
      <c r="K7139" s="2"/>
      <c r="L7139" s="2"/>
      <c r="M7139" s="2"/>
      <c r="N7139" s="2"/>
      <c r="O7139" s="2"/>
      <c r="P7139" s="2"/>
      <c r="Q7139" s="2"/>
      <c r="R7139" s="2"/>
      <c r="S7139" s="2"/>
      <c r="T7139" s="2"/>
      <c r="U7139" s="2"/>
      <c r="V7139" s="2"/>
      <c r="W7139" s="2"/>
    </row>
    <row r="7140" spans="1:23" x14ac:dyDescent="0.25">
      <c r="A7140" s="2"/>
      <c r="B7140" s="2"/>
      <c r="C7140" s="1"/>
      <c r="D7140" s="2"/>
      <c r="E7140" s="2"/>
      <c r="F7140" s="2"/>
      <c r="G7140" s="2"/>
      <c r="H7140" s="2"/>
      <c r="I7140" s="2"/>
      <c r="J7140" s="2"/>
      <c r="K7140" s="2"/>
      <c r="L7140" s="2"/>
      <c r="M7140" s="2"/>
      <c r="N7140" s="2"/>
      <c r="O7140" s="2"/>
      <c r="P7140" s="2"/>
      <c r="Q7140" s="2"/>
      <c r="R7140" s="2"/>
      <c r="S7140" s="2"/>
      <c r="T7140" s="2"/>
      <c r="U7140" s="2"/>
      <c r="V7140" s="2"/>
      <c r="W7140" s="2"/>
    </row>
    <row r="7141" spans="1:23" x14ac:dyDescent="0.25">
      <c r="A7141" s="2"/>
      <c r="B7141" s="2"/>
      <c r="C7141" s="1"/>
      <c r="D7141" s="2"/>
      <c r="E7141" s="2"/>
      <c r="F7141" s="2"/>
      <c r="G7141" s="2"/>
      <c r="H7141" s="2"/>
      <c r="I7141" s="2"/>
      <c r="J7141" s="2"/>
      <c r="K7141" s="2"/>
      <c r="L7141" s="2"/>
      <c r="M7141" s="2"/>
      <c r="N7141" s="2"/>
      <c r="O7141" s="2"/>
      <c r="P7141" s="2"/>
      <c r="Q7141" s="2"/>
      <c r="R7141" s="2"/>
      <c r="S7141" s="2"/>
      <c r="T7141" s="2"/>
      <c r="U7141" s="2"/>
      <c r="V7141" s="2"/>
      <c r="W7141" s="2"/>
    </row>
    <row r="7142" spans="1:23" x14ac:dyDescent="0.25">
      <c r="A7142" s="2"/>
      <c r="B7142" s="2"/>
      <c r="C7142" s="1"/>
      <c r="D7142" s="2"/>
      <c r="E7142" s="2"/>
      <c r="F7142" s="2"/>
      <c r="G7142" s="2"/>
      <c r="H7142" s="2"/>
      <c r="I7142" s="2"/>
      <c r="J7142" s="2"/>
      <c r="K7142" s="2"/>
      <c r="L7142" s="2"/>
      <c r="M7142" s="2"/>
      <c r="N7142" s="2"/>
      <c r="O7142" s="2"/>
      <c r="P7142" s="2"/>
      <c r="Q7142" s="2"/>
      <c r="R7142" s="2"/>
      <c r="S7142" s="2"/>
      <c r="T7142" s="2"/>
      <c r="U7142" s="2"/>
      <c r="V7142" s="2"/>
      <c r="W7142" s="2"/>
    </row>
    <row r="7143" spans="1:23" x14ac:dyDescent="0.25">
      <c r="A7143" s="2"/>
      <c r="B7143" s="2"/>
      <c r="C7143" s="1"/>
      <c r="D7143" s="2"/>
      <c r="E7143" s="2"/>
      <c r="F7143" s="2"/>
      <c r="G7143" s="2"/>
      <c r="H7143" s="2"/>
      <c r="I7143" s="2"/>
      <c r="J7143" s="2"/>
      <c r="K7143" s="2"/>
      <c r="L7143" s="2"/>
      <c r="M7143" s="2"/>
      <c r="N7143" s="2"/>
      <c r="O7143" s="2"/>
      <c r="P7143" s="2"/>
      <c r="Q7143" s="2"/>
      <c r="R7143" s="2"/>
      <c r="S7143" s="2"/>
      <c r="T7143" s="2"/>
      <c r="U7143" s="2"/>
      <c r="V7143" s="2"/>
      <c r="W7143" s="2"/>
    </row>
    <row r="7144" spans="1:23" x14ac:dyDescent="0.25">
      <c r="A7144" s="2"/>
      <c r="B7144" s="2"/>
      <c r="C7144" s="1"/>
      <c r="D7144" s="2"/>
      <c r="E7144" s="2"/>
      <c r="F7144" s="2"/>
      <c r="G7144" s="2"/>
      <c r="H7144" s="2"/>
      <c r="I7144" s="2"/>
      <c r="J7144" s="2"/>
      <c r="K7144" s="2"/>
      <c r="L7144" s="2"/>
      <c r="M7144" s="2"/>
      <c r="N7144" s="2"/>
      <c r="O7144" s="2"/>
      <c r="P7144" s="2"/>
      <c r="Q7144" s="2"/>
      <c r="R7144" s="2"/>
      <c r="S7144" s="2"/>
      <c r="T7144" s="2"/>
      <c r="U7144" s="2"/>
      <c r="V7144" s="2"/>
      <c r="W7144" s="2"/>
    </row>
    <row r="7145" spans="1:23" x14ac:dyDescent="0.25">
      <c r="A7145" s="2"/>
      <c r="B7145" s="2"/>
      <c r="C7145" s="1"/>
      <c r="D7145" s="2"/>
      <c r="E7145" s="2"/>
      <c r="F7145" s="2"/>
      <c r="G7145" s="2"/>
      <c r="H7145" s="2"/>
      <c r="I7145" s="2"/>
      <c r="J7145" s="2"/>
      <c r="K7145" s="2"/>
      <c r="L7145" s="2"/>
      <c r="M7145" s="2"/>
      <c r="N7145" s="2"/>
      <c r="O7145" s="2"/>
      <c r="P7145" s="2"/>
      <c r="Q7145" s="2"/>
      <c r="R7145" s="2"/>
      <c r="S7145" s="2"/>
      <c r="T7145" s="2"/>
      <c r="U7145" s="2"/>
      <c r="V7145" s="2"/>
      <c r="W7145" s="2"/>
    </row>
    <row r="7146" spans="1:23" x14ac:dyDescent="0.25">
      <c r="A7146" s="2"/>
      <c r="B7146" s="2"/>
      <c r="C7146" s="1"/>
      <c r="D7146" s="2"/>
      <c r="E7146" s="2"/>
      <c r="F7146" s="2"/>
      <c r="G7146" s="2"/>
      <c r="H7146" s="2"/>
      <c r="I7146" s="2"/>
      <c r="J7146" s="2"/>
      <c r="K7146" s="2"/>
      <c r="L7146" s="2"/>
      <c r="M7146" s="2"/>
      <c r="N7146" s="2"/>
      <c r="O7146" s="2"/>
      <c r="P7146" s="2"/>
      <c r="Q7146" s="2"/>
      <c r="R7146" s="2"/>
      <c r="S7146" s="2"/>
      <c r="T7146" s="2"/>
      <c r="U7146" s="2"/>
      <c r="V7146" s="2"/>
      <c r="W7146" s="2"/>
    </row>
    <row r="7147" spans="1:23" x14ac:dyDescent="0.25">
      <c r="A7147" s="2"/>
      <c r="B7147" s="2"/>
      <c r="C7147" s="1"/>
      <c r="D7147" s="2"/>
      <c r="E7147" s="2"/>
      <c r="F7147" s="2"/>
      <c r="G7147" s="2"/>
      <c r="H7147" s="2"/>
      <c r="I7147" s="2"/>
      <c r="J7147" s="2"/>
      <c r="K7147" s="2"/>
      <c r="L7147" s="2"/>
      <c r="M7147" s="2"/>
      <c r="N7147" s="2"/>
      <c r="O7147" s="2"/>
      <c r="P7147" s="2"/>
      <c r="Q7147" s="2"/>
      <c r="R7147" s="2"/>
      <c r="S7147" s="2"/>
      <c r="T7147" s="2"/>
      <c r="U7147" s="2"/>
      <c r="V7147" s="2"/>
      <c r="W7147" s="2"/>
    </row>
    <row r="7148" spans="1:23" x14ac:dyDescent="0.25">
      <c r="A7148" s="2"/>
      <c r="B7148" s="2"/>
      <c r="C7148" s="1"/>
      <c r="D7148" s="2"/>
      <c r="E7148" s="2"/>
      <c r="F7148" s="2"/>
      <c r="G7148" s="2"/>
      <c r="H7148" s="2"/>
      <c r="I7148" s="2"/>
      <c r="J7148" s="2"/>
      <c r="K7148" s="2"/>
      <c r="L7148" s="2"/>
      <c r="M7148" s="2"/>
      <c r="N7148" s="2"/>
      <c r="O7148" s="2"/>
      <c r="P7148" s="2"/>
      <c r="Q7148" s="2"/>
      <c r="R7148" s="2"/>
      <c r="S7148" s="2"/>
      <c r="T7148" s="2"/>
      <c r="U7148" s="2"/>
      <c r="V7148" s="2"/>
      <c r="W7148" s="2"/>
    </row>
    <row r="7149" spans="1:23" x14ac:dyDescent="0.25">
      <c r="A7149" s="2"/>
      <c r="B7149" s="2"/>
      <c r="C7149" s="1"/>
      <c r="D7149" s="2"/>
      <c r="E7149" s="2"/>
      <c r="F7149" s="2"/>
      <c r="G7149" s="2"/>
      <c r="H7149" s="2"/>
      <c r="I7149" s="2"/>
      <c r="J7149" s="2"/>
      <c r="K7149" s="2"/>
      <c r="L7149" s="2"/>
      <c r="M7149" s="2"/>
      <c r="N7149" s="2"/>
      <c r="O7149" s="2"/>
      <c r="P7149" s="2"/>
      <c r="Q7149" s="2"/>
      <c r="R7149" s="2"/>
      <c r="S7149" s="2"/>
      <c r="T7149" s="2"/>
      <c r="U7149" s="2"/>
      <c r="V7149" s="2"/>
      <c r="W7149" s="2"/>
    </row>
    <row r="7150" spans="1:23" x14ac:dyDescent="0.25">
      <c r="A7150" s="2"/>
      <c r="B7150" s="2"/>
      <c r="C7150" s="1"/>
      <c r="D7150" s="2"/>
      <c r="E7150" s="2"/>
      <c r="F7150" s="2"/>
      <c r="G7150" s="2"/>
      <c r="H7150" s="2"/>
      <c r="I7150" s="2"/>
      <c r="J7150" s="2"/>
      <c r="K7150" s="2"/>
      <c r="L7150" s="2"/>
      <c r="M7150" s="2"/>
      <c r="N7150" s="2"/>
      <c r="O7150" s="2"/>
      <c r="P7150" s="2"/>
      <c r="Q7150" s="2"/>
      <c r="R7150" s="2"/>
      <c r="S7150" s="2"/>
      <c r="T7150" s="2"/>
      <c r="U7150" s="2"/>
      <c r="V7150" s="2"/>
      <c r="W7150" s="2"/>
    </row>
    <row r="7151" spans="1:23" x14ac:dyDescent="0.25">
      <c r="A7151" s="2"/>
      <c r="B7151" s="2"/>
      <c r="C7151" s="1"/>
      <c r="D7151" s="2"/>
      <c r="E7151" s="2"/>
      <c r="F7151" s="2"/>
      <c r="G7151" s="2"/>
      <c r="H7151" s="2"/>
      <c r="I7151" s="2"/>
      <c r="J7151" s="2"/>
      <c r="K7151" s="2"/>
      <c r="L7151" s="2"/>
      <c r="M7151" s="2"/>
      <c r="N7151" s="2"/>
      <c r="O7151" s="2"/>
      <c r="P7151" s="2"/>
      <c r="Q7151" s="2"/>
      <c r="R7151" s="2"/>
      <c r="S7151" s="2"/>
      <c r="T7151" s="2"/>
      <c r="U7151" s="2"/>
      <c r="V7151" s="2"/>
      <c r="W7151" s="2"/>
    </row>
    <row r="7152" spans="1:23" x14ac:dyDescent="0.25">
      <c r="A7152" s="2"/>
      <c r="B7152" s="2"/>
      <c r="C7152" s="1"/>
      <c r="D7152" s="2"/>
      <c r="E7152" s="2"/>
      <c r="F7152" s="2"/>
      <c r="G7152" s="2"/>
      <c r="H7152" s="2"/>
      <c r="I7152" s="2"/>
      <c r="J7152" s="2"/>
      <c r="K7152" s="2"/>
      <c r="L7152" s="2"/>
      <c r="M7152" s="2"/>
      <c r="N7152" s="2"/>
      <c r="O7152" s="2"/>
      <c r="P7152" s="2"/>
      <c r="Q7152" s="2"/>
      <c r="R7152" s="2"/>
      <c r="S7152" s="2"/>
      <c r="T7152" s="2"/>
      <c r="U7152" s="2"/>
      <c r="V7152" s="2"/>
      <c r="W7152" s="2"/>
    </row>
    <row r="7153" spans="1:23" x14ac:dyDescent="0.25">
      <c r="A7153" s="2"/>
      <c r="B7153" s="2"/>
      <c r="C7153" s="1"/>
      <c r="D7153" s="2"/>
      <c r="E7153" s="2"/>
      <c r="F7153" s="2"/>
      <c r="G7153" s="2"/>
      <c r="H7153" s="2"/>
      <c r="I7153" s="2"/>
      <c r="J7153" s="2"/>
      <c r="K7153" s="2"/>
      <c r="L7153" s="2"/>
      <c r="M7153" s="2"/>
      <c r="N7153" s="2"/>
      <c r="O7153" s="2"/>
      <c r="P7153" s="2"/>
      <c r="Q7153" s="2"/>
      <c r="R7153" s="2"/>
      <c r="S7153" s="2"/>
      <c r="T7153" s="2"/>
      <c r="U7153" s="2"/>
      <c r="V7153" s="2"/>
      <c r="W7153" s="2"/>
    </row>
    <row r="7154" spans="1:23" x14ac:dyDescent="0.25">
      <c r="A7154" s="2"/>
      <c r="B7154" s="2"/>
      <c r="C7154" s="1"/>
      <c r="D7154" s="2"/>
      <c r="E7154" s="2"/>
      <c r="F7154" s="2"/>
      <c r="G7154" s="2"/>
      <c r="H7154" s="2"/>
      <c r="I7154" s="2"/>
      <c r="J7154" s="2"/>
      <c r="K7154" s="2"/>
      <c r="L7154" s="2"/>
      <c r="M7154" s="2"/>
      <c r="N7154" s="2"/>
      <c r="O7154" s="2"/>
      <c r="P7154" s="2"/>
      <c r="Q7154" s="2"/>
      <c r="R7154" s="2"/>
      <c r="S7154" s="2"/>
      <c r="T7154" s="2"/>
      <c r="U7154" s="2"/>
      <c r="V7154" s="2"/>
      <c r="W7154" s="2"/>
    </row>
    <row r="7155" spans="1:23" x14ac:dyDescent="0.25">
      <c r="A7155" s="2"/>
      <c r="B7155" s="2"/>
      <c r="C7155" s="1"/>
      <c r="D7155" s="2"/>
      <c r="E7155" s="2"/>
      <c r="F7155" s="2"/>
      <c r="G7155" s="2"/>
      <c r="H7155" s="2"/>
      <c r="I7155" s="2"/>
      <c r="J7155" s="2"/>
      <c r="K7155" s="2"/>
      <c r="L7155" s="2"/>
      <c r="M7155" s="2"/>
      <c r="N7155" s="2"/>
      <c r="O7155" s="2"/>
      <c r="P7155" s="2"/>
      <c r="Q7155" s="2"/>
      <c r="R7155" s="2"/>
      <c r="S7155" s="2"/>
      <c r="T7155" s="2"/>
      <c r="U7155" s="2"/>
      <c r="V7155" s="2"/>
      <c r="W7155" s="2"/>
    </row>
    <row r="7156" spans="1:23" x14ac:dyDescent="0.25">
      <c r="A7156" s="2"/>
      <c r="B7156" s="2"/>
      <c r="C7156" s="1"/>
      <c r="D7156" s="2"/>
      <c r="E7156" s="2"/>
      <c r="F7156" s="2"/>
      <c r="G7156" s="2"/>
      <c r="H7156" s="2"/>
      <c r="I7156" s="2"/>
      <c r="J7156" s="2"/>
      <c r="K7156" s="2"/>
      <c r="L7156" s="2"/>
      <c r="M7156" s="2"/>
      <c r="N7156" s="2"/>
      <c r="O7156" s="2"/>
      <c r="P7156" s="2"/>
      <c r="Q7156" s="2"/>
      <c r="R7156" s="2"/>
      <c r="S7156" s="2"/>
      <c r="T7156" s="2"/>
      <c r="U7156" s="2"/>
      <c r="V7156" s="2"/>
      <c r="W7156" s="2"/>
    </row>
    <row r="7157" spans="1:23" x14ac:dyDescent="0.25">
      <c r="A7157" s="2"/>
      <c r="B7157" s="2"/>
      <c r="C7157" s="1"/>
      <c r="D7157" s="2"/>
      <c r="E7157" s="2"/>
      <c r="F7157" s="2"/>
      <c r="G7157" s="2"/>
      <c r="H7157" s="2"/>
      <c r="I7157" s="2"/>
      <c r="J7157" s="2"/>
      <c r="K7157" s="2"/>
      <c r="L7157" s="2"/>
      <c r="M7157" s="2"/>
      <c r="N7157" s="2"/>
      <c r="O7157" s="2"/>
      <c r="P7157" s="2"/>
      <c r="Q7157" s="2"/>
      <c r="R7157" s="2"/>
      <c r="S7157" s="2"/>
      <c r="T7157" s="2"/>
      <c r="U7157" s="2"/>
      <c r="V7157" s="2"/>
      <c r="W7157" s="2"/>
    </row>
    <row r="7158" spans="1:23" x14ac:dyDescent="0.25">
      <c r="A7158" s="2"/>
      <c r="B7158" s="2"/>
      <c r="C7158" s="1"/>
      <c r="D7158" s="2"/>
      <c r="E7158" s="2"/>
      <c r="F7158" s="2"/>
      <c r="G7158" s="2"/>
      <c r="H7158" s="2"/>
      <c r="I7158" s="2"/>
      <c r="J7158" s="2"/>
      <c r="K7158" s="2"/>
      <c r="L7158" s="2"/>
      <c r="M7158" s="2"/>
      <c r="N7158" s="2"/>
      <c r="O7158" s="2"/>
      <c r="P7158" s="2"/>
      <c r="Q7158" s="2"/>
      <c r="R7158" s="2"/>
      <c r="S7158" s="2"/>
      <c r="T7158" s="2"/>
      <c r="U7158" s="2"/>
      <c r="V7158" s="2"/>
      <c r="W7158" s="2"/>
    </row>
    <row r="7159" spans="1:23" x14ac:dyDescent="0.25">
      <c r="A7159" s="2"/>
      <c r="B7159" s="2"/>
      <c r="C7159" s="1"/>
      <c r="D7159" s="2"/>
      <c r="E7159" s="2"/>
      <c r="F7159" s="2"/>
      <c r="G7159" s="2"/>
      <c r="H7159" s="2"/>
      <c r="I7159" s="2"/>
      <c r="J7159" s="2"/>
      <c r="K7159" s="2"/>
      <c r="L7159" s="2"/>
      <c r="M7159" s="2"/>
      <c r="N7159" s="2"/>
      <c r="O7159" s="2"/>
      <c r="P7159" s="2"/>
      <c r="Q7159" s="2"/>
      <c r="R7159" s="2"/>
      <c r="S7159" s="2"/>
      <c r="T7159" s="2"/>
      <c r="U7159" s="2"/>
      <c r="V7159" s="2"/>
      <c r="W7159" s="2"/>
    </row>
    <row r="7160" spans="1:23" x14ac:dyDescent="0.25">
      <c r="A7160" s="2"/>
      <c r="B7160" s="2"/>
      <c r="C7160" s="1"/>
      <c r="D7160" s="2"/>
      <c r="E7160" s="2"/>
      <c r="F7160" s="2"/>
      <c r="G7160" s="2"/>
      <c r="H7160" s="2"/>
      <c r="I7160" s="2"/>
      <c r="J7160" s="2"/>
      <c r="K7160" s="2"/>
      <c r="L7160" s="2"/>
      <c r="M7160" s="2"/>
      <c r="N7160" s="2"/>
      <c r="O7160" s="2"/>
      <c r="P7160" s="2"/>
      <c r="Q7160" s="2"/>
      <c r="R7160" s="2"/>
      <c r="S7160" s="2"/>
      <c r="T7160" s="2"/>
      <c r="U7160" s="2"/>
      <c r="V7160" s="2"/>
      <c r="W7160" s="2"/>
    </row>
    <row r="7161" spans="1:23" x14ac:dyDescent="0.25">
      <c r="A7161" s="2"/>
      <c r="B7161" s="2"/>
      <c r="C7161" s="1"/>
      <c r="D7161" s="2"/>
      <c r="E7161" s="2"/>
      <c r="F7161" s="2"/>
      <c r="G7161" s="2"/>
      <c r="H7161" s="2"/>
      <c r="I7161" s="2"/>
      <c r="J7161" s="2"/>
      <c r="K7161" s="2"/>
      <c r="L7161" s="2"/>
      <c r="M7161" s="2"/>
      <c r="N7161" s="2"/>
      <c r="O7161" s="2"/>
      <c r="P7161" s="2"/>
      <c r="Q7161" s="2"/>
      <c r="R7161" s="2"/>
      <c r="S7161" s="2"/>
      <c r="T7161" s="2"/>
      <c r="U7161" s="2"/>
      <c r="V7161" s="2"/>
      <c r="W7161" s="2"/>
    </row>
    <row r="7162" spans="1:23" x14ac:dyDescent="0.25">
      <c r="A7162" s="2"/>
      <c r="B7162" s="2"/>
      <c r="C7162" s="1"/>
      <c r="D7162" s="2"/>
      <c r="E7162" s="2"/>
      <c r="F7162" s="2"/>
      <c r="G7162" s="2"/>
      <c r="H7162" s="2"/>
      <c r="I7162" s="2"/>
      <c r="J7162" s="2"/>
      <c r="K7162" s="2"/>
      <c r="L7162" s="2"/>
      <c r="M7162" s="2"/>
      <c r="N7162" s="2"/>
      <c r="O7162" s="2"/>
      <c r="P7162" s="2"/>
      <c r="Q7162" s="2"/>
      <c r="R7162" s="2"/>
      <c r="S7162" s="2"/>
      <c r="T7162" s="2"/>
      <c r="U7162" s="2"/>
      <c r="V7162" s="2"/>
      <c r="W7162" s="2"/>
    </row>
    <row r="7163" spans="1:23" x14ac:dyDescent="0.25">
      <c r="A7163" s="2"/>
      <c r="B7163" s="2"/>
      <c r="C7163" s="1"/>
      <c r="D7163" s="2"/>
      <c r="E7163" s="2"/>
      <c r="F7163" s="2"/>
      <c r="G7163" s="2"/>
      <c r="H7163" s="2"/>
      <c r="I7163" s="2"/>
      <c r="J7163" s="2"/>
      <c r="K7163" s="2"/>
      <c r="L7163" s="2"/>
      <c r="M7163" s="2"/>
      <c r="N7163" s="2"/>
      <c r="O7163" s="2"/>
      <c r="P7163" s="2"/>
      <c r="Q7163" s="2"/>
      <c r="R7163" s="2"/>
      <c r="S7163" s="2"/>
      <c r="T7163" s="2"/>
      <c r="U7163" s="2"/>
      <c r="V7163" s="2"/>
      <c r="W7163" s="2"/>
    </row>
    <row r="7164" spans="1:23" x14ac:dyDescent="0.25">
      <c r="A7164" s="2"/>
      <c r="B7164" s="2"/>
      <c r="C7164" s="1"/>
      <c r="D7164" s="2"/>
      <c r="E7164" s="2"/>
      <c r="F7164" s="2"/>
      <c r="G7164" s="2"/>
      <c r="H7164" s="2"/>
      <c r="I7164" s="2"/>
      <c r="J7164" s="2"/>
      <c r="K7164" s="2"/>
      <c r="L7164" s="2"/>
      <c r="M7164" s="2"/>
      <c r="N7164" s="2"/>
      <c r="O7164" s="2"/>
      <c r="P7164" s="2"/>
      <c r="Q7164" s="2"/>
      <c r="R7164" s="2"/>
      <c r="S7164" s="2"/>
      <c r="T7164" s="2"/>
      <c r="U7164" s="2"/>
      <c r="V7164" s="2"/>
      <c r="W7164" s="2"/>
    </row>
    <row r="7165" spans="1:23" x14ac:dyDescent="0.25">
      <c r="A7165" s="2"/>
      <c r="B7165" s="2"/>
      <c r="C7165" s="1"/>
      <c r="D7165" s="2"/>
      <c r="E7165" s="2"/>
      <c r="F7165" s="2"/>
      <c r="G7165" s="2"/>
      <c r="H7165" s="2"/>
      <c r="I7165" s="2"/>
      <c r="J7165" s="2"/>
      <c r="K7165" s="2"/>
      <c r="L7165" s="2"/>
      <c r="M7165" s="2"/>
      <c r="N7165" s="2"/>
      <c r="O7165" s="2"/>
      <c r="P7165" s="2"/>
      <c r="Q7165" s="2"/>
      <c r="R7165" s="2"/>
      <c r="S7165" s="2"/>
      <c r="T7165" s="2"/>
      <c r="U7165" s="2"/>
      <c r="V7165" s="2"/>
      <c r="W7165" s="2"/>
    </row>
    <row r="7166" spans="1:23" x14ac:dyDescent="0.25">
      <c r="A7166" s="2"/>
      <c r="B7166" s="2"/>
      <c r="C7166" s="1"/>
      <c r="D7166" s="2"/>
      <c r="E7166" s="2"/>
      <c r="F7166" s="2"/>
      <c r="G7166" s="2"/>
      <c r="H7166" s="2"/>
      <c r="I7166" s="2"/>
      <c r="J7166" s="2"/>
      <c r="K7166" s="2"/>
      <c r="L7166" s="2"/>
      <c r="M7166" s="2"/>
      <c r="N7166" s="2"/>
      <c r="O7166" s="2"/>
      <c r="P7166" s="2"/>
      <c r="Q7166" s="2"/>
      <c r="R7166" s="2"/>
      <c r="S7166" s="2"/>
      <c r="T7166" s="2"/>
      <c r="U7166" s="2"/>
      <c r="V7166" s="2"/>
      <c r="W7166" s="2"/>
    </row>
    <row r="7167" spans="1:23" x14ac:dyDescent="0.25">
      <c r="A7167" s="2"/>
      <c r="B7167" s="2"/>
      <c r="C7167" s="1"/>
      <c r="D7167" s="2"/>
      <c r="E7167" s="2"/>
      <c r="F7167" s="2"/>
      <c r="G7167" s="2"/>
      <c r="H7167" s="2"/>
      <c r="I7167" s="2"/>
      <c r="J7167" s="2"/>
      <c r="K7167" s="2"/>
      <c r="L7167" s="2"/>
      <c r="M7167" s="2"/>
      <c r="N7167" s="2"/>
      <c r="O7167" s="2"/>
      <c r="P7167" s="2"/>
      <c r="Q7167" s="2"/>
      <c r="R7167" s="2"/>
      <c r="S7167" s="2"/>
      <c r="T7167" s="2"/>
      <c r="U7167" s="2"/>
      <c r="V7167" s="2"/>
      <c r="W7167" s="2"/>
    </row>
    <row r="7168" spans="1:23" x14ac:dyDescent="0.25">
      <c r="A7168" s="2"/>
      <c r="B7168" s="2"/>
      <c r="C7168" s="1"/>
      <c r="D7168" s="2"/>
      <c r="E7168" s="2"/>
      <c r="F7168" s="2"/>
      <c r="G7168" s="2"/>
      <c r="H7168" s="2"/>
      <c r="I7168" s="2"/>
      <c r="J7168" s="2"/>
      <c r="K7168" s="2"/>
      <c r="L7168" s="2"/>
      <c r="M7168" s="2"/>
      <c r="N7168" s="2"/>
      <c r="O7168" s="2"/>
      <c r="P7168" s="2"/>
      <c r="Q7168" s="2"/>
      <c r="R7168" s="2"/>
      <c r="S7168" s="2"/>
      <c r="T7168" s="2"/>
      <c r="U7168" s="2"/>
      <c r="V7168" s="2"/>
      <c r="W7168" s="2"/>
    </row>
    <row r="7169" spans="1:23" x14ac:dyDescent="0.25">
      <c r="A7169" s="2"/>
      <c r="B7169" s="2"/>
      <c r="C7169" s="1"/>
      <c r="D7169" s="2"/>
      <c r="E7169" s="2"/>
      <c r="F7169" s="2"/>
      <c r="G7169" s="2"/>
      <c r="H7169" s="2"/>
      <c r="I7169" s="2"/>
      <c r="J7169" s="2"/>
      <c r="K7169" s="2"/>
      <c r="L7169" s="2"/>
      <c r="M7169" s="2"/>
      <c r="N7169" s="2"/>
      <c r="O7169" s="2"/>
      <c r="P7169" s="2"/>
      <c r="Q7169" s="2"/>
      <c r="R7169" s="2"/>
      <c r="S7169" s="2"/>
      <c r="T7169" s="2"/>
      <c r="U7169" s="2"/>
      <c r="V7169" s="2"/>
      <c r="W7169" s="2"/>
    </row>
    <row r="7170" spans="1:23" x14ac:dyDescent="0.25">
      <c r="A7170" s="2"/>
      <c r="B7170" s="2"/>
      <c r="C7170" s="1"/>
      <c r="D7170" s="2"/>
      <c r="E7170" s="2"/>
      <c r="F7170" s="2"/>
      <c r="G7170" s="2"/>
      <c r="H7170" s="2"/>
      <c r="I7170" s="2"/>
      <c r="J7170" s="2"/>
      <c r="K7170" s="2"/>
      <c r="L7170" s="2"/>
      <c r="M7170" s="2"/>
      <c r="N7170" s="2"/>
      <c r="O7170" s="2"/>
      <c r="P7170" s="2"/>
      <c r="Q7170" s="2"/>
      <c r="R7170" s="2"/>
      <c r="S7170" s="2"/>
      <c r="T7170" s="2"/>
      <c r="U7170" s="2"/>
      <c r="V7170" s="2"/>
      <c r="W7170" s="2"/>
    </row>
    <row r="7171" spans="1:23" x14ac:dyDescent="0.25">
      <c r="A7171" s="2"/>
      <c r="B7171" s="2"/>
      <c r="C7171" s="1"/>
      <c r="D7171" s="2"/>
      <c r="E7171" s="2"/>
      <c r="F7171" s="2"/>
      <c r="G7171" s="2"/>
      <c r="H7171" s="2"/>
      <c r="I7171" s="2"/>
      <c r="J7171" s="2"/>
      <c r="K7171" s="2"/>
      <c r="L7171" s="2"/>
      <c r="M7171" s="2"/>
      <c r="N7171" s="2"/>
      <c r="O7171" s="2"/>
      <c r="P7171" s="2"/>
      <c r="Q7171" s="2"/>
      <c r="R7171" s="2"/>
      <c r="S7171" s="2"/>
      <c r="T7171" s="2"/>
      <c r="U7171" s="2"/>
      <c r="V7171" s="2"/>
      <c r="W7171" s="2"/>
    </row>
    <row r="7172" spans="1:23" x14ac:dyDescent="0.25">
      <c r="A7172" s="2"/>
      <c r="B7172" s="2"/>
      <c r="C7172" s="1"/>
      <c r="D7172" s="2"/>
      <c r="E7172" s="2"/>
      <c r="F7172" s="2"/>
      <c r="G7172" s="2"/>
      <c r="H7172" s="2"/>
      <c r="I7172" s="2"/>
      <c r="J7172" s="2"/>
      <c r="K7172" s="2"/>
      <c r="L7172" s="2"/>
      <c r="M7172" s="2"/>
      <c r="N7172" s="2"/>
      <c r="O7172" s="2"/>
      <c r="P7172" s="2"/>
      <c r="Q7172" s="2"/>
      <c r="R7172" s="2"/>
      <c r="S7172" s="2"/>
      <c r="T7172" s="2"/>
      <c r="U7172" s="2"/>
      <c r="V7172" s="2"/>
      <c r="W7172" s="2"/>
    </row>
    <row r="7173" spans="1:23" x14ac:dyDescent="0.25">
      <c r="A7173" s="2"/>
      <c r="B7173" s="2"/>
      <c r="C7173" s="1"/>
      <c r="D7173" s="2"/>
      <c r="E7173" s="2"/>
      <c r="F7173" s="2"/>
      <c r="G7173" s="2"/>
      <c r="H7173" s="2"/>
      <c r="I7173" s="2"/>
      <c r="J7173" s="2"/>
      <c r="K7173" s="2"/>
      <c r="L7173" s="2"/>
      <c r="M7173" s="2"/>
      <c r="N7173" s="2"/>
      <c r="O7173" s="2"/>
      <c r="P7173" s="2"/>
      <c r="Q7173" s="2"/>
      <c r="R7173" s="2"/>
      <c r="S7173" s="2"/>
      <c r="T7173" s="2"/>
      <c r="U7173" s="2"/>
      <c r="V7173" s="2"/>
      <c r="W7173" s="2"/>
    </row>
    <row r="7174" spans="1:23" x14ac:dyDescent="0.25">
      <c r="A7174" s="2"/>
      <c r="B7174" s="2"/>
      <c r="C7174" s="1"/>
      <c r="D7174" s="2"/>
      <c r="E7174" s="2"/>
      <c r="F7174" s="2"/>
      <c r="G7174" s="2"/>
      <c r="H7174" s="2"/>
      <c r="I7174" s="2"/>
      <c r="J7174" s="2"/>
      <c r="K7174" s="2"/>
      <c r="L7174" s="2"/>
      <c r="M7174" s="2"/>
      <c r="N7174" s="2"/>
      <c r="O7174" s="2"/>
      <c r="P7174" s="2"/>
      <c r="Q7174" s="2"/>
      <c r="R7174" s="2"/>
      <c r="S7174" s="2"/>
      <c r="T7174" s="2"/>
      <c r="U7174" s="2"/>
      <c r="V7174" s="2"/>
      <c r="W7174" s="2"/>
    </row>
    <row r="7175" spans="1:23" x14ac:dyDescent="0.25">
      <c r="A7175" s="2"/>
      <c r="B7175" s="2"/>
      <c r="C7175" s="1"/>
      <c r="D7175" s="2"/>
      <c r="E7175" s="2"/>
      <c r="F7175" s="2"/>
      <c r="G7175" s="2"/>
      <c r="H7175" s="2"/>
      <c r="I7175" s="2"/>
      <c r="J7175" s="2"/>
      <c r="K7175" s="2"/>
      <c r="L7175" s="2"/>
      <c r="M7175" s="2"/>
      <c r="N7175" s="2"/>
      <c r="O7175" s="2"/>
      <c r="P7175" s="2"/>
      <c r="Q7175" s="2"/>
      <c r="R7175" s="2"/>
      <c r="S7175" s="2"/>
      <c r="T7175" s="2"/>
      <c r="U7175" s="2"/>
      <c r="V7175" s="2"/>
      <c r="W7175" s="2"/>
    </row>
    <row r="7176" spans="1:23" x14ac:dyDescent="0.25">
      <c r="A7176" s="2"/>
      <c r="B7176" s="2"/>
      <c r="C7176" s="1"/>
      <c r="D7176" s="2"/>
      <c r="E7176" s="2"/>
      <c r="F7176" s="2"/>
      <c r="G7176" s="2"/>
      <c r="H7176" s="2"/>
      <c r="I7176" s="2"/>
      <c r="J7176" s="2"/>
      <c r="K7176" s="2"/>
      <c r="L7176" s="2"/>
      <c r="M7176" s="2"/>
      <c r="N7176" s="2"/>
      <c r="O7176" s="2"/>
      <c r="P7176" s="2"/>
      <c r="Q7176" s="2"/>
      <c r="R7176" s="2"/>
      <c r="S7176" s="2"/>
      <c r="T7176" s="2"/>
      <c r="U7176" s="2"/>
      <c r="V7176" s="2"/>
      <c r="W7176" s="2"/>
    </row>
    <row r="7177" spans="1:23" x14ac:dyDescent="0.25">
      <c r="A7177" s="2"/>
      <c r="B7177" s="2"/>
      <c r="C7177" s="1"/>
      <c r="D7177" s="2"/>
      <c r="E7177" s="2"/>
      <c r="F7177" s="2"/>
      <c r="G7177" s="2"/>
      <c r="H7177" s="2"/>
      <c r="I7177" s="2"/>
      <c r="J7177" s="2"/>
      <c r="K7177" s="2"/>
      <c r="L7177" s="2"/>
      <c r="M7177" s="2"/>
      <c r="N7177" s="2"/>
      <c r="O7177" s="2"/>
      <c r="P7177" s="2"/>
      <c r="Q7177" s="2"/>
      <c r="R7177" s="2"/>
      <c r="S7177" s="2"/>
      <c r="T7177" s="2"/>
      <c r="U7177" s="2"/>
      <c r="V7177" s="2"/>
      <c r="W7177" s="2"/>
    </row>
    <row r="7178" spans="1:23" x14ac:dyDescent="0.25">
      <c r="A7178" s="2"/>
      <c r="B7178" s="2"/>
      <c r="C7178" s="1"/>
      <c r="D7178" s="2"/>
      <c r="E7178" s="2"/>
      <c r="F7178" s="2"/>
      <c r="G7178" s="2"/>
      <c r="H7178" s="2"/>
      <c r="I7178" s="2"/>
      <c r="J7178" s="2"/>
      <c r="K7178" s="2"/>
      <c r="L7178" s="2"/>
      <c r="M7178" s="2"/>
      <c r="N7178" s="2"/>
      <c r="O7178" s="2"/>
      <c r="P7178" s="2"/>
      <c r="Q7178" s="2"/>
      <c r="R7178" s="2"/>
      <c r="S7178" s="2"/>
      <c r="T7178" s="2"/>
      <c r="U7178" s="2"/>
      <c r="V7178" s="2"/>
      <c r="W7178" s="2"/>
    </row>
    <row r="7179" spans="1:23" x14ac:dyDescent="0.25">
      <c r="A7179" s="2"/>
      <c r="B7179" s="2"/>
      <c r="C7179" s="1"/>
      <c r="D7179" s="2"/>
      <c r="E7179" s="2"/>
      <c r="F7179" s="2"/>
      <c r="G7179" s="2"/>
      <c r="H7179" s="2"/>
      <c r="I7179" s="2"/>
      <c r="J7179" s="2"/>
      <c r="K7179" s="2"/>
      <c r="L7179" s="2"/>
      <c r="M7179" s="2"/>
      <c r="N7179" s="2"/>
      <c r="O7179" s="2"/>
      <c r="P7179" s="2"/>
      <c r="Q7179" s="2"/>
      <c r="R7179" s="2"/>
      <c r="S7179" s="2"/>
      <c r="T7179" s="2"/>
      <c r="U7179" s="2"/>
      <c r="V7179" s="2"/>
      <c r="W7179" s="2"/>
    </row>
    <row r="7180" spans="1:23" x14ac:dyDescent="0.25">
      <c r="A7180" s="2"/>
      <c r="B7180" s="2"/>
      <c r="C7180" s="1"/>
      <c r="D7180" s="2"/>
      <c r="E7180" s="2"/>
      <c r="F7180" s="2"/>
      <c r="G7180" s="2"/>
      <c r="H7180" s="2"/>
      <c r="I7180" s="2"/>
      <c r="J7180" s="2"/>
      <c r="K7180" s="2"/>
      <c r="L7180" s="2"/>
      <c r="M7180" s="2"/>
      <c r="N7180" s="2"/>
      <c r="O7180" s="2"/>
      <c r="P7180" s="2"/>
      <c r="Q7180" s="2"/>
      <c r="R7180" s="2"/>
      <c r="S7180" s="2"/>
      <c r="T7180" s="2"/>
      <c r="U7180" s="2"/>
      <c r="V7180" s="2"/>
      <c r="W7180" s="2"/>
    </row>
    <row r="7181" spans="1:23" x14ac:dyDescent="0.25">
      <c r="A7181" s="2"/>
      <c r="B7181" s="2"/>
      <c r="C7181" s="1"/>
      <c r="D7181" s="2"/>
      <c r="E7181" s="2"/>
      <c r="F7181" s="2"/>
      <c r="G7181" s="2"/>
      <c r="H7181" s="2"/>
      <c r="I7181" s="2"/>
      <c r="J7181" s="2"/>
      <c r="K7181" s="2"/>
      <c r="L7181" s="2"/>
      <c r="M7181" s="2"/>
      <c r="N7181" s="2"/>
      <c r="O7181" s="2"/>
      <c r="P7181" s="2"/>
      <c r="Q7181" s="2"/>
      <c r="R7181" s="2"/>
      <c r="S7181" s="2"/>
      <c r="T7181" s="2"/>
      <c r="U7181" s="2"/>
      <c r="V7181" s="2"/>
      <c r="W7181" s="2"/>
    </row>
    <row r="7182" spans="1:23" x14ac:dyDescent="0.25">
      <c r="A7182" s="2"/>
      <c r="B7182" s="2"/>
      <c r="C7182" s="1"/>
      <c r="D7182" s="2"/>
      <c r="E7182" s="2"/>
      <c r="F7182" s="2"/>
      <c r="G7182" s="2"/>
      <c r="H7182" s="2"/>
      <c r="I7182" s="2"/>
      <c r="J7182" s="2"/>
      <c r="K7182" s="2"/>
      <c r="L7182" s="2"/>
      <c r="M7182" s="2"/>
      <c r="N7182" s="2"/>
      <c r="O7182" s="2"/>
      <c r="P7182" s="2"/>
      <c r="Q7182" s="2"/>
      <c r="R7182" s="2"/>
      <c r="S7182" s="2"/>
      <c r="T7182" s="2"/>
      <c r="U7182" s="2"/>
      <c r="V7182" s="2"/>
      <c r="W7182" s="2"/>
    </row>
    <row r="7183" spans="1:23" x14ac:dyDescent="0.25">
      <c r="A7183" s="2"/>
      <c r="B7183" s="2"/>
      <c r="C7183" s="1"/>
      <c r="D7183" s="2"/>
      <c r="E7183" s="2"/>
      <c r="F7183" s="2"/>
      <c r="G7183" s="2"/>
      <c r="H7183" s="2"/>
      <c r="I7183" s="2"/>
      <c r="J7183" s="2"/>
      <c r="K7183" s="2"/>
      <c r="L7183" s="2"/>
      <c r="M7183" s="2"/>
      <c r="N7183" s="2"/>
      <c r="O7183" s="2"/>
      <c r="P7183" s="2"/>
      <c r="Q7183" s="2"/>
      <c r="R7183" s="2"/>
      <c r="S7183" s="2"/>
      <c r="T7183" s="2"/>
      <c r="U7183" s="2"/>
      <c r="V7183" s="2"/>
      <c r="W7183" s="2"/>
    </row>
    <row r="7184" spans="1:23" x14ac:dyDescent="0.25">
      <c r="A7184" s="2"/>
      <c r="B7184" s="2"/>
      <c r="C7184" s="1"/>
      <c r="D7184" s="2"/>
      <c r="E7184" s="2"/>
      <c r="F7184" s="2"/>
      <c r="G7184" s="2"/>
      <c r="H7184" s="2"/>
      <c r="I7184" s="2"/>
      <c r="J7184" s="2"/>
      <c r="K7184" s="2"/>
      <c r="L7184" s="2"/>
      <c r="M7184" s="2"/>
      <c r="N7184" s="2"/>
      <c r="O7184" s="2"/>
      <c r="P7184" s="2"/>
      <c r="Q7184" s="2"/>
      <c r="R7184" s="2"/>
      <c r="S7184" s="2"/>
      <c r="T7184" s="2"/>
      <c r="U7184" s="2"/>
      <c r="V7184" s="2"/>
      <c r="W7184" s="2"/>
    </row>
    <row r="7185" spans="1:23" x14ac:dyDescent="0.25">
      <c r="A7185" s="2"/>
      <c r="B7185" s="2"/>
      <c r="C7185" s="1"/>
      <c r="D7185" s="2"/>
      <c r="E7185" s="2"/>
      <c r="F7185" s="2"/>
      <c r="G7185" s="2"/>
      <c r="H7185" s="2"/>
      <c r="I7185" s="2"/>
      <c r="J7185" s="2"/>
      <c r="K7185" s="2"/>
      <c r="L7185" s="2"/>
      <c r="M7185" s="2"/>
      <c r="N7185" s="2"/>
      <c r="O7185" s="2"/>
      <c r="P7185" s="2"/>
      <c r="Q7185" s="2"/>
      <c r="R7185" s="2"/>
      <c r="S7185" s="2"/>
      <c r="T7185" s="2"/>
      <c r="U7185" s="2"/>
      <c r="V7185" s="2"/>
      <c r="W7185" s="2"/>
    </row>
    <row r="7186" spans="1:23" x14ac:dyDescent="0.25">
      <c r="A7186" s="2"/>
      <c r="B7186" s="2"/>
      <c r="C7186" s="1"/>
      <c r="D7186" s="2"/>
      <c r="E7186" s="2"/>
      <c r="F7186" s="2"/>
      <c r="G7186" s="2"/>
      <c r="H7186" s="2"/>
      <c r="I7186" s="2"/>
      <c r="J7186" s="2"/>
      <c r="K7186" s="2"/>
      <c r="L7186" s="2"/>
      <c r="M7186" s="2"/>
      <c r="N7186" s="2"/>
      <c r="O7186" s="2"/>
      <c r="P7186" s="2"/>
      <c r="Q7186" s="2"/>
      <c r="R7186" s="2"/>
      <c r="S7186" s="2"/>
      <c r="T7186" s="2"/>
      <c r="U7186" s="2"/>
      <c r="V7186" s="2"/>
      <c r="W7186" s="2"/>
    </row>
    <row r="7187" spans="1:23" x14ac:dyDescent="0.25">
      <c r="A7187" s="2"/>
      <c r="B7187" s="2"/>
      <c r="C7187" s="1"/>
      <c r="D7187" s="2"/>
      <c r="E7187" s="2"/>
      <c r="F7187" s="2"/>
      <c r="G7187" s="2"/>
      <c r="H7187" s="2"/>
      <c r="I7187" s="2"/>
      <c r="J7187" s="2"/>
      <c r="K7187" s="2"/>
      <c r="L7187" s="2"/>
      <c r="M7187" s="2"/>
      <c r="N7187" s="2"/>
      <c r="O7187" s="2"/>
      <c r="P7187" s="2"/>
      <c r="Q7187" s="2"/>
      <c r="R7187" s="2"/>
      <c r="S7187" s="2"/>
      <c r="T7187" s="2"/>
      <c r="U7187" s="2"/>
      <c r="V7187" s="2"/>
      <c r="W7187" s="2"/>
    </row>
    <row r="7188" spans="1:23" x14ac:dyDescent="0.25">
      <c r="A7188" s="2"/>
      <c r="B7188" s="2"/>
      <c r="C7188" s="1"/>
      <c r="D7188" s="2"/>
      <c r="E7188" s="2"/>
      <c r="F7188" s="2"/>
      <c r="G7188" s="2"/>
      <c r="H7188" s="2"/>
      <c r="I7188" s="2"/>
      <c r="J7188" s="2"/>
      <c r="K7188" s="2"/>
      <c r="L7188" s="2"/>
      <c r="M7188" s="2"/>
      <c r="N7188" s="2"/>
      <c r="O7188" s="2"/>
      <c r="P7188" s="2"/>
      <c r="Q7188" s="2"/>
      <c r="R7188" s="2"/>
      <c r="S7188" s="2"/>
      <c r="T7188" s="2"/>
      <c r="U7188" s="2"/>
      <c r="V7188" s="2"/>
      <c r="W7188" s="2"/>
    </row>
    <row r="7189" spans="1:23" x14ac:dyDescent="0.25">
      <c r="A7189" s="2"/>
      <c r="B7189" s="2"/>
      <c r="C7189" s="1"/>
      <c r="D7189" s="2"/>
      <c r="E7189" s="2"/>
      <c r="F7189" s="2"/>
      <c r="G7189" s="2"/>
      <c r="H7189" s="2"/>
      <c r="I7189" s="2"/>
      <c r="J7189" s="2"/>
      <c r="K7189" s="2"/>
      <c r="L7189" s="2"/>
      <c r="M7189" s="2"/>
      <c r="N7189" s="2"/>
      <c r="O7189" s="2"/>
      <c r="P7189" s="2"/>
      <c r="Q7189" s="2"/>
      <c r="R7189" s="2"/>
      <c r="S7189" s="2"/>
      <c r="T7189" s="2"/>
      <c r="U7189" s="2"/>
      <c r="V7189" s="2"/>
      <c r="W7189" s="2"/>
    </row>
    <row r="7190" spans="1:23" x14ac:dyDescent="0.25">
      <c r="A7190" s="2"/>
      <c r="B7190" s="2"/>
      <c r="C7190" s="1"/>
      <c r="D7190" s="2"/>
      <c r="E7190" s="2"/>
      <c r="F7190" s="2"/>
      <c r="G7190" s="2"/>
      <c r="H7190" s="2"/>
      <c r="I7190" s="2"/>
      <c r="J7190" s="2"/>
      <c r="K7190" s="2"/>
      <c r="L7190" s="2"/>
      <c r="M7190" s="2"/>
      <c r="N7190" s="2"/>
      <c r="O7190" s="2"/>
      <c r="P7190" s="2"/>
      <c r="Q7190" s="2"/>
      <c r="R7190" s="2"/>
      <c r="S7190" s="2"/>
      <c r="T7190" s="2"/>
      <c r="U7190" s="2"/>
      <c r="V7190" s="2"/>
      <c r="W7190" s="2"/>
    </row>
    <row r="7191" spans="1:23" x14ac:dyDescent="0.25">
      <c r="A7191" s="2"/>
      <c r="B7191" s="2"/>
      <c r="C7191" s="1"/>
      <c r="D7191" s="2"/>
      <c r="E7191" s="2"/>
      <c r="F7191" s="2"/>
      <c r="G7191" s="2"/>
      <c r="H7191" s="2"/>
      <c r="I7191" s="2"/>
      <c r="J7191" s="2"/>
      <c r="K7191" s="2"/>
      <c r="L7191" s="2"/>
      <c r="M7191" s="2"/>
      <c r="N7191" s="2"/>
      <c r="O7191" s="2"/>
      <c r="P7191" s="2"/>
      <c r="Q7191" s="2"/>
      <c r="R7191" s="2"/>
      <c r="S7191" s="2"/>
      <c r="T7191" s="2"/>
      <c r="U7191" s="2"/>
      <c r="V7191" s="2"/>
      <c r="W7191" s="2"/>
    </row>
    <row r="7192" spans="1:23" x14ac:dyDescent="0.25">
      <c r="A7192" s="2"/>
      <c r="B7192" s="2"/>
      <c r="C7192" s="1"/>
      <c r="D7192" s="2"/>
      <c r="E7192" s="2"/>
      <c r="F7192" s="2"/>
      <c r="G7192" s="2"/>
      <c r="H7192" s="2"/>
      <c r="I7192" s="2"/>
      <c r="J7192" s="2"/>
      <c r="K7192" s="2"/>
      <c r="L7192" s="2"/>
      <c r="M7192" s="2"/>
      <c r="N7192" s="2"/>
      <c r="O7192" s="2"/>
      <c r="P7192" s="2"/>
      <c r="Q7192" s="2"/>
      <c r="R7192" s="2"/>
      <c r="S7192" s="2"/>
      <c r="T7192" s="2"/>
      <c r="U7192" s="2"/>
      <c r="V7192" s="2"/>
      <c r="W7192" s="2"/>
    </row>
    <row r="7193" spans="1:23" x14ac:dyDescent="0.25">
      <c r="A7193" s="2"/>
      <c r="B7193" s="2"/>
      <c r="C7193" s="1"/>
      <c r="D7193" s="2"/>
      <c r="E7193" s="2"/>
      <c r="F7193" s="2"/>
      <c r="G7193" s="2"/>
      <c r="H7193" s="2"/>
      <c r="I7193" s="2"/>
      <c r="J7193" s="2"/>
      <c r="K7193" s="2"/>
      <c r="L7193" s="2"/>
      <c r="M7193" s="2"/>
      <c r="N7193" s="2"/>
      <c r="O7193" s="2"/>
      <c r="P7193" s="2"/>
      <c r="Q7193" s="2"/>
      <c r="R7193" s="2"/>
      <c r="S7193" s="2"/>
      <c r="T7193" s="2"/>
      <c r="U7193" s="2"/>
      <c r="V7193" s="2"/>
      <c r="W7193" s="2"/>
    </row>
    <row r="7194" spans="1:23" x14ac:dyDescent="0.25">
      <c r="A7194" s="2"/>
      <c r="B7194" s="2"/>
      <c r="C7194" s="1"/>
      <c r="D7194" s="2"/>
      <c r="E7194" s="2"/>
      <c r="F7194" s="2"/>
      <c r="G7194" s="2"/>
      <c r="H7194" s="2"/>
      <c r="I7194" s="2"/>
      <c r="J7194" s="2"/>
      <c r="K7194" s="2"/>
      <c r="L7194" s="2"/>
      <c r="M7194" s="2"/>
      <c r="N7194" s="2"/>
      <c r="O7194" s="2"/>
      <c r="P7194" s="2"/>
      <c r="Q7194" s="2"/>
      <c r="R7194" s="2"/>
      <c r="S7194" s="2"/>
      <c r="T7194" s="2"/>
      <c r="U7194" s="2"/>
      <c r="V7194" s="2"/>
      <c r="W7194" s="2"/>
    </row>
    <row r="7195" spans="1:23" x14ac:dyDescent="0.25">
      <c r="A7195" s="2"/>
      <c r="B7195" s="2"/>
      <c r="C7195" s="1"/>
      <c r="D7195" s="2"/>
      <c r="E7195" s="2"/>
      <c r="F7195" s="2"/>
      <c r="G7195" s="2"/>
      <c r="H7195" s="2"/>
      <c r="I7195" s="2"/>
      <c r="J7195" s="2"/>
      <c r="K7195" s="2"/>
      <c r="L7195" s="2"/>
      <c r="M7195" s="2"/>
      <c r="N7195" s="2"/>
      <c r="O7195" s="2"/>
      <c r="P7195" s="2"/>
      <c r="Q7195" s="2"/>
      <c r="R7195" s="2"/>
      <c r="S7195" s="2"/>
      <c r="T7195" s="2"/>
      <c r="U7195" s="2"/>
      <c r="V7195" s="2"/>
      <c r="W7195" s="2"/>
    </row>
    <row r="7196" spans="1:23" x14ac:dyDescent="0.25">
      <c r="A7196" s="2"/>
      <c r="B7196" s="2"/>
      <c r="C7196" s="1"/>
      <c r="D7196" s="2"/>
      <c r="E7196" s="2"/>
      <c r="F7196" s="2"/>
      <c r="G7196" s="2"/>
      <c r="H7196" s="2"/>
      <c r="I7196" s="2"/>
      <c r="J7196" s="2"/>
      <c r="K7196" s="2"/>
      <c r="L7196" s="2"/>
      <c r="M7196" s="2"/>
      <c r="N7196" s="2"/>
      <c r="O7196" s="2"/>
      <c r="P7196" s="2"/>
      <c r="Q7196" s="2"/>
      <c r="R7196" s="2"/>
      <c r="S7196" s="2"/>
      <c r="T7196" s="2"/>
      <c r="U7196" s="2"/>
      <c r="V7196" s="2"/>
      <c r="W7196" s="2"/>
    </row>
    <row r="7197" spans="1:23" x14ac:dyDescent="0.25">
      <c r="A7197" s="2"/>
      <c r="B7197" s="2"/>
      <c r="C7197" s="1"/>
      <c r="D7197" s="2"/>
      <c r="E7197" s="2"/>
      <c r="F7197" s="2"/>
      <c r="G7197" s="2"/>
      <c r="H7197" s="2"/>
      <c r="I7197" s="2"/>
      <c r="J7197" s="2"/>
      <c r="K7197" s="2"/>
      <c r="L7197" s="2"/>
      <c r="M7197" s="2"/>
      <c r="N7197" s="2"/>
      <c r="O7197" s="2"/>
      <c r="P7197" s="2"/>
      <c r="Q7197" s="2"/>
      <c r="R7197" s="2"/>
      <c r="S7197" s="2"/>
      <c r="T7197" s="2"/>
      <c r="U7197" s="2"/>
      <c r="V7197" s="2"/>
      <c r="W7197" s="2"/>
    </row>
    <row r="7198" spans="1:23" x14ac:dyDescent="0.25">
      <c r="A7198" s="2"/>
      <c r="B7198" s="2"/>
      <c r="C7198" s="1"/>
      <c r="D7198" s="2"/>
      <c r="E7198" s="2"/>
      <c r="F7198" s="2"/>
      <c r="G7198" s="2"/>
      <c r="H7198" s="2"/>
      <c r="I7198" s="2"/>
      <c r="J7198" s="2"/>
      <c r="K7198" s="2"/>
      <c r="L7198" s="2"/>
      <c r="M7198" s="2"/>
      <c r="N7198" s="2"/>
      <c r="O7198" s="2"/>
      <c r="P7198" s="2"/>
      <c r="Q7198" s="2"/>
      <c r="R7198" s="2"/>
      <c r="S7198" s="2"/>
      <c r="T7198" s="2"/>
      <c r="U7198" s="2"/>
      <c r="V7198" s="2"/>
      <c r="W7198" s="2"/>
    </row>
    <row r="7199" spans="1:23" x14ac:dyDescent="0.25">
      <c r="A7199" s="2"/>
      <c r="B7199" s="2"/>
      <c r="C7199" s="1"/>
      <c r="D7199" s="2"/>
      <c r="E7199" s="2"/>
      <c r="F7199" s="2"/>
      <c r="G7199" s="2"/>
      <c r="H7199" s="2"/>
      <c r="I7199" s="2"/>
      <c r="J7199" s="2"/>
      <c r="K7199" s="2"/>
      <c r="L7199" s="2"/>
      <c r="M7199" s="2"/>
      <c r="N7199" s="2"/>
      <c r="O7199" s="2"/>
      <c r="P7199" s="2"/>
      <c r="Q7199" s="2"/>
      <c r="R7199" s="2"/>
      <c r="S7199" s="2"/>
      <c r="T7199" s="2"/>
      <c r="U7199" s="2"/>
      <c r="V7199" s="2"/>
      <c r="W7199" s="2"/>
    </row>
    <row r="7200" spans="1:23" x14ac:dyDescent="0.25">
      <c r="A7200" s="2"/>
      <c r="B7200" s="2"/>
      <c r="C7200" s="1"/>
      <c r="D7200" s="2"/>
      <c r="E7200" s="2"/>
      <c r="F7200" s="2"/>
      <c r="G7200" s="2"/>
      <c r="H7200" s="2"/>
      <c r="I7200" s="2"/>
      <c r="J7200" s="2"/>
      <c r="K7200" s="2"/>
      <c r="L7200" s="2"/>
      <c r="M7200" s="2"/>
      <c r="N7200" s="2"/>
      <c r="O7200" s="2"/>
      <c r="P7200" s="2"/>
      <c r="Q7200" s="2"/>
      <c r="R7200" s="2"/>
      <c r="S7200" s="2"/>
      <c r="T7200" s="2"/>
      <c r="U7200" s="2"/>
      <c r="V7200" s="2"/>
      <c r="W7200" s="2"/>
    </row>
    <row r="7201" spans="1:23" x14ac:dyDescent="0.25">
      <c r="A7201" s="2"/>
      <c r="B7201" s="2"/>
      <c r="C7201" s="1"/>
      <c r="D7201" s="2"/>
      <c r="E7201" s="2"/>
      <c r="F7201" s="2"/>
      <c r="G7201" s="2"/>
      <c r="H7201" s="2"/>
      <c r="I7201" s="2"/>
      <c r="J7201" s="2"/>
      <c r="K7201" s="2"/>
      <c r="L7201" s="2"/>
      <c r="M7201" s="2"/>
      <c r="N7201" s="2"/>
      <c r="O7201" s="2"/>
      <c r="P7201" s="2"/>
      <c r="Q7201" s="2"/>
      <c r="R7201" s="2"/>
      <c r="S7201" s="2"/>
      <c r="T7201" s="2"/>
      <c r="U7201" s="2"/>
      <c r="V7201" s="2"/>
      <c r="W7201" s="2"/>
    </row>
    <row r="7202" spans="1:23" x14ac:dyDescent="0.25">
      <c r="A7202" s="2"/>
      <c r="B7202" s="2"/>
      <c r="C7202" s="1"/>
      <c r="D7202" s="2"/>
      <c r="E7202" s="2"/>
      <c r="F7202" s="2"/>
      <c r="G7202" s="2"/>
      <c r="H7202" s="2"/>
      <c r="I7202" s="2"/>
      <c r="J7202" s="2"/>
      <c r="K7202" s="2"/>
      <c r="L7202" s="2"/>
      <c r="M7202" s="2"/>
      <c r="N7202" s="2"/>
      <c r="O7202" s="2"/>
      <c r="P7202" s="2"/>
      <c r="Q7202" s="2"/>
      <c r="R7202" s="2"/>
      <c r="S7202" s="2"/>
      <c r="T7202" s="2"/>
      <c r="U7202" s="2"/>
      <c r="V7202" s="2"/>
      <c r="W7202" s="2"/>
    </row>
    <row r="7203" spans="1:23" x14ac:dyDescent="0.25">
      <c r="A7203" s="2"/>
      <c r="B7203" s="2"/>
      <c r="C7203" s="1"/>
      <c r="D7203" s="2"/>
      <c r="E7203" s="2"/>
      <c r="F7203" s="2"/>
      <c r="G7203" s="2"/>
      <c r="H7203" s="2"/>
      <c r="I7203" s="2"/>
      <c r="J7203" s="2"/>
      <c r="K7203" s="2"/>
      <c r="L7203" s="2"/>
      <c r="M7203" s="2"/>
      <c r="N7203" s="2"/>
      <c r="O7203" s="2"/>
      <c r="P7203" s="2"/>
      <c r="Q7203" s="2"/>
      <c r="R7203" s="2"/>
      <c r="S7203" s="2"/>
      <c r="T7203" s="2"/>
      <c r="U7203" s="2"/>
      <c r="V7203" s="2"/>
      <c r="W7203" s="2"/>
    </row>
    <row r="7204" spans="1:23" x14ac:dyDescent="0.25">
      <c r="A7204" s="2"/>
      <c r="B7204" s="2"/>
      <c r="C7204" s="1"/>
      <c r="D7204" s="2"/>
      <c r="E7204" s="2"/>
      <c r="F7204" s="2"/>
      <c r="G7204" s="2"/>
      <c r="H7204" s="2"/>
      <c r="I7204" s="2"/>
      <c r="J7204" s="2"/>
      <c r="K7204" s="2"/>
      <c r="L7204" s="2"/>
      <c r="M7204" s="2"/>
      <c r="N7204" s="2"/>
      <c r="O7204" s="2"/>
      <c r="P7204" s="2"/>
      <c r="Q7204" s="2"/>
      <c r="R7204" s="2"/>
      <c r="S7204" s="2"/>
      <c r="T7204" s="2"/>
      <c r="U7204" s="2"/>
      <c r="V7204" s="2"/>
      <c r="W7204" s="2"/>
    </row>
    <row r="7205" spans="1:23" x14ac:dyDescent="0.25">
      <c r="A7205" s="2"/>
      <c r="B7205" s="2"/>
      <c r="C7205" s="1"/>
      <c r="D7205" s="2"/>
      <c r="E7205" s="2"/>
      <c r="F7205" s="2"/>
      <c r="G7205" s="2"/>
      <c r="H7205" s="2"/>
      <c r="I7205" s="2"/>
      <c r="J7205" s="2"/>
      <c r="K7205" s="2"/>
      <c r="L7205" s="2"/>
      <c r="M7205" s="2"/>
      <c r="N7205" s="2"/>
      <c r="O7205" s="2"/>
      <c r="P7205" s="2"/>
      <c r="Q7205" s="2"/>
      <c r="R7205" s="2"/>
      <c r="S7205" s="2"/>
      <c r="T7205" s="2"/>
      <c r="U7205" s="2"/>
      <c r="V7205" s="2"/>
      <c r="W7205" s="2"/>
    </row>
    <row r="7206" spans="1:23" x14ac:dyDescent="0.25">
      <c r="A7206" s="2"/>
      <c r="B7206" s="2"/>
      <c r="C7206" s="1"/>
      <c r="D7206" s="2"/>
      <c r="E7206" s="2"/>
      <c r="F7206" s="2"/>
      <c r="G7206" s="2"/>
      <c r="H7206" s="2"/>
      <c r="I7206" s="2"/>
      <c r="J7206" s="2"/>
      <c r="K7206" s="2"/>
      <c r="L7206" s="2"/>
      <c r="M7206" s="2"/>
      <c r="N7206" s="2"/>
      <c r="O7206" s="2"/>
      <c r="P7206" s="2"/>
      <c r="Q7206" s="2"/>
      <c r="R7206" s="2"/>
      <c r="S7206" s="2"/>
      <c r="T7206" s="2"/>
      <c r="U7206" s="2"/>
      <c r="V7206" s="2"/>
      <c r="W7206" s="2"/>
    </row>
    <row r="7207" spans="1:23" x14ac:dyDescent="0.25">
      <c r="A7207" s="2"/>
      <c r="B7207" s="2"/>
      <c r="C7207" s="1"/>
      <c r="D7207" s="2"/>
      <c r="E7207" s="2"/>
      <c r="F7207" s="2"/>
      <c r="G7207" s="2"/>
      <c r="H7207" s="2"/>
      <c r="I7207" s="2"/>
      <c r="J7207" s="2"/>
      <c r="K7207" s="2"/>
      <c r="L7207" s="2"/>
      <c r="M7207" s="2"/>
      <c r="N7207" s="2"/>
      <c r="O7207" s="2"/>
      <c r="P7207" s="2"/>
      <c r="Q7207" s="2"/>
      <c r="R7207" s="2"/>
      <c r="S7207" s="2"/>
      <c r="T7207" s="2"/>
      <c r="U7207" s="2"/>
      <c r="V7207" s="2"/>
      <c r="W7207" s="2"/>
    </row>
    <row r="7208" spans="1:23" x14ac:dyDescent="0.25">
      <c r="A7208" s="2"/>
      <c r="B7208" s="2"/>
      <c r="C7208" s="1"/>
      <c r="D7208" s="2"/>
      <c r="E7208" s="2"/>
      <c r="F7208" s="2"/>
      <c r="G7208" s="2"/>
      <c r="H7208" s="2"/>
      <c r="I7208" s="2"/>
      <c r="J7208" s="2"/>
      <c r="K7208" s="2"/>
      <c r="L7208" s="2"/>
      <c r="M7208" s="2"/>
      <c r="N7208" s="2"/>
      <c r="O7208" s="2"/>
      <c r="P7208" s="2"/>
      <c r="Q7208" s="2"/>
      <c r="R7208" s="2"/>
      <c r="S7208" s="2"/>
      <c r="T7208" s="2"/>
      <c r="U7208" s="2"/>
      <c r="V7208" s="2"/>
      <c r="W7208" s="2"/>
    </row>
    <row r="7209" spans="1:23" x14ac:dyDescent="0.25">
      <c r="A7209" s="2"/>
      <c r="B7209" s="2"/>
      <c r="C7209" s="1"/>
      <c r="D7209" s="2"/>
      <c r="E7209" s="2"/>
      <c r="F7209" s="2"/>
      <c r="G7209" s="2"/>
      <c r="H7209" s="2"/>
      <c r="I7209" s="2"/>
      <c r="J7209" s="2"/>
      <c r="K7209" s="2"/>
      <c r="L7209" s="2"/>
      <c r="M7209" s="2"/>
      <c r="N7209" s="2"/>
      <c r="O7209" s="2"/>
      <c r="P7209" s="2"/>
      <c r="Q7209" s="2"/>
      <c r="R7209" s="2"/>
      <c r="S7209" s="2"/>
      <c r="T7209" s="2"/>
      <c r="U7209" s="2"/>
      <c r="V7209" s="2"/>
      <c r="W7209" s="2"/>
    </row>
    <row r="7210" spans="1:23" x14ac:dyDescent="0.25">
      <c r="A7210" s="2"/>
      <c r="B7210" s="2"/>
      <c r="C7210" s="1"/>
      <c r="D7210" s="2"/>
      <c r="E7210" s="2"/>
      <c r="F7210" s="2"/>
      <c r="G7210" s="2"/>
      <c r="H7210" s="2"/>
      <c r="I7210" s="2"/>
      <c r="J7210" s="2"/>
      <c r="K7210" s="2"/>
      <c r="L7210" s="2"/>
      <c r="M7210" s="2"/>
      <c r="N7210" s="2"/>
      <c r="O7210" s="2"/>
      <c r="P7210" s="2"/>
      <c r="Q7210" s="2"/>
      <c r="R7210" s="2"/>
      <c r="S7210" s="2"/>
      <c r="T7210" s="2"/>
      <c r="U7210" s="2"/>
      <c r="V7210" s="2"/>
      <c r="W7210" s="2"/>
    </row>
    <row r="7211" spans="1:23" x14ac:dyDescent="0.25">
      <c r="A7211" s="2"/>
      <c r="B7211" s="2"/>
      <c r="C7211" s="1"/>
      <c r="D7211" s="2"/>
      <c r="E7211" s="2"/>
      <c r="F7211" s="2"/>
      <c r="G7211" s="2"/>
      <c r="H7211" s="2"/>
      <c r="I7211" s="2"/>
      <c r="J7211" s="2"/>
      <c r="K7211" s="2"/>
      <c r="L7211" s="2"/>
      <c r="M7211" s="2"/>
      <c r="N7211" s="2"/>
      <c r="O7211" s="2"/>
      <c r="P7211" s="2"/>
      <c r="Q7211" s="2"/>
      <c r="R7211" s="2"/>
      <c r="S7211" s="2"/>
      <c r="T7211" s="2"/>
      <c r="U7211" s="2"/>
      <c r="V7211" s="2"/>
      <c r="W7211" s="2"/>
    </row>
    <row r="7212" spans="1:23" x14ac:dyDescent="0.25">
      <c r="A7212" s="2"/>
      <c r="B7212" s="2"/>
      <c r="C7212" s="1"/>
      <c r="D7212" s="2"/>
      <c r="E7212" s="2"/>
      <c r="F7212" s="2"/>
      <c r="G7212" s="2"/>
      <c r="H7212" s="2"/>
      <c r="I7212" s="2"/>
      <c r="J7212" s="2"/>
      <c r="K7212" s="2"/>
      <c r="L7212" s="2"/>
      <c r="M7212" s="2"/>
      <c r="N7212" s="2"/>
      <c r="O7212" s="2"/>
      <c r="P7212" s="2"/>
      <c r="Q7212" s="2"/>
      <c r="R7212" s="2"/>
      <c r="S7212" s="2"/>
      <c r="T7212" s="2"/>
      <c r="U7212" s="2"/>
      <c r="V7212" s="2"/>
      <c r="W7212" s="2"/>
    </row>
    <row r="7213" spans="1:23" x14ac:dyDescent="0.25">
      <c r="A7213" s="2"/>
      <c r="B7213" s="2"/>
      <c r="C7213" s="1"/>
      <c r="D7213" s="2"/>
      <c r="E7213" s="2"/>
      <c r="F7213" s="2"/>
      <c r="G7213" s="2"/>
      <c r="H7213" s="2"/>
      <c r="I7213" s="2"/>
      <c r="J7213" s="2"/>
      <c r="K7213" s="2"/>
      <c r="L7213" s="2"/>
      <c r="M7213" s="2"/>
      <c r="N7213" s="2"/>
      <c r="O7213" s="2"/>
      <c r="P7213" s="2"/>
      <c r="Q7213" s="2"/>
      <c r="R7213" s="2"/>
      <c r="S7213" s="2"/>
      <c r="T7213" s="2"/>
      <c r="U7213" s="2"/>
      <c r="V7213" s="2"/>
      <c r="W7213" s="2"/>
    </row>
    <row r="7214" spans="1:23" x14ac:dyDescent="0.25">
      <c r="A7214" s="2"/>
      <c r="B7214" s="2"/>
      <c r="C7214" s="1"/>
      <c r="D7214" s="2"/>
      <c r="E7214" s="2"/>
      <c r="F7214" s="2"/>
      <c r="G7214" s="2"/>
      <c r="H7214" s="2"/>
      <c r="I7214" s="2"/>
      <c r="J7214" s="2"/>
      <c r="K7214" s="2"/>
      <c r="L7214" s="2"/>
      <c r="M7214" s="2"/>
      <c r="N7214" s="2"/>
      <c r="O7214" s="2"/>
      <c r="P7214" s="2"/>
      <c r="Q7214" s="2"/>
      <c r="R7214" s="2"/>
      <c r="S7214" s="2"/>
      <c r="T7214" s="2"/>
      <c r="U7214" s="2"/>
      <c r="V7214" s="2"/>
      <c r="W7214" s="2"/>
    </row>
    <row r="7215" spans="1:23" x14ac:dyDescent="0.25">
      <c r="A7215" s="2"/>
      <c r="B7215" s="2"/>
      <c r="C7215" s="1"/>
      <c r="D7215" s="2"/>
      <c r="E7215" s="2"/>
      <c r="F7215" s="2"/>
      <c r="G7215" s="2"/>
      <c r="H7215" s="2"/>
      <c r="I7215" s="2"/>
      <c r="J7215" s="2"/>
      <c r="K7215" s="2"/>
      <c r="L7215" s="2"/>
      <c r="M7215" s="2"/>
      <c r="N7215" s="2"/>
      <c r="O7215" s="2"/>
      <c r="P7215" s="2"/>
      <c r="Q7215" s="2"/>
      <c r="R7215" s="2"/>
      <c r="S7215" s="2"/>
      <c r="T7215" s="2"/>
      <c r="U7215" s="2"/>
      <c r="V7215" s="2"/>
      <c r="W7215" s="2"/>
    </row>
    <row r="7216" spans="1:23" x14ac:dyDescent="0.25">
      <c r="A7216" s="2"/>
      <c r="B7216" s="2"/>
      <c r="C7216" s="1"/>
      <c r="D7216" s="2"/>
      <c r="E7216" s="2"/>
      <c r="F7216" s="2"/>
      <c r="G7216" s="2"/>
      <c r="H7216" s="2"/>
      <c r="I7216" s="2"/>
      <c r="J7216" s="2"/>
      <c r="K7216" s="2"/>
      <c r="L7216" s="2"/>
      <c r="M7216" s="2"/>
      <c r="N7216" s="2"/>
      <c r="O7216" s="2"/>
      <c r="P7216" s="2"/>
      <c r="Q7216" s="2"/>
      <c r="R7216" s="2"/>
      <c r="S7216" s="2"/>
      <c r="T7216" s="2"/>
      <c r="U7216" s="2"/>
      <c r="V7216" s="2"/>
      <c r="W7216" s="2"/>
    </row>
    <row r="7217" spans="1:23" x14ac:dyDescent="0.25">
      <c r="A7217" s="2"/>
      <c r="B7217" s="2"/>
      <c r="C7217" s="1"/>
      <c r="D7217" s="2"/>
      <c r="E7217" s="2"/>
      <c r="F7217" s="2"/>
      <c r="G7217" s="2"/>
      <c r="H7217" s="2"/>
      <c r="I7217" s="2"/>
      <c r="J7217" s="2"/>
      <c r="K7217" s="2"/>
      <c r="L7217" s="2"/>
      <c r="M7217" s="2"/>
      <c r="N7217" s="2"/>
      <c r="O7217" s="2"/>
      <c r="P7217" s="2"/>
      <c r="Q7217" s="2"/>
      <c r="R7217" s="2"/>
      <c r="S7217" s="2"/>
      <c r="T7217" s="2"/>
      <c r="U7217" s="2"/>
      <c r="V7217" s="2"/>
      <c r="W7217" s="2"/>
    </row>
    <row r="7218" spans="1:23" x14ac:dyDescent="0.25">
      <c r="A7218" s="2"/>
      <c r="B7218" s="2"/>
      <c r="C7218" s="1"/>
      <c r="D7218" s="2"/>
      <c r="E7218" s="2"/>
      <c r="F7218" s="2"/>
      <c r="G7218" s="2"/>
      <c r="H7218" s="2"/>
      <c r="I7218" s="2"/>
      <c r="J7218" s="2"/>
      <c r="K7218" s="2"/>
      <c r="L7218" s="2"/>
      <c r="M7218" s="2"/>
      <c r="N7218" s="2"/>
      <c r="O7218" s="2"/>
      <c r="P7218" s="2"/>
      <c r="Q7218" s="2"/>
      <c r="R7218" s="2"/>
      <c r="S7218" s="2"/>
      <c r="T7218" s="2"/>
      <c r="U7218" s="2"/>
      <c r="V7218" s="2"/>
      <c r="W7218" s="2"/>
    </row>
    <row r="7219" spans="1:23" x14ac:dyDescent="0.25">
      <c r="A7219" s="2"/>
      <c r="B7219" s="2"/>
      <c r="C7219" s="1"/>
      <c r="D7219" s="2"/>
      <c r="E7219" s="2"/>
      <c r="F7219" s="2"/>
      <c r="G7219" s="2"/>
      <c r="H7219" s="2"/>
      <c r="I7219" s="2"/>
      <c r="J7219" s="2"/>
      <c r="K7219" s="2"/>
      <c r="L7219" s="2"/>
      <c r="M7219" s="2"/>
      <c r="N7219" s="2"/>
      <c r="O7219" s="2"/>
      <c r="P7219" s="2"/>
      <c r="Q7219" s="2"/>
      <c r="R7219" s="2"/>
      <c r="S7219" s="2"/>
      <c r="T7219" s="2"/>
      <c r="U7219" s="2"/>
      <c r="V7219" s="2"/>
      <c r="W7219" s="2"/>
    </row>
    <row r="7220" spans="1:23" x14ac:dyDescent="0.25">
      <c r="A7220" s="2"/>
      <c r="B7220" s="2"/>
      <c r="C7220" s="1"/>
      <c r="D7220" s="2"/>
      <c r="E7220" s="2"/>
      <c r="F7220" s="2"/>
      <c r="G7220" s="2"/>
      <c r="H7220" s="2"/>
      <c r="I7220" s="2"/>
      <c r="J7220" s="2"/>
      <c r="K7220" s="2"/>
      <c r="L7220" s="2"/>
      <c r="M7220" s="2"/>
      <c r="N7220" s="2"/>
      <c r="O7220" s="2"/>
      <c r="P7220" s="2"/>
      <c r="Q7220" s="2"/>
      <c r="R7220" s="2"/>
      <c r="S7220" s="2"/>
      <c r="T7220" s="2"/>
      <c r="U7220" s="2"/>
      <c r="V7220" s="2"/>
      <c r="W7220" s="2"/>
    </row>
    <row r="7221" spans="1:23" x14ac:dyDescent="0.25">
      <c r="A7221" s="2"/>
      <c r="B7221" s="2"/>
      <c r="C7221" s="1"/>
      <c r="D7221" s="2"/>
      <c r="E7221" s="2"/>
      <c r="F7221" s="2"/>
      <c r="G7221" s="2"/>
      <c r="H7221" s="2"/>
      <c r="I7221" s="2"/>
      <c r="J7221" s="2"/>
      <c r="K7221" s="2"/>
      <c r="L7221" s="2"/>
      <c r="M7221" s="2"/>
      <c r="N7221" s="2"/>
      <c r="O7221" s="2"/>
      <c r="P7221" s="2"/>
      <c r="Q7221" s="2"/>
      <c r="R7221" s="2"/>
      <c r="S7221" s="2"/>
      <c r="T7221" s="2"/>
      <c r="U7221" s="2"/>
      <c r="V7221" s="2"/>
      <c r="W7221" s="2"/>
    </row>
    <row r="7222" spans="1:23" x14ac:dyDescent="0.25">
      <c r="A7222" s="2"/>
      <c r="B7222" s="2"/>
      <c r="C7222" s="1"/>
      <c r="D7222" s="2"/>
      <c r="E7222" s="2"/>
      <c r="F7222" s="2"/>
      <c r="G7222" s="2"/>
      <c r="H7222" s="2"/>
      <c r="I7222" s="2"/>
      <c r="J7222" s="2"/>
      <c r="K7222" s="2"/>
      <c r="L7222" s="2"/>
      <c r="M7222" s="2"/>
      <c r="N7222" s="2"/>
      <c r="O7222" s="2"/>
      <c r="P7222" s="2"/>
      <c r="Q7222" s="2"/>
      <c r="R7222" s="2"/>
      <c r="S7222" s="2"/>
      <c r="T7222" s="2"/>
      <c r="U7222" s="2"/>
      <c r="V7222" s="2"/>
      <c r="W7222" s="2"/>
    </row>
    <row r="7223" spans="1:23" x14ac:dyDescent="0.25">
      <c r="A7223" s="2"/>
      <c r="B7223" s="2"/>
      <c r="C7223" s="1"/>
      <c r="D7223" s="2"/>
      <c r="E7223" s="2"/>
      <c r="F7223" s="2"/>
      <c r="G7223" s="2"/>
      <c r="H7223" s="2"/>
      <c r="I7223" s="2"/>
      <c r="J7223" s="2"/>
      <c r="K7223" s="2"/>
      <c r="L7223" s="2"/>
      <c r="M7223" s="2"/>
      <c r="N7223" s="2"/>
      <c r="O7223" s="2"/>
      <c r="P7223" s="2"/>
      <c r="Q7223" s="2"/>
      <c r="R7223" s="2"/>
      <c r="S7223" s="2"/>
      <c r="T7223" s="2"/>
      <c r="U7223" s="2"/>
      <c r="V7223" s="2"/>
      <c r="W7223" s="2"/>
    </row>
    <row r="7224" spans="1:23" x14ac:dyDescent="0.25">
      <c r="A7224" s="2"/>
      <c r="B7224" s="2"/>
      <c r="C7224" s="1"/>
      <c r="D7224" s="2"/>
      <c r="E7224" s="2"/>
      <c r="F7224" s="2"/>
      <c r="G7224" s="2"/>
      <c r="H7224" s="2"/>
      <c r="I7224" s="2"/>
      <c r="J7224" s="2"/>
      <c r="K7224" s="2"/>
      <c r="L7224" s="2"/>
      <c r="M7224" s="2"/>
      <c r="N7224" s="2"/>
      <c r="O7224" s="2"/>
      <c r="P7224" s="2"/>
      <c r="Q7224" s="2"/>
      <c r="R7224" s="2"/>
      <c r="S7224" s="2"/>
      <c r="T7224" s="2"/>
      <c r="U7224" s="2"/>
      <c r="V7224" s="2"/>
      <c r="W7224" s="2"/>
    </row>
    <row r="7225" spans="1:23" x14ac:dyDescent="0.25">
      <c r="A7225" s="2"/>
      <c r="B7225" s="2"/>
      <c r="C7225" s="1"/>
      <c r="D7225" s="2"/>
      <c r="E7225" s="2"/>
      <c r="F7225" s="2"/>
      <c r="G7225" s="2"/>
      <c r="H7225" s="2"/>
      <c r="I7225" s="2"/>
      <c r="J7225" s="2"/>
      <c r="K7225" s="2"/>
      <c r="L7225" s="2"/>
      <c r="M7225" s="2"/>
      <c r="N7225" s="2"/>
      <c r="O7225" s="2"/>
      <c r="P7225" s="2"/>
      <c r="Q7225" s="2"/>
      <c r="R7225" s="2"/>
      <c r="S7225" s="2"/>
      <c r="T7225" s="2"/>
      <c r="U7225" s="2"/>
      <c r="V7225" s="2"/>
      <c r="W7225" s="2"/>
    </row>
    <row r="7226" spans="1:23" x14ac:dyDescent="0.25">
      <c r="A7226" s="2"/>
      <c r="B7226" s="2"/>
      <c r="C7226" s="1"/>
      <c r="D7226" s="2"/>
      <c r="E7226" s="2"/>
      <c r="F7226" s="2"/>
      <c r="G7226" s="2"/>
      <c r="H7226" s="2"/>
      <c r="I7226" s="2"/>
      <c r="J7226" s="2"/>
      <c r="K7226" s="2"/>
      <c r="L7226" s="2"/>
      <c r="M7226" s="2"/>
      <c r="N7226" s="2"/>
      <c r="O7226" s="2"/>
      <c r="P7226" s="2"/>
      <c r="Q7226" s="2"/>
      <c r="R7226" s="2"/>
      <c r="S7226" s="2"/>
      <c r="T7226" s="2"/>
      <c r="U7226" s="2"/>
      <c r="V7226" s="2"/>
      <c r="W7226" s="2"/>
    </row>
    <row r="7227" spans="1:23" x14ac:dyDescent="0.25">
      <c r="A7227" s="2"/>
      <c r="B7227" s="2"/>
      <c r="C7227" s="1"/>
      <c r="D7227" s="2"/>
      <c r="E7227" s="2"/>
      <c r="F7227" s="2"/>
      <c r="G7227" s="2"/>
      <c r="H7227" s="2"/>
      <c r="I7227" s="2"/>
      <c r="J7227" s="2"/>
      <c r="K7227" s="2"/>
      <c r="L7227" s="2"/>
      <c r="M7227" s="2"/>
      <c r="N7227" s="2"/>
      <c r="O7227" s="2"/>
      <c r="P7227" s="2"/>
      <c r="Q7227" s="2"/>
      <c r="R7227" s="2"/>
      <c r="S7227" s="2"/>
      <c r="T7227" s="2"/>
      <c r="U7227" s="2"/>
      <c r="V7227" s="2"/>
      <c r="W7227" s="2"/>
    </row>
    <row r="7228" spans="1:23" x14ac:dyDescent="0.25">
      <c r="A7228" s="2"/>
      <c r="B7228" s="2"/>
      <c r="C7228" s="1"/>
      <c r="D7228" s="2"/>
      <c r="E7228" s="2"/>
      <c r="F7228" s="2"/>
      <c r="G7228" s="2"/>
      <c r="H7228" s="2"/>
      <c r="I7228" s="2"/>
      <c r="J7228" s="2"/>
      <c r="K7228" s="2"/>
      <c r="L7228" s="2"/>
      <c r="M7228" s="2"/>
      <c r="N7228" s="2"/>
      <c r="O7228" s="2"/>
      <c r="P7228" s="2"/>
      <c r="Q7228" s="2"/>
      <c r="R7228" s="2"/>
      <c r="S7228" s="2"/>
      <c r="T7228" s="2"/>
      <c r="U7228" s="2"/>
      <c r="V7228" s="2"/>
      <c r="W7228" s="2"/>
    </row>
    <row r="7229" spans="1:23" x14ac:dyDescent="0.25">
      <c r="A7229" s="2"/>
      <c r="B7229" s="2"/>
      <c r="C7229" s="1"/>
      <c r="D7229" s="2"/>
      <c r="E7229" s="2"/>
      <c r="F7229" s="2"/>
      <c r="G7229" s="2"/>
      <c r="H7229" s="2"/>
      <c r="I7229" s="2"/>
      <c r="J7229" s="2"/>
      <c r="K7229" s="2"/>
      <c r="L7229" s="2"/>
      <c r="M7229" s="2"/>
      <c r="N7229" s="2"/>
      <c r="O7229" s="2"/>
      <c r="P7229" s="2"/>
      <c r="Q7229" s="2"/>
      <c r="R7229" s="2"/>
      <c r="S7229" s="2"/>
      <c r="T7229" s="2"/>
      <c r="U7229" s="2"/>
      <c r="V7229" s="2"/>
      <c r="W7229" s="2"/>
    </row>
    <row r="7230" spans="1:23" x14ac:dyDescent="0.25">
      <c r="A7230" s="2"/>
      <c r="B7230" s="2"/>
      <c r="C7230" s="1"/>
      <c r="D7230" s="2"/>
      <c r="E7230" s="2"/>
      <c r="F7230" s="2"/>
      <c r="G7230" s="2"/>
      <c r="H7230" s="2"/>
      <c r="I7230" s="2"/>
      <c r="J7230" s="2"/>
      <c r="K7230" s="2"/>
      <c r="L7230" s="2"/>
      <c r="M7230" s="2"/>
      <c r="N7230" s="2"/>
      <c r="O7230" s="2"/>
      <c r="P7230" s="2"/>
      <c r="Q7230" s="2"/>
      <c r="R7230" s="2"/>
      <c r="S7230" s="2"/>
      <c r="T7230" s="2"/>
      <c r="U7230" s="2"/>
      <c r="V7230" s="2"/>
      <c r="W7230" s="2"/>
    </row>
    <row r="7231" spans="1:23" x14ac:dyDescent="0.25">
      <c r="A7231" s="2"/>
      <c r="B7231" s="2"/>
      <c r="C7231" s="1"/>
      <c r="D7231" s="2"/>
      <c r="E7231" s="2"/>
      <c r="F7231" s="2"/>
      <c r="G7231" s="2"/>
      <c r="H7231" s="2"/>
      <c r="I7231" s="2"/>
      <c r="J7231" s="2"/>
      <c r="K7231" s="2"/>
      <c r="L7231" s="2"/>
      <c r="M7231" s="2"/>
      <c r="N7231" s="2"/>
      <c r="O7231" s="2"/>
      <c r="P7231" s="2"/>
      <c r="Q7231" s="2"/>
      <c r="R7231" s="2"/>
      <c r="S7231" s="2"/>
      <c r="T7231" s="2"/>
      <c r="U7231" s="2"/>
      <c r="V7231" s="2"/>
      <c r="W7231" s="2"/>
    </row>
    <row r="7232" spans="1:23" x14ac:dyDescent="0.25">
      <c r="A7232" s="2"/>
      <c r="B7232" s="2"/>
      <c r="C7232" s="1"/>
      <c r="D7232" s="2"/>
      <c r="E7232" s="2"/>
      <c r="F7232" s="2"/>
      <c r="G7232" s="2"/>
      <c r="H7232" s="2"/>
      <c r="I7232" s="2"/>
      <c r="J7232" s="2"/>
      <c r="K7232" s="2"/>
      <c r="L7232" s="2"/>
      <c r="M7232" s="2"/>
      <c r="N7232" s="2"/>
      <c r="O7232" s="2"/>
      <c r="P7232" s="2"/>
      <c r="Q7232" s="2"/>
      <c r="R7232" s="2"/>
      <c r="S7232" s="2"/>
      <c r="T7232" s="2"/>
      <c r="U7232" s="2"/>
      <c r="V7232" s="2"/>
      <c r="W7232" s="2"/>
    </row>
    <row r="7233" spans="1:23" x14ac:dyDescent="0.25">
      <c r="A7233" s="2"/>
      <c r="B7233" s="2"/>
      <c r="C7233" s="1"/>
      <c r="D7233" s="2"/>
      <c r="E7233" s="2"/>
      <c r="F7233" s="2"/>
      <c r="G7233" s="2"/>
      <c r="H7233" s="2"/>
      <c r="I7233" s="2"/>
      <c r="J7233" s="2"/>
      <c r="K7233" s="2"/>
      <c r="L7233" s="2"/>
      <c r="M7233" s="2"/>
      <c r="N7233" s="2"/>
      <c r="O7233" s="2"/>
      <c r="P7233" s="2"/>
      <c r="Q7233" s="2"/>
      <c r="R7233" s="2"/>
      <c r="S7233" s="2"/>
      <c r="T7233" s="2"/>
      <c r="U7233" s="2"/>
      <c r="V7233" s="2"/>
      <c r="W7233" s="2"/>
    </row>
    <row r="7234" spans="1:23" x14ac:dyDescent="0.25">
      <c r="A7234" s="2"/>
      <c r="B7234" s="2"/>
      <c r="C7234" s="1"/>
      <c r="D7234" s="2"/>
      <c r="E7234" s="2"/>
      <c r="F7234" s="2"/>
      <c r="G7234" s="2"/>
      <c r="H7234" s="2"/>
      <c r="I7234" s="2"/>
      <c r="J7234" s="2"/>
      <c r="K7234" s="2"/>
      <c r="L7234" s="2"/>
      <c r="M7234" s="2"/>
      <c r="N7234" s="2"/>
      <c r="O7234" s="2"/>
      <c r="P7234" s="2"/>
      <c r="Q7234" s="2"/>
      <c r="R7234" s="2"/>
      <c r="S7234" s="2"/>
      <c r="T7234" s="2"/>
      <c r="U7234" s="2"/>
      <c r="V7234" s="2"/>
      <c r="W7234" s="2"/>
    </row>
    <row r="7235" spans="1:23" x14ac:dyDescent="0.25">
      <c r="A7235" s="2"/>
      <c r="B7235" s="2"/>
      <c r="C7235" s="1"/>
      <c r="D7235" s="2"/>
      <c r="E7235" s="2"/>
      <c r="F7235" s="2"/>
      <c r="G7235" s="2"/>
      <c r="H7235" s="2"/>
      <c r="I7235" s="2"/>
      <c r="J7235" s="2"/>
      <c r="K7235" s="2"/>
      <c r="L7235" s="2"/>
      <c r="M7235" s="2"/>
      <c r="N7235" s="2"/>
      <c r="O7235" s="2"/>
      <c r="P7235" s="2"/>
      <c r="Q7235" s="2"/>
      <c r="R7235" s="2"/>
      <c r="S7235" s="2"/>
      <c r="T7235" s="2"/>
      <c r="U7235" s="2"/>
      <c r="V7235" s="2"/>
      <c r="W7235" s="2"/>
    </row>
    <row r="7236" spans="1:23" x14ac:dyDescent="0.25">
      <c r="A7236" s="2"/>
      <c r="B7236" s="2"/>
      <c r="C7236" s="1"/>
      <c r="D7236" s="2"/>
      <c r="E7236" s="2"/>
      <c r="F7236" s="2"/>
      <c r="G7236" s="2"/>
      <c r="H7236" s="2"/>
      <c r="I7236" s="2"/>
      <c r="J7236" s="2"/>
      <c r="K7236" s="2"/>
      <c r="L7236" s="2"/>
      <c r="M7236" s="2"/>
      <c r="N7236" s="2"/>
      <c r="O7236" s="2"/>
      <c r="P7236" s="2"/>
      <c r="Q7236" s="2"/>
      <c r="R7236" s="2"/>
      <c r="S7236" s="2"/>
      <c r="T7236" s="2"/>
      <c r="U7236" s="2"/>
      <c r="V7236" s="2"/>
      <c r="W7236" s="2"/>
    </row>
    <row r="7237" spans="1:23" x14ac:dyDescent="0.25">
      <c r="A7237" s="2"/>
      <c r="B7237" s="2"/>
      <c r="C7237" s="1"/>
      <c r="D7237" s="2"/>
      <c r="E7237" s="2"/>
      <c r="F7237" s="2"/>
      <c r="G7237" s="2"/>
      <c r="H7237" s="2"/>
      <c r="I7237" s="2"/>
      <c r="J7237" s="2"/>
      <c r="K7237" s="2"/>
      <c r="L7237" s="2"/>
      <c r="M7237" s="2"/>
      <c r="N7237" s="2"/>
      <c r="O7237" s="2"/>
      <c r="P7237" s="2"/>
      <c r="Q7237" s="2"/>
      <c r="R7237" s="2"/>
      <c r="S7237" s="2"/>
      <c r="T7237" s="2"/>
      <c r="U7237" s="2"/>
      <c r="V7237" s="2"/>
      <c r="W7237" s="2"/>
    </row>
    <row r="7238" spans="1:23" x14ac:dyDescent="0.25">
      <c r="A7238" s="2"/>
      <c r="B7238" s="2"/>
      <c r="C7238" s="1"/>
      <c r="D7238" s="2"/>
      <c r="E7238" s="2"/>
      <c r="F7238" s="2"/>
      <c r="G7238" s="2"/>
      <c r="H7238" s="2"/>
      <c r="I7238" s="2"/>
      <c r="J7238" s="2"/>
      <c r="K7238" s="2"/>
      <c r="L7238" s="2"/>
      <c r="M7238" s="2"/>
      <c r="N7238" s="2"/>
      <c r="O7238" s="2"/>
      <c r="P7238" s="2"/>
      <c r="Q7238" s="2"/>
      <c r="R7238" s="2"/>
      <c r="S7238" s="2"/>
      <c r="T7238" s="2"/>
      <c r="U7238" s="2"/>
      <c r="V7238" s="2"/>
      <c r="W7238" s="2"/>
    </row>
    <row r="7239" spans="1:23" x14ac:dyDescent="0.25">
      <c r="A7239" s="2"/>
      <c r="B7239" s="2"/>
      <c r="C7239" s="1"/>
      <c r="D7239" s="2"/>
      <c r="E7239" s="2"/>
      <c r="F7239" s="2"/>
      <c r="G7239" s="2"/>
      <c r="H7239" s="2"/>
      <c r="I7239" s="2"/>
      <c r="J7239" s="2"/>
      <c r="K7239" s="2"/>
      <c r="L7239" s="2"/>
      <c r="M7239" s="2"/>
      <c r="N7239" s="2"/>
      <c r="O7239" s="2"/>
      <c r="P7239" s="2"/>
      <c r="Q7239" s="2"/>
      <c r="R7239" s="2"/>
      <c r="S7239" s="2"/>
      <c r="T7239" s="2"/>
      <c r="U7239" s="2"/>
      <c r="V7239" s="2"/>
      <c r="W7239" s="2"/>
    </row>
    <row r="7240" spans="1:23" x14ac:dyDescent="0.25">
      <c r="A7240" s="2"/>
      <c r="B7240" s="2"/>
      <c r="C7240" s="1"/>
      <c r="D7240" s="2"/>
      <c r="E7240" s="2"/>
      <c r="F7240" s="2"/>
      <c r="G7240" s="2"/>
      <c r="H7240" s="2"/>
      <c r="I7240" s="2"/>
      <c r="J7240" s="2"/>
      <c r="K7240" s="2"/>
      <c r="L7240" s="2"/>
      <c r="M7240" s="2"/>
      <c r="N7240" s="2"/>
      <c r="O7240" s="2"/>
      <c r="P7240" s="2"/>
      <c r="Q7240" s="2"/>
      <c r="R7240" s="2"/>
      <c r="S7240" s="2"/>
      <c r="T7240" s="2"/>
      <c r="U7240" s="2"/>
      <c r="V7240" s="2"/>
      <c r="W7240" s="2"/>
    </row>
    <row r="7241" spans="1:23" x14ac:dyDescent="0.25">
      <c r="A7241" s="2"/>
      <c r="B7241" s="2"/>
      <c r="C7241" s="1"/>
      <c r="D7241" s="2"/>
      <c r="E7241" s="2"/>
      <c r="F7241" s="2"/>
      <c r="G7241" s="2"/>
      <c r="H7241" s="2"/>
      <c r="I7241" s="2"/>
      <c r="J7241" s="2"/>
      <c r="K7241" s="2"/>
      <c r="L7241" s="2"/>
      <c r="M7241" s="2"/>
      <c r="N7241" s="2"/>
      <c r="O7241" s="2"/>
      <c r="P7241" s="2"/>
      <c r="Q7241" s="2"/>
      <c r="R7241" s="2"/>
      <c r="S7241" s="2"/>
      <c r="T7241" s="2"/>
      <c r="U7241" s="2"/>
      <c r="V7241" s="2"/>
      <c r="W7241" s="2"/>
    </row>
    <row r="7242" spans="1:23" x14ac:dyDescent="0.25">
      <c r="A7242" s="2"/>
      <c r="B7242" s="2"/>
      <c r="C7242" s="1"/>
      <c r="D7242" s="2"/>
      <c r="E7242" s="2"/>
      <c r="F7242" s="2"/>
      <c r="G7242" s="2"/>
      <c r="H7242" s="2"/>
      <c r="I7242" s="2"/>
      <c r="J7242" s="2"/>
      <c r="K7242" s="2"/>
      <c r="L7242" s="2"/>
      <c r="M7242" s="2"/>
      <c r="N7242" s="2"/>
      <c r="O7242" s="2"/>
      <c r="P7242" s="2"/>
      <c r="Q7242" s="2"/>
      <c r="R7242" s="2"/>
      <c r="S7242" s="2"/>
      <c r="T7242" s="2"/>
      <c r="U7242" s="2"/>
      <c r="V7242" s="2"/>
      <c r="W7242" s="2"/>
    </row>
    <row r="7243" spans="1:23" x14ac:dyDescent="0.25">
      <c r="A7243" s="2"/>
      <c r="B7243" s="2"/>
      <c r="C7243" s="1"/>
      <c r="D7243" s="2"/>
      <c r="E7243" s="2"/>
      <c r="F7243" s="2"/>
      <c r="G7243" s="2"/>
      <c r="H7243" s="2"/>
      <c r="I7243" s="2"/>
      <c r="J7243" s="2"/>
      <c r="K7243" s="2"/>
      <c r="L7243" s="2"/>
      <c r="M7243" s="2"/>
      <c r="N7243" s="2"/>
      <c r="O7243" s="2"/>
      <c r="P7243" s="2"/>
      <c r="Q7243" s="2"/>
      <c r="R7243" s="2"/>
      <c r="S7243" s="2"/>
      <c r="T7243" s="2"/>
      <c r="U7243" s="2"/>
      <c r="V7243" s="2"/>
      <c r="W7243" s="2"/>
    </row>
    <row r="7244" spans="1:23" x14ac:dyDescent="0.25">
      <c r="A7244" s="2"/>
      <c r="B7244" s="2"/>
      <c r="C7244" s="1"/>
      <c r="D7244" s="2"/>
      <c r="E7244" s="2"/>
      <c r="F7244" s="2"/>
      <c r="G7244" s="2"/>
      <c r="H7244" s="2"/>
      <c r="I7244" s="2"/>
      <c r="J7244" s="2"/>
      <c r="K7244" s="2"/>
      <c r="L7244" s="2"/>
      <c r="M7244" s="2"/>
      <c r="N7244" s="2"/>
      <c r="O7244" s="2"/>
      <c r="P7244" s="2"/>
      <c r="Q7244" s="2"/>
      <c r="R7244" s="2"/>
      <c r="S7244" s="2"/>
      <c r="T7244" s="2"/>
      <c r="U7244" s="2"/>
      <c r="V7244" s="2"/>
      <c r="W7244" s="2"/>
    </row>
    <row r="7245" spans="1:23" x14ac:dyDescent="0.25">
      <c r="A7245" s="2"/>
      <c r="B7245" s="2"/>
      <c r="C7245" s="1"/>
      <c r="D7245" s="2"/>
      <c r="E7245" s="2"/>
      <c r="F7245" s="2"/>
      <c r="G7245" s="2"/>
      <c r="H7245" s="2"/>
      <c r="I7245" s="2"/>
      <c r="J7245" s="2"/>
      <c r="K7245" s="2"/>
      <c r="L7245" s="2"/>
      <c r="M7245" s="2"/>
      <c r="N7245" s="2"/>
      <c r="O7245" s="2"/>
      <c r="P7245" s="2"/>
      <c r="Q7245" s="2"/>
      <c r="R7245" s="2"/>
      <c r="S7245" s="2"/>
      <c r="T7245" s="2"/>
      <c r="U7245" s="2"/>
      <c r="V7245" s="2"/>
      <c r="W7245" s="2"/>
    </row>
    <row r="7246" spans="1:23" x14ac:dyDescent="0.25">
      <c r="A7246" s="2"/>
      <c r="B7246" s="2"/>
      <c r="C7246" s="1"/>
      <c r="D7246" s="2"/>
      <c r="E7246" s="2"/>
      <c r="F7246" s="2"/>
      <c r="G7246" s="2"/>
      <c r="H7246" s="2"/>
      <c r="I7246" s="2"/>
      <c r="J7246" s="2"/>
      <c r="K7246" s="2"/>
      <c r="L7246" s="2"/>
      <c r="M7246" s="2"/>
      <c r="N7246" s="2"/>
      <c r="O7246" s="2"/>
      <c r="P7246" s="2"/>
      <c r="Q7246" s="2"/>
      <c r="R7246" s="2"/>
      <c r="S7246" s="2"/>
      <c r="T7246" s="2"/>
      <c r="U7246" s="2"/>
      <c r="V7246" s="2"/>
      <c r="W7246" s="2"/>
    </row>
    <row r="7247" spans="1:23" x14ac:dyDescent="0.25">
      <c r="A7247" s="2"/>
      <c r="B7247" s="2"/>
      <c r="C7247" s="1"/>
      <c r="D7247" s="2"/>
      <c r="E7247" s="2"/>
      <c r="F7247" s="2"/>
      <c r="G7247" s="2"/>
      <c r="H7247" s="2"/>
      <c r="I7247" s="2"/>
      <c r="J7247" s="2"/>
      <c r="K7247" s="2"/>
      <c r="L7247" s="2"/>
      <c r="M7247" s="2"/>
      <c r="N7247" s="2"/>
      <c r="O7247" s="2"/>
      <c r="P7247" s="2"/>
      <c r="Q7247" s="2"/>
      <c r="R7247" s="2"/>
      <c r="S7247" s="2"/>
      <c r="T7247" s="2"/>
      <c r="U7247" s="2"/>
      <c r="V7247" s="2"/>
      <c r="W7247" s="2"/>
    </row>
    <row r="7248" spans="1:23" x14ac:dyDescent="0.25">
      <c r="A7248" s="2"/>
      <c r="B7248" s="2"/>
      <c r="C7248" s="1"/>
      <c r="D7248" s="2"/>
      <c r="E7248" s="2"/>
      <c r="F7248" s="2"/>
      <c r="G7248" s="2"/>
      <c r="H7248" s="2"/>
      <c r="I7248" s="2"/>
      <c r="J7248" s="2"/>
      <c r="K7248" s="2"/>
      <c r="L7248" s="2"/>
      <c r="M7248" s="2"/>
      <c r="N7248" s="2"/>
      <c r="O7248" s="2"/>
      <c r="P7248" s="2"/>
      <c r="Q7248" s="2"/>
      <c r="R7248" s="2"/>
      <c r="S7248" s="2"/>
      <c r="T7248" s="2"/>
      <c r="U7248" s="2"/>
      <c r="V7248" s="2"/>
      <c r="W7248" s="2"/>
    </row>
    <row r="7249" spans="1:23" x14ac:dyDescent="0.25">
      <c r="A7249" s="2"/>
      <c r="B7249" s="2"/>
      <c r="C7249" s="1"/>
      <c r="D7249" s="2"/>
      <c r="E7249" s="2"/>
      <c r="F7249" s="2"/>
      <c r="G7249" s="2"/>
      <c r="H7249" s="2"/>
      <c r="I7249" s="2"/>
      <c r="J7249" s="2"/>
      <c r="K7249" s="2"/>
      <c r="L7249" s="2"/>
      <c r="M7249" s="2"/>
      <c r="N7249" s="2"/>
      <c r="O7249" s="2"/>
      <c r="P7249" s="2"/>
      <c r="Q7249" s="2"/>
      <c r="R7249" s="2"/>
      <c r="S7249" s="2"/>
      <c r="T7249" s="2"/>
      <c r="U7249" s="2"/>
      <c r="V7249" s="2"/>
      <c r="W7249" s="2"/>
    </row>
    <row r="7250" spans="1:23" x14ac:dyDescent="0.25">
      <c r="A7250" s="2"/>
      <c r="B7250" s="2"/>
      <c r="C7250" s="1"/>
      <c r="D7250" s="2"/>
      <c r="E7250" s="2"/>
      <c r="F7250" s="2"/>
      <c r="G7250" s="2"/>
      <c r="H7250" s="2"/>
      <c r="I7250" s="2"/>
      <c r="J7250" s="2"/>
      <c r="K7250" s="2"/>
      <c r="L7250" s="2"/>
      <c r="M7250" s="2"/>
      <c r="N7250" s="2"/>
      <c r="O7250" s="2"/>
      <c r="P7250" s="2"/>
      <c r="Q7250" s="2"/>
      <c r="R7250" s="2"/>
      <c r="S7250" s="2"/>
      <c r="T7250" s="2"/>
      <c r="U7250" s="2"/>
      <c r="V7250" s="2"/>
      <c r="W7250" s="2"/>
    </row>
    <row r="7251" spans="1:23" x14ac:dyDescent="0.25">
      <c r="A7251" s="2"/>
      <c r="B7251" s="2"/>
      <c r="C7251" s="1"/>
      <c r="D7251" s="2"/>
      <c r="E7251" s="2"/>
      <c r="F7251" s="2"/>
      <c r="G7251" s="2"/>
      <c r="H7251" s="2"/>
      <c r="I7251" s="2"/>
      <c r="J7251" s="2"/>
      <c r="K7251" s="2"/>
      <c r="L7251" s="2"/>
      <c r="M7251" s="2"/>
      <c r="N7251" s="2"/>
      <c r="O7251" s="2"/>
      <c r="P7251" s="2"/>
      <c r="Q7251" s="2"/>
      <c r="R7251" s="2"/>
      <c r="S7251" s="2"/>
      <c r="T7251" s="2"/>
      <c r="U7251" s="2"/>
      <c r="V7251" s="2"/>
      <c r="W7251" s="2"/>
    </row>
    <row r="7252" spans="1:23" x14ac:dyDescent="0.25">
      <c r="A7252" s="2"/>
      <c r="B7252" s="2"/>
      <c r="C7252" s="1"/>
      <c r="D7252" s="2"/>
      <c r="E7252" s="2"/>
      <c r="F7252" s="2"/>
      <c r="G7252" s="2"/>
      <c r="H7252" s="2"/>
      <c r="I7252" s="2"/>
      <c r="J7252" s="2"/>
      <c r="K7252" s="2"/>
      <c r="L7252" s="2"/>
      <c r="M7252" s="2"/>
      <c r="N7252" s="2"/>
      <c r="O7252" s="2"/>
      <c r="P7252" s="2"/>
      <c r="Q7252" s="2"/>
      <c r="R7252" s="2"/>
      <c r="S7252" s="2"/>
      <c r="T7252" s="2"/>
      <c r="U7252" s="2"/>
      <c r="V7252" s="2"/>
      <c r="W7252" s="2"/>
    </row>
    <row r="7253" spans="1:23" x14ac:dyDescent="0.25">
      <c r="A7253" s="2"/>
      <c r="B7253" s="2"/>
      <c r="C7253" s="1"/>
      <c r="D7253" s="2"/>
      <c r="E7253" s="2"/>
      <c r="F7253" s="2"/>
      <c r="G7253" s="2"/>
      <c r="H7253" s="2"/>
      <c r="I7253" s="2"/>
      <c r="J7253" s="2"/>
      <c r="K7253" s="2"/>
      <c r="L7253" s="2"/>
      <c r="M7253" s="2"/>
      <c r="N7253" s="2"/>
      <c r="O7253" s="2"/>
      <c r="P7253" s="2"/>
      <c r="Q7253" s="2"/>
      <c r="R7253" s="2"/>
      <c r="S7253" s="2"/>
      <c r="T7253" s="2"/>
      <c r="U7253" s="2"/>
      <c r="V7253" s="2"/>
      <c r="W7253" s="2"/>
    </row>
    <row r="7254" spans="1:23" x14ac:dyDescent="0.25">
      <c r="A7254" s="2"/>
      <c r="B7254" s="2"/>
      <c r="C7254" s="1"/>
      <c r="D7254" s="2"/>
      <c r="E7254" s="2"/>
      <c r="F7254" s="2"/>
      <c r="G7254" s="2"/>
      <c r="H7254" s="2"/>
      <c r="I7254" s="2"/>
      <c r="J7254" s="2"/>
      <c r="K7254" s="2"/>
      <c r="L7254" s="2"/>
      <c r="M7254" s="2"/>
      <c r="N7254" s="2"/>
      <c r="O7254" s="2"/>
      <c r="P7254" s="2"/>
      <c r="Q7254" s="2"/>
      <c r="R7254" s="2"/>
      <c r="S7254" s="2"/>
      <c r="T7254" s="2"/>
      <c r="U7254" s="2"/>
      <c r="V7254" s="2"/>
      <c r="W7254" s="2"/>
    </row>
    <row r="7255" spans="1:23" x14ac:dyDescent="0.25">
      <c r="A7255" s="2"/>
      <c r="B7255" s="2"/>
      <c r="C7255" s="1"/>
      <c r="D7255" s="2"/>
      <c r="E7255" s="2"/>
      <c r="F7255" s="2"/>
      <c r="G7255" s="2"/>
      <c r="H7255" s="2"/>
      <c r="I7255" s="2"/>
      <c r="J7255" s="2"/>
      <c r="K7255" s="2"/>
      <c r="L7255" s="2"/>
      <c r="M7255" s="2"/>
      <c r="N7255" s="2"/>
      <c r="O7255" s="2"/>
      <c r="P7255" s="2"/>
      <c r="Q7255" s="2"/>
      <c r="R7255" s="2"/>
      <c r="S7255" s="2"/>
      <c r="T7255" s="2"/>
      <c r="U7255" s="2"/>
      <c r="V7255" s="2"/>
      <c r="W7255" s="2"/>
    </row>
    <row r="7256" spans="1:23" x14ac:dyDescent="0.25">
      <c r="A7256" s="2"/>
      <c r="B7256" s="2"/>
      <c r="C7256" s="1"/>
      <c r="D7256" s="2"/>
      <c r="E7256" s="2"/>
      <c r="F7256" s="2"/>
      <c r="G7256" s="2"/>
      <c r="H7256" s="2"/>
      <c r="I7256" s="2"/>
      <c r="J7256" s="2"/>
      <c r="K7256" s="2"/>
      <c r="L7256" s="2"/>
      <c r="M7256" s="2"/>
      <c r="N7256" s="2"/>
      <c r="O7256" s="2"/>
      <c r="P7256" s="2"/>
      <c r="Q7256" s="2"/>
      <c r="R7256" s="2"/>
      <c r="S7256" s="2"/>
      <c r="T7256" s="2"/>
      <c r="U7256" s="2"/>
      <c r="V7256" s="2"/>
      <c r="W7256" s="2"/>
    </row>
    <row r="7257" spans="1:23" x14ac:dyDescent="0.25">
      <c r="A7257" s="2"/>
      <c r="B7257" s="2"/>
      <c r="C7257" s="1"/>
      <c r="D7257" s="2"/>
      <c r="E7257" s="2"/>
      <c r="F7257" s="2"/>
      <c r="G7257" s="2"/>
      <c r="H7257" s="2"/>
      <c r="I7257" s="2"/>
      <c r="J7257" s="2"/>
      <c r="K7257" s="2"/>
      <c r="L7257" s="2"/>
      <c r="M7257" s="2"/>
      <c r="N7257" s="2"/>
      <c r="O7257" s="2"/>
      <c r="P7257" s="2"/>
      <c r="Q7257" s="2"/>
      <c r="R7257" s="2"/>
      <c r="S7257" s="2"/>
      <c r="T7257" s="2"/>
      <c r="U7257" s="2"/>
      <c r="V7257" s="2"/>
      <c r="W7257" s="2"/>
    </row>
    <row r="7258" spans="1:23" x14ac:dyDescent="0.25">
      <c r="A7258" s="2"/>
      <c r="B7258" s="2"/>
      <c r="C7258" s="1"/>
      <c r="D7258" s="2"/>
      <c r="E7258" s="2"/>
      <c r="F7258" s="2"/>
      <c r="G7258" s="2"/>
      <c r="H7258" s="2"/>
      <c r="I7258" s="2"/>
      <c r="J7258" s="2"/>
      <c r="K7258" s="2"/>
      <c r="L7258" s="2"/>
      <c r="M7258" s="2"/>
      <c r="N7258" s="2"/>
      <c r="O7258" s="2"/>
      <c r="P7258" s="2"/>
      <c r="Q7258" s="2"/>
      <c r="R7258" s="2"/>
      <c r="S7258" s="2"/>
      <c r="T7258" s="2"/>
      <c r="U7258" s="2"/>
      <c r="V7258" s="2"/>
      <c r="W7258" s="2"/>
    </row>
    <row r="7259" spans="1:23" x14ac:dyDescent="0.25">
      <c r="A7259" s="2"/>
      <c r="B7259" s="2"/>
      <c r="C7259" s="1"/>
      <c r="D7259" s="2"/>
      <c r="E7259" s="2"/>
      <c r="F7259" s="2"/>
      <c r="G7259" s="2"/>
      <c r="H7259" s="2"/>
      <c r="I7259" s="2"/>
      <c r="J7259" s="2"/>
      <c r="K7259" s="2"/>
      <c r="L7259" s="2"/>
      <c r="M7259" s="2"/>
      <c r="N7259" s="2"/>
      <c r="O7259" s="2"/>
      <c r="P7259" s="2"/>
      <c r="Q7259" s="2"/>
      <c r="R7259" s="2"/>
      <c r="S7259" s="2"/>
      <c r="T7259" s="2"/>
      <c r="U7259" s="2"/>
      <c r="V7259" s="2"/>
      <c r="W7259" s="2"/>
    </row>
    <row r="7260" spans="1:23" x14ac:dyDescent="0.25">
      <c r="A7260" s="2"/>
      <c r="B7260" s="2"/>
      <c r="C7260" s="1"/>
      <c r="D7260" s="2"/>
      <c r="E7260" s="2"/>
      <c r="F7260" s="2"/>
      <c r="G7260" s="2"/>
      <c r="H7260" s="2"/>
      <c r="I7260" s="2"/>
      <c r="J7260" s="2"/>
      <c r="K7260" s="2"/>
      <c r="L7260" s="2"/>
      <c r="M7260" s="2"/>
      <c r="N7260" s="2"/>
      <c r="O7260" s="2"/>
      <c r="P7260" s="2"/>
      <c r="Q7260" s="2"/>
      <c r="R7260" s="2"/>
      <c r="S7260" s="2"/>
      <c r="T7260" s="2"/>
      <c r="U7260" s="2"/>
      <c r="V7260" s="2"/>
      <c r="W7260" s="2"/>
    </row>
    <row r="7261" spans="1:23" x14ac:dyDescent="0.25">
      <c r="A7261" s="2"/>
      <c r="B7261" s="2"/>
      <c r="C7261" s="1"/>
      <c r="D7261" s="2"/>
      <c r="E7261" s="2"/>
      <c r="F7261" s="2"/>
      <c r="G7261" s="2"/>
      <c r="H7261" s="2"/>
      <c r="I7261" s="2"/>
      <c r="J7261" s="2"/>
      <c r="K7261" s="2"/>
      <c r="L7261" s="2"/>
      <c r="M7261" s="2"/>
      <c r="N7261" s="2"/>
      <c r="O7261" s="2"/>
      <c r="P7261" s="2"/>
      <c r="Q7261" s="2"/>
      <c r="R7261" s="2"/>
      <c r="S7261" s="2"/>
      <c r="T7261" s="2"/>
      <c r="U7261" s="2"/>
      <c r="V7261" s="2"/>
      <c r="W7261" s="2"/>
    </row>
    <row r="7262" spans="1:23" x14ac:dyDescent="0.25">
      <c r="A7262" s="2"/>
      <c r="B7262" s="2"/>
      <c r="C7262" s="1"/>
      <c r="D7262" s="2"/>
      <c r="E7262" s="2"/>
      <c r="F7262" s="2"/>
      <c r="G7262" s="2"/>
      <c r="H7262" s="2"/>
      <c r="I7262" s="2"/>
      <c r="J7262" s="2"/>
      <c r="K7262" s="2"/>
      <c r="L7262" s="2"/>
      <c r="M7262" s="2"/>
      <c r="N7262" s="2"/>
      <c r="O7262" s="2"/>
      <c r="P7262" s="2"/>
      <c r="Q7262" s="2"/>
      <c r="R7262" s="2"/>
      <c r="S7262" s="2"/>
      <c r="T7262" s="2"/>
      <c r="U7262" s="2"/>
      <c r="V7262" s="2"/>
      <c r="W7262" s="2"/>
    </row>
    <row r="7263" spans="1:23" x14ac:dyDescent="0.25">
      <c r="A7263" s="2"/>
      <c r="B7263" s="2"/>
      <c r="C7263" s="1"/>
      <c r="D7263" s="2"/>
      <c r="E7263" s="2"/>
      <c r="F7263" s="2"/>
      <c r="G7263" s="2"/>
      <c r="H7263" s="2"/>
      <c r="I7263" s="2"/>
      <c r="J7263" s="2"/>
      <c r="K7263" s="2"/>
      <c r="L7263" s="2"/>
      <c r="M7263" s="2"/>
      <c r="N7263" s="2"/>
      <c r="O7263" s="2"/>
      <c r="P7263" s="2"/>
      <c r="Q7263" s="2"/>
      <c r="R7263" s="2"/>
      <c r="S7263" s="2"/>
      <c r="T7263" s="2"/>
      <c r="U7263" s="2"/>
      <c r="V7263" s="2"/>
      <c r="W7263" s="2"/>
    </row>
    <row r="7264" spans="1:23" x14ac:dyDescent="0.25">
      <c r="A7264" s="2"/>
      <c r="B7264" s="2"/>
      <c r="C7264" s="1"/>
      <c r="D7264" s="2"/>
      <c r="E7264" s="2"/>
      <c r="F7264" s="2"/>
      <c r="G7264" s="2"/>
      <c r="H7264" s="2"/>
      <c r="I7264" s="2"/>
      <c r="J7264" s="2"/>
      <c r="K7264" s="2"/>
      <c r="L7264" s="2"/>
      <c r="M7264" s="2"/>
      <c r="N7264" s="2"/>
      <c r="O7264" s="2"/>
      <c r="P7264" s="2"/>
      <c r="Q7264" s="2"/>
      <c r="R7264" s="2"/>
      <c r="S7264" s="2"/>
      <c r="T7264" s="2"/>
      <c r="U7264" s="2"/>
      <c r="V7264" s="2"/>
      <c r="W7264" s="2"/>
    </row>
    <row r="7265" spans="1:23" x14ac:dyDescent="0.25">
      <c r="A7265" s="2"/>
      <c r="B7265" s="2"/>
      <c r="C7265" s="1"/>
      <c r="D7265" s="2"/>
      <c r="E7265" s="2"/>
      <c r="F7265" s="2"/>
      <c r="G7265" s="2"/>
      <c r="H7265" s="2"/>
      <c r="I7265" s="2"/>
      <c r="J7265" s="2"/>
      <c r="K7265" s="2"/>
      <c r="L7265" s="2"/>
      <c r="M7265" s="2"/>
      <c r="N7265" s="2"/>
      <c r="O7265" s="2"/>
      <c r="P7265" s="2"/>
      <c r="Q7265" s="2"/>
      <c r="R7265" s="2"/>
      <c r="S7265" s="2"/>
      <c r="T7265" s="2"/>
      <c r="U7265" s="2"/>
      <c r="V7265" s="2"/>
      <c r="W7265" s="2"/>
    </row>
    <row r="7266" spans="1:23" x14ac:dyDescent="0.25">
      <c r="A7266" s="2"/>
      <c r="B7266" s="2"/>
      <c r="C7266" s="1"/>
      <c r="D7266" s="2"/>
      <c r="E7266" s="2"/>
      <c r="F7266" s="2"/>
      <c r="G7266" s="2"/>
      <c r="H7266" s="2"/>
      <c r="I7266" s="2"/>
      <c r="J7266" s="2"/>
      <c r="K7266" s="2"/>
      <c r="L7266" s="2"/>
      <c r="M7266" s="2"/>
      <c r="N7266" s="2"/>
      <c r="O7266" s="2"/>
      <c r="P7266" s="2"/>
      <c r="Q7266" s="2"/>
      <c r="R7266" s="2"/>
      <c r="S7266" s="2"/>
      <c r="T7266" s="2"/>
      <c r="U7266" s="2"/>
      <c r="V7266" s="2"/>
      <c r="W7266" s="2"/>
    </row>
    <row r="7267" spans="1:23" x14ac:dyDescent="0.25">
      <c r="A7267" s="2"/>
      <c r="B7267" s="2"/>
      <c r="C7267" s="1"/>
      <c r="D7267" s="2"/>
      <c r="E7267" s="2"/>
      <c r="F7267" s="2"/>
      <c r="G7267" s="2"/>
      <c r="H7267" s="2"/>
      <c r="I7267" s="2"/>
      <c r="J7267" s="2"/>
      <c r="K7267" s="2"/>
      <c r="L7267" s="2"/>
      <c r="M7267" s="2"/>
      <c r="N7267" s="2"/>
      <c r="O7267" s="2"/>
      <c r="P7267" s="2"/>
      <c r="Q7267" s="2"/>
      <c r="R7267" s="2"/>
      <c r="S7267" s="2"/>
      <c r="T7267" s="2"/>
      <c r="U7267" s="2"/>
      <c r="V7267" s="2"/>
      <c r="W7267" s="2"/>
    </row>
    <row r="7268" spans="1:23" x14ac:dyDescent="0.25">
      <c r="A7268" s="2"/>
      <c r="B7268" s="2"/>
      <c r="C7268" s="1"/>
      <c r="D7268" s="2"/>
      <c r="E7268" s="2"/>
      <c r="F7268" s="2"/>
      <c r="G7268" s="2"/>
      <c r="H7268" s="2"/>
      <c r="I7268" s="2"/>
      <c r="J7268" s="2"/>
      <c r="K7268" s="2"/>
      <c r="L7268" s="2"/>
      <c r="M7268" s="2"/>
      <c r="N7268" s="2"/>
      <c r="O7268" s="2"/>
      <c r="P7268" s="2"/>
      <c r="Q7268" s="2"/>
      <c r="R7268" s="2"/>
      <c r="S7268" s="2"/>
      <c r="T7268" s="2"/>
      <c r="U7268" s="2"/>
      <c r="V7268" s="2"/>
      <c r="W7268" s="2"/>
    </row>
    <row r="7269" spans="1:23" x14ac:dyDescent="0.25">
      <c r="A7269" s="2"/>
      <c r="B7269" s="2"/>
      <c r="C7269" s="1"/>
      <c r="D7269" s="2"/>
      <c r="E7269" s="2"/>
      <c r="F7269" s="2"/>
      <c r="G7269" s="2"/>
      <c r="H7269" s="2"/>
      <c r="I7269" s="2"/>
      <c r="J7269" s="2"/>
      <c r="K7269" s="2"/>
      <c r="L7269" s="2"/>
      <c r="M7269" s="2"/>
      <c r="N7269" s="2"/>
      <c r="O7269" s="2"/>
      <c r="P7269" s="2"/>
      <c r="Q7269" s="2"/>
      <c r="R7269" s="2"/>
      <c r="S7269" s="2"/>
      <c r="T7269" s="2"/>
      <c r="U7269" s="2"/>
      <c r="V7269" s="2"/>
      <c r="W7269" s="2"/>
    </row>
    <row r="7270" spans="1:23" x14ac:dyDescent="0.25">
      <c r="A7270" s="2"/>
      <c r="B7270" s="2"/>
      <c r="C7270" s="1"/>
      <c r="D7270" s="2"/>
      <c r="E7270" s="2"/>
      <c r="F7270" s="2"/>
      <c r="G7270" s="2"/>
      <c r="H7270" s="2"/>
      <c r="I7270" s="2"/>
      <c r="J7270" s="2"/>
      <c r="K7270" s="2"/>
      <c r="L7270" s="2"/>
      <c r="M7270" s="2"/>
      <c r="N7270" s="2"/>
      <c r="O7270" s="2"/>
      <c r="P7270" s="2"/>
      <c r="Q7270" s="2"/>
      <c r="R7270" s="2"/>
      <c r="S7270" s="2"/>
      <c r="T7270" s="2"/>
      <c r="U7270" s="2"/>
      <c r="V7270" s="2"/>
      <c r="W7270" s="2"/>
    </row>
    <row r="7271" spans="1:23" x14ac:dyDescent="0.25">
      <c r="A7271" s="2"/>
      <c r="B7271" s="2"/>
      <c r="C7271" s="1"/>
      <c r="D7271" s="2"/>
      <c r="E7271" s="2"/>
      <c r="F7271" s="2"/>
      <c r="G7271" s="2"/>
      <c r="H7271" s="2"/>
      <c r="I7271" s="2"/>
      <c r="J7271" s="2"/>
      <c r="K7271" s="2"/>
      <c r="L7271" s="2"/>
      <c r="M7271" s="2"/>
      <c r="N7271" s="2"/>
      <c r="O7271" s="2"/>
      <c r="P7271" s="2"/>
      <c r="Q7271" s="2"/>
      <c r="R7271" s="2"/>
      <c r="S7271" s="2"/>
      <c r="T7271" s="2"/>
      <c r="U7271" s="2"/>
      <c r="V7271" s="2"/>
      <c r="W7271" s="2"/>
    </row>
    <row r="7272" spans="1:23" x14ac:dyDescent="0.25">
      <c r="A7272" s="2"/>
      <c r="B7272" s="2"/>
      <c r="C7272" s="1"/>
      <c r="D7272" s="2"/>
      <c r="E7272" s="2"/>
      <c r="F7272" s="2"/>
      <c r="G7272" s="2"/>
      <c r="H7272" s="2"/>
      <c r="I7272" s="2"/>
      <c r="J7272" s="2"/>
      <c r="K7272" s="2"/>
      <c r="L7272" s="2"/>
      <c r="M7272" s="2"/>
      <c r="N7272" s="2"/>
      <c r="O7272" s="2"/>
      <c r="P7272" s="2"/>
      <c r="Q7272" s="2"/>
      <c r="R7272" s="2"/>
      <c r="S7272" s="2"/>
      <c r="T7272" s="2"/>
      <c r="U7272" s="2"/>
      <c r="V7272" s="2"/>
      <c r="W7272" s="2"/>
    </row>
    <row r="7273" spans="1:23" x14ac:dyDescent="0.25">
      <c r="A7273" s="2"/>
      <c r="B7273" s="2"/>
      <c r="C7273" s="1"/>
      <c r="D7273" s="2"/>
      <c r="E7273" s="2"/>
      <c r="F7273" s="2"/>
      <c r="G7273" s="2"/>
      <c r="H7273" s="2"/>
      <c r="I7273" s="2"/>
      <c r="J7273" s="2"/>
      <c r="K7273" s="2"/>
      <c r="L7273" s="2"/>
      <c r="M7273" s="2"/>
      <c r="N7273" s="2"/>
      <c r="O7273" s="2"/>
      <c r="P7273" s="2"/>
      <c r="Q7273" s="2"/>
      <c r="R7273" s="2"/>
      <c r="S7273" s="2"/>
      <c r="T7273" s="2"/>
      <c r="U7273" s="2"/>
      <c r="V7273" s="2"/>
      <c r="W7273" s="2"/>
    </row>
    <row r="7274" spans="1:23" x14ac:dyDescent="0.25">
      <c r="A7274" s="2"/>
      <c r="B7274" s="2"/>
      <c r="C7274" s="1"/>
      <c r="D7274" s="2"/>
      <c r="E7274" s="2"/>
      <c r="F7274" s="2"/>
      <c r="G7274" s="2"/>
      <c r="H7274" s="2"/>
      <c r="I7274" s="2"/>
      <c r="J7274" s="2"/>
      <c r="K7274" s="2"/>
      <c r="L7274" s="2"/>
      <c r="M7274" s="2"/>
      <c r="N7274" s="2"/>
      <c r="O7274" s="2"/>
      <c r="P7274" s="2"/>
      <c r="Q7274" s="2"/>
      <c r="R7274" s="2"/>
      <c r="S7274" s="2"/>
      <c r="T7274" s="2"/>
      <c r="U7274" s="2"/>
      <c r="V7274" s="2"/>
      <c r="W7274" s="2"/>
    </row>
    <row r="7275" spans="1:23" x14ac:dyDescent="0.25">
      <c r="A7275" s="2"/>
      <c r="B7275" s="2"/>
      <c r="C7275" s="1"/>
      <c r="D7275" s="2"/>
      <c r="E7275" s="2"/>
      <c r="F7275" s="2"/>
      <c r="G7275" s="2"/>
      <c r="H7275" s="2"/>
      <c r="I7275" s="2"/>
      <c r="J7275" s="2"/>
      <c r="K7275" s="2"/>
      <c r="L7275" s="2"/>
      <c r="M7275" s="2"/>
      <c r="N7275" s="2"/>
      <c r="O7275" s="2"/>
      <c r="P7275" s="2"/>
      <c r="Q7275" s="2"/>
      <c r="R7275" s="2"/>
      <c r="S7275" s="2"/>
      <c r="T7275" s="2"/>
      <c r="U7275" s="2"/>
      <c r="V7275" s="2"/>
      <c r="W7275" s="2"/>
    </row>
    <row r="7276" spans="1:23" x14ac:dyDescent="0.25">
      <c r="A7276" s="2"/>
      <c r="B7276" s="2"/>
      <c r="C7276" s="1"/>
      <c r="D7276" s="2"/>
      <c r="E7276" s="2"/>
      <c r="F7276" s="2"/>
      <c r="G7276" s="2"/>
      <c r="H7276" s="2"/>
      <c r="I7276" s="2"/>
      <c r="J7276" s="2"/>
      <c r="K7276" s="2"/>
      <c r="L7276" s="2"/>
      <c r="M7276" s="2"/>
      <c r="N7276" s="2"/>
      <c r="O7276" s="2"/>
      <c r="P7276" s="2"/>
      <c r="Q7276" s="2"/>
      <c r="R7276" s="2"/>
      <c r="S7276" s="2"/>
      <c r="T7276" s="2"/>
      <c r="U7276" s="2"/>
      <c r="V7276" s="2"/>
      <c r="W7276" s="2"/>
    </row>
    <row r="7277" spans="1:23" x14ac:dyDescent="0.25">
      <c r="A7277" s="2"/>
      <c r="B7277" s="2"/>
      <c r="C7277" s="1"/>
      <c r="D7277" s="2"/>
      <c r="E7277" s="2"/>
      <c r="F7277" s="2"/>
      <c r="G7277" s="2"/>
      <c r="H7277" s="2"/>
      <c r="I7277" s="2"/>
      <c r="J7277" s="2"/>
      <c r="K7277" s="2"/>
      <c r="L7277" s="2"/>
      <c r="M7277" s="2"/>
      <c r="N7277" s="2"/>
      <c r="O7277" s="2"/>
      <c r="P7277" s="2"/>
      <c r="Q7277" s="2"/>
      <c r="R7277" s="2"/>
      <c r="S7277" s="2"/>
      <c r="T7277" s="2"/>
      <c r="U7277" s="2"/>
      <c r="V7277" s="2"/>
      <c r="W7277" s="2"/>
    </row>
    <row r="7278" spans="1:23" x14ac:dyDescent="0.25">
      <c r="A7278" s="2"/>
      <c r="B7278" s="2"/>
      <c r="C7278" s="1"/>
      <c r="D7278" s="2"/>
      <c r="E7278" s="2"/>
      <c r="F7278" s="2"/>
      <c r="G7278" s="2"/>
      <c r="H7278" s="2"/>
      <c r="I7278" s="2"/>
      <c r="J7278" s="2"/>
      <c r="K7278" s="2"/>
      <c r="L7278" s="2"/>
      <c r="M7278" s="2"/>
      <c r="N7278" s="2"/>
      <c r="O7278" s="2"/>
      <c r="P7278" s="2"/>
      <c r="Q7278" s="2"/>
      <c r="R7278" s="2"/>
      <c r="S7278" s="2"/>
      <c r="T7278" s="2"/>
      <c r="U7278" s="2"/>
      <c r="V7278" s="2"/>
      <c r="W7278" s="2"/>
    </row>
    <row r="7279" spans="1:23" x14ac:dyDescent="0.25">
      <c r="A7279" s="2"/>
      <c r="B7279" s="2"/>
      <c r="C7279" s="1"/>
      <c r="D7279" s="2"/>
      <c r="E7279" s="2"/>
      <c r="F7279" s="2"/>
      <c r="G7279" s="2"/>
      <c r="H7279" s="2"/>
      <c r="I7279" s="2"/>
      <c r="J7279" s="2"/>
      <c r="K7279" s="2"/>
      <c r="L7279" s="2"/>
      <c r="M7279" s="2"/>
      <c r="N7279" s="2"/>
      <c r="O7279" s="2"/>
      <c r="P7279" s="2"/>
      <c r="Q7279" s="2"/>
      <c r="R7279" s="2"/>
      <c r="S7279" s="2"/>
      <c r="T7279" s="2"/>
      <c r="U7279" s="2"/>
      <c r="V7279" s="2"/>
      <c r="W7279" s="2"/>
    </row>
    <row r="7280" spans="1:23" x14ac:dyDescent="0.25">
      <c r="A7280" s="2"/>
      <c r="B7280" s="2"/>
      <c r="C7280" s="1"/>
      <c r="D7280" s="2"/>
      <c r="E7280" s="2"/>
      <c r="F7280" s="2"/>
      <c r="G7280" s="2"/>
      <c r="H7280" s="2"/>
      <c r="I7280" s="2"/>
      <c r="J7280" s="2"/>
      <c r="K7280" s="2"/>
      <c r="L7280" s="2"/>
      <c r="M7280" s="2"/>
      <c r="N7280" s="2"/>
      <c r="O7280" s="2"/>
      <c r="P7280" s="2"/>
      <c r="Q7280" s="2"/>
      <c r="R7280" s="2"/>
      <c r="S7280" s="2"/>
      <c r="T7280" s="2"/>
      <c r="U7280" s="2"/>
      <c r="V7280" s="2"/>
      <c r="W7280" s="2"/>
    </row>
    <row r="7281" spans="1:23" x14ac:dyDescent="0.25">
      <c r="A7281" s="2"/>
      <c r="B7281" s="2"/>
      <c r="C7281" s="1"/>
      <c r="D7281" s="2"/>
      <c r="E7281" s="2"/>
      <c r="F7281" s="2"/>
      <c r="G7281" s="2"/>
      <c r="H7281" s="2"/>
      <c r="I7281" s="2"/>
      <c r="J7281" s="2"/>
      <c r="K7281" s="2"/>
      <c r="L7281" s="2"/>
      <c r="M7281" s="2"/>
      <c r="N7281" s="2"/>
      <c r="O7281" s="2"/>
      <c r="P7281" s="2"/>
      <c r="Q7281" s="2"/>
      <c r="R7281" s="2"/>
      <c r="S7281" s="2"/>
      <c r="T7281" s="2"/>
      <c r="U7281" s="2"/>
      <c r="V7281" s="2"/>
      <c r="W7281" s="2"/>
    </row>
    <row r="7282" spans="1:23" x14ac:dyDescent="0.25">
      <c r="A7282" s="2"/>
      <c r="B7282" s="2"/>
      <c r="C7282" s="1"/>
      <c r="D7282" s="2"/>
      <c r="E7282" s="2"/>
      <c r="F7282" s="2"/>
      <c r="G7282" s="2"/>
      <c r="H7282" s="2"/>
      <c r="I7282" s="2"/>
      <c r="J7282" s="2"/>
      <c r="K7282" s="2"/>
      <c r="L7282" s="2"/>
      <c r="M7282" s="2"/>
      <c r="N7282" s="2"/>
      <c r="O7282" s="2"/>
      <c r="P7282" s="2"/>
      <c r="Q7282" s="2"/>
      <c r="R7282" s="2"/>
      <c r="S7282" s="2"/>
      <c r="T7282" s="2"/>
      <c r="U7282" s="2"/>
      <c r="V7282" s="2"/>
      <c r="W7282" s="2"/>
    </row>
    <row r="7283" spans="1:23" x14ac:dyDescent="0.25">
      <c r="A7283" s="2"/>
      <c r="B7283" s="2"/>
      <c r="C7283" s="1"/>
      <c r="D7283" s="2"/>
      <c r="E7283" s="2"/>
      <c r="F7283" s="2"/>
      <c r="G7283" s="2"/>
      <c r="H7283" s="2"/>
      <c r="I7283" s="2"/>
      <c r="J7283" s="2"/>
      <c r="K7283" s="2"/>
      <c r="L7283" s="2"/>
      <c r="M7283" s="2"/>
      <c r="N7283" s="2"/>
      <c r="O7283" s="2"/>
      <c r="P7283" s="2"/>
      <c r="Q7283" s="2"/>
      <c r="R7283" s="2"/>
      <c r="S7283" s="2"/>
      <c r="T7283" s="2"/>
      <c r="U7283" s="2"/>
      <c r="V7283" s="2"/>
      <c r="W7283" s="2"/>
    </row>
    <row r="7284" spans="1:23" x14ac:dyDescent="0.25">
      <c r="A7284" s="2"/>
      <c r="B7284" s="2"/>
      <c r="C7284" s="1"/>
      <c r="D7284" s="2"/>
      <c r="E7284" s="2"/>
      <c r="F7284" s="2"/>
      <c r="G7284" s="2"/>
      <c r="H7284" s="2"/>
      <c r="I7284" s="2"/>
      <c r="J7284" s="2"/>
      <c r="K7284" s="2"/>
      <c r="L7284" s="2"/>
      <c r="M7284" s="2"/>
      <c r="N7284" s="2"/>
      <c r="O7284" s="2"/>
      <c r="P7284" s="2"/>
      <c r="Q7284" s="2"/>
      <c r="R7284" s="2"/>
      <c r="S7284" s="2"/>
      <c r="T7284" s="2"/>
      <c r="U7284" s="2"/>
      <c r="V7284" s="2"/>
      <c r="W7284" s="2"/>
    </row>
    <row r="7285" spans="1:23" x14ac:dyDescent="0.25">
      <c r="A7285" s="2"/>
      <c r="B7285" s="2"/>
      <c r="C7285" s="1"/>
      <c r="D7285" s="2"/>
      <c r="E7285" s="2"/>
      <c r="F7285" s="2"/>
      <c r="G7285" s="2"/>
      <c r="H7285" s="2"/>
      <c r="I7285" s="2"/>
      <c r="J7285" s="2"/>
      <c r="K7285" s="2"/>
      <c r="L7285" s="2"/>
      <c r="M7285" s="2"/>
      <c r="N7285" s="2"/>
      <c r="O7285" s="2"/>
      <c r="P7285" s="2"/>
      <c r="Q7285" s="2"/>
      <c r="R7285" s="2"/>
      <c r="S7285" s="2"/>
      <c r="T7285" s="2"/>
      <c r="U7285" s="2"/>
      <c r="V7285" s="2"/>
      <c r="W7285" s="2"/>
    </row>
    <row r="7286" spans="1:23" x14ac:dyDescent="0.25">
      <c r="A7286" s="2"/>
      <c r="B7286" s="2"/>
      <c r="C7286" s="1"/>
      <c r="D7286" s="2"/>
      <c r="E7286" s="2"/>
      <c r="F7286" s="2"/>
      <c r="G7286" s="2"/>
      <c r="H7286" s="2"/>
      <c r="I7286" s="2"/>
      <c r="J7286" s="2"/>
      <c r="K7286" s="2"/>
      <c r="L7286" s="2"/>
      <c r="M7286" s="2"/>
      <c r="N7286" s="2"/>
      <c r="O7286" s="2"/>
      <c r="P7286" s="2"/>
      <c r="Q7286" s="2"/>
      <c r="R7286" s="2"/>
      <c r="S7286" s="2"/>
      <c r="T7286" s="2"/>
      <c r="U7286" s="2"/>
      <c r="V7286" s="2"/>
      <c r="W7286" s="2"/>
    </row>
    <row r="7287" spans="1:23" x14ac:dyDescent="0.25">
      <c r="A7287" s="2"/>
      <c r="B7287" s="2"/>
      <c r="C7287" s="1"/>
      <c r="D7287" s="2"/>
      <c r="E7287" s="2"/>
      <c r="F7287" s="2"/>
      <c r="G7287" s="2"/>
      <c r="H7287" s="2"/>
      <c r="I7287" s="2"/>
      <c r="J7287" s="2"/>
      <c r="K7287" s="2"/>
      <c r="L7287" s="2"/>
      <c r="M7287" s="2"/>
      <c r="N7287" s="2"/>
      <c r="O7287" s="2"/>
      <c r="P7287" s="2"/>
      <c r="Q7287" s="2"/>
      <c r="R7287" s="2"/>
      <c r="S7287" s="2"/>
      <c r="T7287" s="2"/>
      <c r="U7287" s="2"/>
      <c r="V7287" s="2"/>
      <c r="W7287" s="2"/>
    </row>
    <row r="7288" spans="1:23" x14ac:dyDescent="0.25">
      <c r="A7288" s="2"/>
      <c r="B7288" s="2"/>
      <c r="C7288" s="1"/>
      <c r="D7288" s="2"/>
      <c r="E7288" s="2"/>
      <c r="F7288" s="2"/>
      <c r="G7288" s="2"/>
      <c r="H7288" s="2"/>
      <c r="I7288" s="2"/>
      <c r="J7288" s="2"/>
      <c r="K7288" s="2"/>
      <c r="L7288" s="2"/>
      <c r="M7288" s="2"/>
      <c r="N7288" s="2"/>
      <c r="O7288" s="2"/>
      <c r="P7288" s="2"/>
      <c r="Q7288" s="2"/>
      <c r="R7288" s="2"/>
      <c r="S7288" s="2"/>
      <c r="T7288" s="2"/>
      <c r="U7288" s="2"/>
      <c r="V7288" s="2"/>
      <c r="W7288" s="2"/>
    </row>
    <row r="7289" spans="1:23" x14ac:dyDescent="0.25">
      <c r="A7289" s="2"/>
      <c r="B7289" s="2"/>
      <c r="C7289" s="1"/>
      <c r="D7289" s="2"/>
      <c r="E7289" s="2"/>
      <c r="F7289" s="2"/>
      <c r="G7289" s="2"/>
      <c r="H7289" s="2"/>
      <c r="I7289" s="2"/>
      <c r="J7289" s="2"/>
      <c r="K7289" s="2"/>
      <c r="L7289" s="2"/>
      <c r="M7289" s="2"/>
      <c r="N7289" s="2"/>
      <c r="O7289" s="2"/>
      <c r="P7289" s="2"/>
      <c r="Q7289" s="2"/>
      <c r="R7289" s="2"/>
      <c r="S7289" s="2"/>
      <c r="T7289" s="2"/>
      <c r="U7289" s="2"/>
      <c r="V7289" s="2"/>
      <c r="W7289" s="2"/>
    </row>
    <row r="7290" spans="1:23" x14ac:dyDescent="0.25">
      <c r="A7290" s="2"/>
      <c r="B7290" s="2"/>
      <c r="C7290" s="1"/>
      <c r="D7290" s="2"/>
      <c r="E7290" s="2"/>
      <c r="F7290" s="2"/>
      <c r="G7290" s="2"/>
      <c r="H7290" s="2"/>
      <c r="I7290" s="2"/>
      <c r="J7290" s="2"/>
      <c r="K7290" s="2"/>
      <c r="L7290" s="2"/>
      <c r="M7290" s="2"/>
      <c r="N7290" s="2"/>
      <c r="O7290" s="2"/>
      <c r="P7290" s="2"/>
      <c r="Q7290" s="2"/>
      <c r="R7290" s="2"/>
      <c r="S7290" s="2"/>
      <c r="T7290" s="2"/>
      <c r="U7290" s="2"/>
      <c r="V7290" s="2"/>
      <c r="W7290" s="2"/>
    </row>
    <row r="7291" spans="1:23" x14ac:dyDescent="0.25">
      <c r="A7291" s="2"/>
      <c r="B7291" s="2"/>
      <c r="C7291" s="1"/>
      <c r="D7291" s="2"/>
      <c r="E7291" s="2"/>
      <c r="F7291" s="2"/>
      <c r="G7291" s="2"/>
      <c r="H7291" s="2"/>
      <c r="I7291" s="2"/>
      <c r="J7291" s="2"/>
      <c r="K7291" s="2"/>
      <c r="L7291" s="2"/>
      <c r="M7291" s="2"/>
      <c r="N7291" s="2"/>
      <c r="O7291" s="2"/>
      <c r="P7291" s="2"/>
      <c r="Q7291" s="2"/>
      <c r="R7291" s="2"/>
      <c r="S7291" s="2"/>
      <c r="T7291" s="2"/>
      <c r="U7291" s="2"/>
      <c r="V7291" s="2"/>
      <c r="W7291" s="2"/>
    </row>
    <row r="7292" spans="1:23" x14ac:dyDescent="0.25">
      <c r="A7292" s="2"/>
      <c r="B7292" s="2"/>
      <c r="C7292" s="1"/>
      <c r="D7292" s="2"/>
      <c r="E7292" s="2"/>
      <c r="F7292" s="2"/>
      <c r="G7292" s="2"/>
      <c r="H7292" s="2"/>
      <c r="I7292" s="2"/>
      <c r="J7292" s="2"/>
      <c r="K7292" s="2"/>
      <c r="L7292" s="2"/>
      <c r="M7292" s="2"/>
      <c r="N7292" s="2"/>
      <c r="O7292" s="2"/>
      <c r="P7292" s="2"/>
      <c r="Q7292" s="2"/>
      <c r="R7292" s="2"/>
      <c r="S7292" s="2"/>
      <c r="T7292" s="2"/>
      <c r="U7292" s="2"/>
      <c r="V7292" s="2"/>
      <c r="W7292" s="2"/>
    </row>
    <row r="7293" spans="1:23" x14ac:dyDescent="0.25">
      <c r="A7293" s="2"/>
      <c r="B7293" s="2"/>
      <c r="C7293" s="1"/>
      <c r="D7293" s="2"/>
      <c r="E7293" s="2"/>
      <c r="F7293" s="2"/>
      <c r="G7293" s="2"/>
      <c r="H7293" s="2"/>
      <c r="I7293" s="2"/>
      <c r="J7293" s="2"/>
      <c r="K7293" s="2"/>
      <c r="L7293" s="2"/>
      <c r="M7293" s="2"/>
      <c r="N7293" s="2"/>
      <c r="O7293" s="2"/>
      <c r="P7293" s="2"/>
      <c r="Q7293" s="2"/>
      <c r="R7293" s="2"/>
      <c r="S7293" s="2"/>
      <c r="T7293" s="2"/>
      <c r="U7293" s="2"/>
      <c r="V7293" s="2"/>
      <c r="W7293" s="2"/>
    </row>
    <row r="7294" spans="1:23" x14ac:dyDescent="0.25">
      <c r="A7294" s="2"/>
      <c r="B7294" s="2"/>
      <c r="C7294" s="1"/>
      <c r="D7294" s="2"/>
      <c r="E7294" s="2"/>
      <c r="F7294" s="2"/>
      <c r="G7294" s="2"/>
      <c r="H7294" s="2"/>
      <c r="I7294" s="2"/>
      <c r="J7294" s="2"/>
      <c r="K7294" s="2"/>
      <c r="L7294" s="2"/>
      <c r="M7294" s="2"/>
      <c r="N7294" s="2"/>
      <c r="O7294" s="2"/>
      <c r="P7294" s="2"/>
      <c r="Q7294" s="2"/>
      <c r="R7294" s="2"/>
      <c r="S7294" s="2"/>
      <c r="T7294" s="2"/>
      <c r="U7294" s="2"/>
      <c r="V7294" s="2"/>
      <c r="W7294" s="2"/>
    </row>
    <row r="7295" spans="1:23" x14ac:dyDescent="0.25">
      <c r="A7295" s="2"/>
      <c r="B7295" s="2"/>
      <c r="C7295" s="1"/>
      <c r="D7295" s="2"/>
      <c r="E7295" s="2"/>
      <c r="F7295" s="2"/>
      <c r="G7295" s="2"/>
      <c r="H7295" s="2"/>
      <c r="I7295" s="2"/>
      <c r="J7295" s="2"/>
      <c r="K7295" s="2"/>
      <c r="L7295" s="2"/>
      <c r="M7295" s="2"/>
      <c r="N7295" s="2"/>
      <c r="O7295" s="2"/>
      <c r="P7295" s="2"/>
      <c r="Q7295" s="2"/>
      <c r="R7295" s="2"/>
      <c r="S7295" s="2"/>
      <c r="T7295" s="2"/>
      <c r="U7295" s="2"/>
      <c r="V7295" s="2"/>
      <c r="W7295" s="2"/>
    </row>
    <row r="7296" spans="1:23" x14ac:dyDescent="0.25">
      <c r="A7296" s="2"/>
      <c r="B7296" s="2"/>
      <c r="C7296" s="1"/>
      <c r="D7296" s="2"/>
      <c r="E7296" s="2"/>
      <c r="F7296" s="2"/>
      <c r="G7296" s="2"/>
      <c r="H7296" s="2"/>
      <c r="I7296" s="2"/>
      <c r="J7296" s="2"/>
      <c r="K7296" s="2"/>
      <c r="L7296" s="2"/>
      <c r="M7296" s="2"/>
      <c r="N7296" s="2"/>
      <c r="O7296" s="2"/>
      <c r="P7296" s="2"/>
      <c r="Q7296" s="2"/>
      <c r="R7296" s="2"/>
      <c r="S7296" s="2"/>
      <c r="T7296" s="2"/>
      <c r="U7296" s="2"/>
      <c r="V7296" s="2"/>
      <c r="W7296" s="2"/>
    </row>
    <row r="7297" spans="1:23" x14ac:dyDescent="0.25">
      <c r="A7297" s="2"/>
      <c r="B7297" s="2"/>
      <c r="C7297" s="1"/>
      <c r="D7297" s="2"/>
      <c r="E7297" s="2"/>
      <c r="F7297" s="2"/>
      <c r="G7297" s="2"/>
      <c r="H7297" s="2"/>
      <c r="I7297" s="2"/>
      <c r="J7297" s="2"/>
      <c r="K7297" s="2"/>
      <c r="L7297" s="2"/>
      <c r="M7297" s="2"/>
      <c r="N7297" s="2"/>
      <c r="O7297" s="2"/>
      <c r="P7297" s="2"/>
      <c r="Q7297" s="2"/>
      <c r="R7297" s="2"/>
      <c r="S7297" s="2"/>
      <c r="T7297" s="2"/>
      <c r="U7297" s="2"/>
      <c r="V7297" s="2"/>
      <c r="W7297" s="2"/>
    </row>
    <row r="7298" spans="1:23" x14ac:dyDescent="0.25">
      <c r="A7298" s="2"/>
      <c r="B7298" s="2"/>
      <c r="C7298" s="1"/>
      <c r="D7298" s="2"/>
      <c r="E7298" s="2"/>
      <c r="F7298" s="2"/>
      <c r="G7298" s="2"/>
      <c r="H7298" s="2"/>
      <c r="I7298" s="2"/>
      <c r="J7298" s="2"/>
      <c r="K7298" s="2"/>
      <c r="L7298" s="2"/>
      <c r="M7298" s="2"/>
      <c r="N7298" s="2"/>
      <c r="O7298" s="2"/>
      <c r="P7298" s="2"/>
      <c r="Q7298" s="2"/>
      <c r="R7298" s="2"/>
      <c r="S7298" s="2"/>
      <c r="T7298" s="2"/>
      <c r="U7298" s="2"/>
      <c r="V7298" s="2"/>
      <c r="W7298" s="2"/>
    </row>
    <row r="7299" spans="1:23" x14ac:dyDescent="0.25">
      <c r="A7299" s="2"/>
      <c r="B7299" s="2"/>
      <c r="C7299" s="1"/>
      <c r="D7299" s="2"/>
      <c r="E7299" s="2"/>
      <c r="F7299" s="2"/>
      <c r="G7299" s="2"/>
      <c r="H7299" s="2"/>
      <c r="I7299" s="2"/>
      <c r="J7299" s="2"/>
      <c r="K7299" s="2"/>
      <c r="L7299" s="2"/>
      <c r="M7299" s="2"/>
      <c r="N7299" s="2"/>
      <c r="O7299" s="2"/>
      <c r="P7299" s="2"/>
      <c r="Q7299" s="2"/>
      <c r="R7299" s="2"/>
      <c r="S7299" s="2"/>
      <c r="T7299" s="2"/>
      <c r="U7299" s="2"/>
      <c r="V7299" s="2"/>
      <c r="W7299" s="2"/>
    </row>
    <row r="7300" spans="1:23" x14ac:dyDescent="0.25">
      <c r="A7300" s="2"/>
      <c r="B7300" s="2"/>
      <c r="C7300" s="1"/>
      <c r="D7300" s="2"/>
      <c r="E7300" s="2"/>
      <c r="F7300" s="2"/>
      <c r="G7300" s="2"/>
      <c r="H7300" s="2"/>
      <c r="I7300" s="2"/>
      <c r="J7300" s="2"/>
      <c r="K7300" s="2"/>
      <c r="L7300" s="2"/>
      <c r="M7300" s="2"/>
      <c r="N7300" s="2"/>
      <c r="O7300" s="2"/>
      <c r="P7300" s="2"/>
      <c r="Q7300" s="2"/>
      <c r="R7300" s="2"/>
      <c r="S7300" s="2"/>
      <c r="T7300" s="2"/>
      <c r="U7300" s="2"/>
      <c r="V7300" s="2"/>
      <c r="W7300" s="2"/>
    </row>
    <row r="7301" spans="1:23" x14ac:dyDescent="0.25">
      <c r="A7301" s="2"/>
      <c r="B7301" s="2"/>
      <c r="C7301" s="1"/>
      <c r="D7301" s="2"/>
      <c r="E7301" s="2"/>
      <c r="F7301" s="2"/>
      <c r="G7301" s="2"/>
      <c r="H7301" s="2"/>
      <c r="I7301" s="2"/>
      <c r="J7301" s="2"/>
      <c r="K7301" s="2"/>
      <c r="L7301" s="2"/>
      <c r="M7301" s="2"/>
      <c r="N7301" s="2"/>
      <c r="O7301" s="2"/>
      <c r="P7301" s="2"/>
      <c r="Q7301" s="2"/>
      <c r="R7301" s="2"/>
      <c r="S7301" s="2"/>
      <c r="T7301" s="2"/>
      <c r="U7301" s="2"/>
      <c r="V7301" s="2"/>
      <c r="W7301" s="2"/>
    </row>
    <row r="7302" spans="1:23" x14ac:dyDescent="0.25">
      <c r="A7302" s="2"/>
      <c r="B7302" s="2"/>
      <c r="C7302" s="1"/>
      <c r="D7302" s="2"/>
      <c r="E7302" s="2"/>
      <c r="F7302" s="2"/>
      <c r="G7302" s="2"/>
      <c r="H7302" s="2"/>
      <c r="I7302" s="2"/>
      <c r="J7302" s="2"/>
      <c r="K7302" s="2"/>
      <c r="L7302" s="2"/>
      <c r="M7302" s="2"/>
      <c r="N7302" s="2"/>
      <c r="O7302" s="2"/>
      <c r="P7302" s="2"/>
      <c r="Q7302" s="2"/>
      <c r="R7302" s="2"/>
      <c r="S7302" s="2"/>
      <c r="T7302" s="2"/>
      <c r="U7302" s="2"/>
      <c r="V7302" s="2"/>
      <c r="W7302" s="2"/>
    </row>
    <row r="7303" spans="1:23" x14ac:dyDescent="0.25">
      <c r="A7303" s="2"/>
      <c r="B7303" s="2"/>
      <c r="C7303" s="1"/>
      <c r="D7303" s="2"/>
      <c r="E7303" s="2"/>
      <c r="F7303" s="2"/>
      <c r="G7303" s="2"/>
      <c r="H7303" s="2"/>
      <c r="I7303" s="2"/>
      <c r="J7303" s="2"/>
      <c r="K7303" s="2"/>
      <c r="L7303" s="2"/>
      <c r="M7303" s="2"/>
      <c r="N7303" s="2"/>
      <c r="O7303" s="2"/>
      <c r="P7303" s="2"/>
      <c r="Q7303" s="2"/>
      <c r="R7303" s="2"/>
      <c r="S7303" s="2"/>
      <c r="T7303" s="2"/>
      <c r="U7303" s="2"/>
      <c r="V7303" s="2"/>
      <c r="W7303" s="2"/>
    </row>
    <row r="7304" spans="1:23" x14ac:dyDescent="0.25">
      <c r="A7304" s="2"/>
      <c r="B7304" s="2"/>
      <c r="C7304" s="1"/>
      <c r="D7304" s="2"/>
      <c r="E7304" s="2"/>
      <c r="F7304" s="2"/>
      <c r="G7304" s="2"/>
      <c r="H7304" s="2"/>
      <c r="I7304" s="2"/>
      <c r="J7304" s="2"/>
      <c r="K7304" s="2"/>
      <c r="L7304" s="2"/>
      <c r="M7304" s="2"/>
      <c r="N7304" s="2"/>
      <c r="O7304" s="2"/>
      <c r="P7304" s="2"/>
      <c r="Q7304" s="2"/>
      <c r="R7304" s="2"/>
      <c r="S7304" s="2"/>
      <c r="T7304" s="2"/>
      <c r="U7304" s="2"/>
      <c r="V7304" s="2"/>
      <c r="W7304" s="2"/>
    </row>
    <row r="7305" spans="1:23" x14ac:dyDescent="0.25">
      <c r="A7305" s="2"/>
      <c r="B7305" s="2"/>
      <c r="C7305" s="1"/>
      <c r="D7305" s="2"/>
      <c r="E7305" s="2"/>
      <c r="F7305" s="2"/>
      <c r="G7305" s="2"/>
      <c r="H7305" s="2"/>
      <c r="I7305" s="2"/>
      <c r="J7305" s="2"/>
      <c r="K7305" s="2"/>
      <c r="L7305" s="2"/>
      <c r="M7305" s="2"/>
      <c r="N7305" s="2"/>
      <c r="O7305" s="2"/>
      <c r="P7305" s="2"/>
      <c r="Q7305" s="2"/>
      <c r="R7305" s="2"/>
      <c r="S7305" s="2"/>
      <c r="T7305" s="2"/>
      <c r="U7305" s="2"/>
      <c r="V7305" s="2"/>
      <c r="W7305" s="2"/>
    </row>
    <row r="7306" spans="1:23" x14ac:dyDescent="0.25">
      <c r="A7306" s="2"/>
      <c r="B7306" s="2"/>
      <c r="C7306" s="1"/>
      <c r="D7306" s="2"/>
      <c r="E7306" s="2"/>
      <c r="F7306" s="2"/>
      <c r="G7306" s="2"/>
      <c r="H7306" s="2"/>
      <c r="I7306" s="2"/>
      <c r="J7306" s="2"/>
      <c r="K7306" s="2"/>
      <c r="L7306" s="2"/>
      <c r="M7306" s="2"/>
      <c r="N7306" s="2"/>
      <c r="O7306" s="2"/>
      <c r="P7306" s="2"/>
      <c r="Q7306" s="2"/>
      <c r="R7306" s="2"/>
      <c r="S7306" s="2"/>
      <c r="T7306" s="2"/>
      <c r="U7306" s="2"/>
      <c r="V7306" s="2"/>
      <c r="W7306" s="2"/>
    </row>
    <row r="7307" spans="1:23" x14ac:dyDescent="0.25">
      <c r="A7307" s="2"/>
      <c r="B7307" s="2"/>
      <c r="C7307" s="1"/>
      <c r="D7307" s="2"/>
      <c r="E7307" s="2"/>
      <c r="F7307" s="2"/>
      <c r="G7307" s="2"/>
      <c r="H7307" s="2"/>
      <c r="I7307" s="2"/>
      <c r="J7307" s="2"/>
      <c r="K7307" s="2"/>
      <c r="L7307" s="2"/>
      <c r="M7307" s="2"/>
      <c r="N7307" s="2"/>
      <c r="O7307" s="2"/>
      <c r="P7307" s="2"/>
      <c r="Q7307" s="2"/>
      <c r="R7307" s="2"/>
      <c r="S7307" s="2"/>
      <c r="T7307" s="2"/>
      <c r="U7307" s="2"/>
      <c r="V7307" s="2"/>
      <c r="W7307" s="2"/>
    </row>
    <row r="7308" spans="1:23" x14ac:dyDescent="0.25">
      <c r="A7308" s="2"/>
      <c r="B7308" s="2"/>
      <c r="C7308" s="1"/>
      <c r="D7308" s="2"/>
      <c r="E7308" s="2"/>
      <c r="F7308" s="2"/>
      <c r="G7308" s="2"/>
      <c r="H7308" s="2"/>
      <c r="I7308" s="2"/>
      <c r="J7308" s="2"/>
      <c r="K7308" s="2"/>
      <c r="L7308" s="2"/>
      <c r="M7308" s="2"/>
      <c r="N7308" s="2"/>
      <c r="O7308" s="2"/>
      <c r="P7308" s="2"/>
      <c r="Q7308" s="2"/>
      <c r="R7308" s="2"/>
      <c r="S7308" s="2"/>
      <c r="T7308" s="2"/>
      <c r="U7308" s="2"/>
      <c r="V7308" s="2"/>
      <c r="W7308" s="2"/>
    </row>
    <row r="7309" spans="1:23" x14ac:dyDescent="0.25">
      <c r="A7309" s="2"/>
      <c r="B7309" s="2"/>
      <c r="C7309" s="1"/>
      <c r="D7309" s="2"/>
      <c r="E7309" s="2"/>
      <c r="F7309" s="2"/>
      <c r="G7309" s="2"/>
      <c r="H7309" s="2"/>
      <c r="I7309" s="2"/>
      <c r="J7309" s="2"/>
      <c r="K7309" s="2"/>
      <c r="L7309" s="2"/>
      <c r="M7309" s="2"/>
      <c r="N7309" s="2"/>
      <c r="O7309" s="2"/>
      <c r="P7309" s="2"/>
      <c r="Q7309" s="2"/>
      <c r="R7309" s="2"/>
      <c r="S7309" s="2"/>
      <c r="T7309" s="2"/>
      <c r="U7309" s="2"/>
      <c r="V7309" s="2"/>
      <c r="W7309" s="2"/>
    </row>
    <row r="7310" spans="1:23" x14ac:dyDescent="0.25">
      <c r="A7310" s="2"/>
      <c r="B7310" s="2"/>
      <c r="C7310" s="1"/>
      <c r="D7310" s="2"/>
      <c r="E7310" s="2"/>
      <c r="F7310" s="2"/>
      <c r="G7310" s="2"/>
      <c r="H7310" s="2"/>
      <c r="I7310" s="2"/>
      <c r="J7310" s="2"/>
      <c r="K7310" s="2"/>
      <c r="L7310" s="2"/>
      <c r="M7310" s="2"/>
      <c r="N7310" s="2"/>
      <c r="O7310" s="2"/>
      <c r="P7310" s="2"/>
      <c r="Q7310" s="2"/>
      <c r="R7310" s="2"/>
      <c r="S7310" s="2"/>
      <c r="T7310" s="2"/>
      <c r="U7310" s="2"/>
      <c r="V7310" s="2"/>
      <c r="W7310" s="2"/>
    </row>
    <row r="7311" spans="1:23" x14ac:dyDescent="0.25">
      <c r="A7311" s="2"/>
      <c r="B7311" s="2"/>
      <c r="C7311" s="1"/>
      <c r="D7311" s="2"/>
      <c r="E7311" s="2"/>
      <c r="F7311" s="2"/>
      <c r="G7311" s="2"/>
      <c r="H7311" s="2"/>
      <c r="I7311" s="2"/>
      <c r="J7311" s="2"/>
      <c r="K7311" s="2"/>
      <c r="L7311" s="2"/>
      <c r="M7311" s="2"/>
      <c r="N7311" s="2"/>
      <c r="O7311" s="2"/>
      <c r="P7311" s="2"/>
      <c r="Q7311" s="2"/>
      <c r="R7311" s="2"/>
      <c r="S7311" s="2"/>
      <c r="T7311" s="2"/>
      <c r="U7311" s="2"/>
      <c r="V7311" s="2"/>
      <c r="W7311" s="2"/>
    </row>
    <row r="7312" spans="1:23" x14ac:dyDescent="0.25">
      <c r="A7312" s="2"/>
      <c r="B7312" s="2"/>
      <c r="C7312" s="1"/>
      <c r="D7312" s="2"/>
      <c r="E7312" s="2"/>
      <c r="F7312" s="2"/>
      <c r="G7312" s="2"/>
      <c r="H7312" s="2"/>
      <c r="I7312" s="2"/>
      <c r="J7312" s="2"/>
      <c r="K7312" s="2"/>
      <c r="L7312" s="2"/>
      <c r="M7312" s="2"/>
      <c r="N7312" s="2"/>
      <c r="O7312" s="2"/>
      <c r="P7312" s="2"/>
      <c r="Q7312" s="2"/>
      <c r="R7312" s="2"/>
      <c r="S7312" s="2"/>
      <c r="T7312" s="2"/>
      <c r="U7312" s="2"/>
      <c r="V7312" s="2"/>
      <c r="W7312" s="2"/>
    </row>
    <row r="7313" spans="1:23" x14ac:dyDescent="0.25">
      <c r="A7313" s="2"/>
      <c r="B7313" s="2"/>
      <c r="C7313" s="1"/>
      <c r="D7313" s="2"/>
      <c r="E7313" s="2"/>
      <c r="F7313" s="2"/>
      <c r="G7313" s="2"/>
      <c r="H7313" s="2"/>
      <c r="I7313" s="2"/>
      <c r="J7313" s="2"/>
      <c r="K7313" s="2"/>
      <c r="L7313" s="2"/>
      <c r="M7313" s="2"/>
      <c r="N7313" s="2"/>
      <c r="O7313" s="2"/>
      <c r="P7313" s="2"/>
      <c r="Q7313" s="2"/>
      <c r="R7313" s="2"/>
      <c r="S7313" s="2"/>
      <c r="T7313" s="2"/>
      <c r="U7313" s="2"/>
      <c r="V7313" s="2"/>
      <c r="W7313" s="2"/>
    </row>
    <row r="7314" spans="1:23" x14ac:dyDescent="0.25">
      <c r="A7314" s="2"/>
      <c r="B7314" s="2"/>
      <c r="C7314" s="1"/>
      <c r="D7314" s="2"/>
      <c r="E7314" s="2"/>
      <c r="F7314" s="2"/>
      <c r="G7314" s="2"/>
      <c r="H7314" s="2"/>
      <c r="I7314" s="2"/>
      <c r="J7314" s="2"/>
      <c r="K7314" s="2"/>
      <c r="L7314" s="2"/>
      <c r="M7314" s="2"/>
      <c r="N7314" s="2"/>
      <c r="O7314" s="2"/>
      <c r="P7314" s="2"/>
      <c r="Q7314" s="2"/>
      <c r="R7314" s="2"/>
      <c r="S7314" s="2"/>
      <c r="T7314" s="2"/>
      <c r="U7314" s="2"/>
      <c r="V7314" s="2"/>
      <c r="W7314" s="2"/>
    </row>
    <row r="7315" spans="1:23" x14ac:dyDescent="0.25">
      <c r="A7315" s="2"/>
      <c r="B7315" s="2"/>
      <c r="C7315" s="1"/>
      <c r="D7315" s="2"/>
      <c r="E7315" s="2"/>
      <c r="F7315" s="2"/>
      <c r="G7315" s="2"/>
      <c r="H7315" s="2"/>
      <c r="I7315" s="2"/>
      <c r="J7315" s="2"/>
      <c r="K7315" s="2"/>
      <c r="L7315" s="2"/>
      <c r="M7315" s="2"/>
      <c r="N7315" s="2"/>
      <c r="O7315" s="2"/>
      <c r="P7315" s="2"/>
      <c r="Q7315" s="2"/>
      <c r="R7315" s="2"/>
      <c r="S7315" s="2"/>
      <c r="T7315" s="2"/>
      <c r="U7315" s="2"/>
      <c r="V7315" s="2"/>
      <c r="W7315" s="2"/>
    </row>
    <row r="7316" spans="1:23" x14ac:dyDescent="0.25">
      <c r="A7316" s="2"/>
      <c r="B7316" s="2"/>
      <c r="C7316" s="1"/>
      <c r="D7316" s="2"/>
      <c r="E7316" s="2"/>
      <c r="F7316" s="2"/>
      <c r="G7316" s="2"/>
      <c r="H7316" s="2"/>
      <c r="I7316" s="2"/>
      <c r="J7316" s="2"/>
      <c r="K7316" s="2"/>
      <c r="L7316" s="2"/>
      <c r="M7316" s="2"/>
      <c r="N7316" s="2"/>
      <c r="O7316" s="2"/>
      <c r="P7316" s="2"/>
      <c r="Q7316" s="2"/>
      <c r="R7316" s="2"/>
      <c r="S7316" s="2"/>
      <c r="T7316" s="2"/>
      <c r="U7316" s="2"/>
      <c r="V7316" s="2"/>
      <c r="W7316" s="2"/>
    </row>
    <row r="7317" spans="1:23" x14ac:dyDescent="0.25">
      <c r="A7317" s="2"/>
      <c r="B7317" s="2"/>
      <c r="C7317" s="1"/>
      <c r="D7317" s="2"/>
      <c r="E7317" s="2"/>
      <c r="F7317" s="2"/>
      <c r="G7317" s="2"/>
      <c r="H7317" s="2"/>
      <c r="I7317" s="2"/>
      <c r="J7317" s="2"/>
      <c r="K7317" s="2"/>
      <c r="L7317" s="2"/>
      <c r="M7317" s="2"/>
      <c r="N7317" s="2"/>
      <c r="O7317" s="2"/>
      <c r="P7317" s="2"/>
      <c r="Q7317" s="2"/>
      <c r="R7317" s="2"/>
      <c r="S7317" s="2"/>
      <c r="T7317" s="2"/>
      <c r="U7317" s="2"/>
      <c r="V7317" s="2"/>
      <c r="W7317" s="2"/>
    </row>
    <row r="7318" spans="1:23" x14ac:dyDescent="0.25">
      <c r="A7318" s="2"/>
      <c r="B7318" s="2"/>
      <c r="C7318" s="1"/>
      <c r="D7318" s="2"/>
      <c r="E7318" s="2"/>
      <c r="F7318" s="2"/>
      <c r="G7318" s="2"/>
      <c r="H7318" s="2"/>
      <c r="I7318" s="2"/>
      <c r="J7318" s="2"/>
      <c r="K7318" s="2"/>
      <c r="L7318" s="2"/>
      <c r="M7318" s="2"/>
      <c r="N7318" s="2"/>
      <c r="O7318" s="2"/>
      <c r="P7318" s="2"/>
      <c r="Q7318" s="2"/>
      <c r="R7318" s="2"/>
      <c r="S7318" s="2"/>
      <c r="T7318" s="2"/>
      <c r="U7318" s="2"/>
      <c r="V7318" s="2"/>
      <c r="W7318" s="2"/>
    </row>
    <row r="7319" spans="1:23" x14ac:dyDescent="0.25">
      <c r="A7319" s="2"/>
      <c r="B7319" s="2"/>
      <c r="C7319" s="1"/>
      <c r="D7319" s="2"/>
      <c r="E7319" s="2"/>
      <c r="F7319" s="2"/>
      <c r="G7319" s="2"/>
      <c r="H7319" s="2"/>
      <c r="I7319" s="2"/>
      <c r="J7319" s="2"/>
      <c r="K7319" s="2"/>
      <c r="L7319" s="2"/>
      <c r="M7319" s="2"/>
      <c r="N7319" s="2"/>
      <c r="O7319" s="2"/>
      <c r="P7319" s="2"/>
      <c r="Q7319" s="2"/>
      <c r="R7319" s="2"/>
      <c r="S7319" s="2"/>
      <c r="T7319" s="2"/>
      <c r="U7319" s="2"/>
      <c r="V7319" s="2"/>
      <c r="W7319" s="2"/>
    </row>
    <row r="7320" spans="1:23" x14ac:dyDescent="0.25">
      <c r="A7320" s="2"/>
      <c r="B7320" s="2"/>
      <c r="C7320" s="1"/>
      <c r="D7320" s="2"/>
      <c r="E7320" s="2"/>
      <c r="F7320" s="2"/>
      <c r="G7320" s="2"/>
      <c r="H7320" s="2"/>
      <c r="I7320" s="2"/>
      <c r="J7320" s="2"/>
      <c r="K7320" s="2"/>
      <c r="L7320" s="2"/>
      <c r="M7320" s="2"/>
      <c r="N7320" s="2"/>
      <c r="O7320" s="2"/>
      <c r="P7320" s="2"/>
      <c r="Q7320" s="2"/>
      <c r="R7320" s="2"/>
      <c r="S7320" s="2"/>
      <c r="T7320" s="2"/>
      <c r="U7320" s="2"/>
      <c r="V7320" s="2"/>
      <c r="W7320" s="2"/>
    </row>
    <row r="7321" spans="1:23" x14ac:dyDescent="0.25">
      <c r="A7321" s="2"/>
      <c r="B7321" s="2"/>
      <c r="C7321" s="1"/>
      <c r="D7321" s="2"/>
      <c r="E7321" s="2"/>
      <c r="F7321" s="2"/>
      <c r="G7321" s="2"/>
      <c r="H7321" s="2"/>
      <c r="I7321" s="2"/>
      <c r="J7321" s="2"/>
      <c r="K7321" s="2"/>
      <c r="L7321" s="2"/>
      <c r="M7321" s="2"/>
      <c r="N7321" s="2"/>
      <c r="O7321" s="2"/>
      <c r="P7321" s="2"/>
      <c r="Q7321" s="2"/>
      <c r="R7321" s="2"/>
      <c r="S7321" s="2"/>
      <c r="T7321" s="2"/>
      <c r="U7321" s="2"/>
      <c r="V7321" s="2"/>
      <c r="W7321" s="2"/>
    </row>
    <row r="7322" spans="1:23" x14ac:dyDescent="0.25">
      <c r="A7322" s="2"/>
      <c r="B7322" s="2"/>
      <c r="C7322" s="1"/>
      <c r="D7322" s="2"/>
      <c r="E7322" s="2"/>
      <c r="F7322" s="2"/>
      <c r="G7322" s="2"/>
      <c r="H7322" s="2"/>
      <c r="I7322" s="2"/>
      <c r="J7322" s="2"/>
      <c r="K7322" s="2"/>
      <c r="L7322" s="2"/>
      <c r="M7322" s="2"/>
      <c r="N7322" s="2"/>
      <c r="O7322" s="2"/>
      <c r="P7322" s="2"/>
      <c r="Q7322" s="2"/>
      <c r="R7322" s="2"/>
      <c r="S7322" s="2"/>
      <c r="T7322" s="2"/>
      <c r="U7322" s="2"/>
      <c r="V7322" s="2"/>
      <c r="W7322" s="2"/>
    </row>
    <row r="7323" spans="1:23" x14ac:dyDescent="0.25">
      <c r="A7323" s="2"/>
      <c r="B7323" s="2"/>
      <c r="C7323" s="1"/>
      <c r="D7323" s="2"/>
      <c r="E7323" s="2"/>
      <c r="F7323" s="2"/>
      <c r="G7323" s="2"/>
      <c r="H7323" s="2"/>
      <c r="I7323" s="2"/>
      <c r="J7323" s="2"/>
      <c r="K7323" s="2"/>
      <c r="L7323" s="2"/>
      <c r="M7323" s="2"/>
      <c r="N7323" s="2"/>
      <c r="O7323" s="2"/>
      <c r="P7323" s="2"/>
      <c r="Q7323" s="2"/>
      <c r="R7323" s="2"/>
      <c r="S7323" s="2"/>
      <c r="T7323" s="2"/>
      <c r="U7323" s="2"/>
      <c r="V7323" s="2"/>
      <c r="W7323" s="2"/>
    </row>
    <row r="7324" spans="1:23" x14ac:dyDescent="0.25">
      <c r="A7324" s="2"/>
      <c r="B7324" s="2"/>
      <c r="C7324" s="1"/>
      <c r="D7324" s="2"/>
      <c r="E7324" s="2"/>
      <c r="F7324" s="2"/>
      <c r="G7324" s="2"/>
      <c r="H7324" s="2"/>
      <c r="I7324" s="2"/>
      <c r="J7324" s="2"/>
      <c r="K7324" s="2"/>
      <c r="L7324" s="2"/>
      <c r="M7324" s="2"/>
      <c r="N7324" s="2"/>
      <c r="O7324" s="2"/>
      <c r="P7324" s="2"/>
      <c r="Q7324" s="2"/>
      <c r="R7324" s="2"/>
      <c r="S7324" s="2"/>
      <c r="T7324" s="2"/>
      <c r="U7324" s="2"/>
      <c r="V7324" s="2"/>
      <c r="W7324" s="2"/>
    </row>
    <row r="7325" spans="1:23" x14ac:dyDescent="0.25">
      <c r="A7325" s="2"/>
      <c r="B7325" s="2"/>
      <c r="C7325" s="1"/>
      <c r="D7325" s="2"/>
      <c r="E7325" s="2"/>
      <c r="F7325" s="2"/>
      <c r="G7325" s="2"/>
      <c r="H7325" s="2"/>
      <c r="I7325" s="2"/>
      <c r="J7325" s="2"/>
      <c r="K7325" s="2"/>
      <c r="L7325" s="2"/>
      <c r="M7325" s="2"/>
      <c r="N7325" s="2"/>
      <c r="O7325" s="2"/>
      <c r="P7325" s="2"/>
      <c r="Q7325" s="2"/>
      <c r="R7325" s="2"/>
      <c r="S7325" s="2"/>
      <c r="T7325" s="2"/>
      <c r="U7325" s="2"/>
      <c r="V7325" s="2"/>
      <c r="W7325" s="2"/>
    </row>
    <row r="7326" spans="1:23" x14ac:dyDescent="0.25">
      <c r="A7326" s="2"/>
      <c r="B7326" s="2"/>
      <c r="C7326" s="1"/>
      <c r="D7326" s="2"/>
      <c r="E7326" s="2"/>
      <c r="F7326" s="2"/>
      <c r="G7326" s="2"/>
      <c r="H7326" s="2"/>
      <c r="I7326" s="2"/>
      <c r="J7326" s="2"/>
      <c r="K7326" s="2"/>
      <c r="L7326" s="2"/>
      <c r="M7326" s="2"/>
      <c r="N7326" s="2"/>
      <c r="O7326" s="2"/>
      <c r="P7326" s="2"/>
      <c r="Q7326" s="2"/>
      <c r="R7326" s="2"/>
      <c r="S7326" s="2"/>
      <c r="T7326" s="2"/>
      <c r="U7326" s="2"/>
      <c r="V7326" s="2"/>
      <c r="W7326" s="2"/>
    </row>
    <row r="7327" spans="1:23" x14ac:dyDescent="0.25">
      <c r="A7327" s="2"/>
      <c r="B7327" s="2"/>
      <c r="C7327" s="1"/>
      <c r="D7327" s="2"/>
      <c r="E7327" s="2"/>
      <c r="F7327" s="2"/>
      <c r="G7327" s="2"/>
      <c r="H7327" s="2"/>
      <c r="I7327" s="2"/>
      <c r="J7327" s="2"/>
      <c r="K7327" s="2"/>
      <c r="L7327" s="2"/>
      <c r="M7327" s="2"/>
      <c r="N7327" s="2"/>
      <c r="O7327" s="2"/>
      <c r="P7327" s="2"/>
      <c r="Q7327" s="2"/>
      <c r="R7327" s="2"/>
      <c r="S7327" s="2"/>
      <c r="T7327" s="2"/>
      <c r="U7327" s="2"/>
      <c r="V7327" s="2"/>
      <c r="W7327" s="2"/>
    </row>
    <row r="7328" spans="1:23" x14ac:dyDescent="0.25">
      <c r="A7328" s="2"/>
      <c r="B7328" s="2"/>
      <c r="C7328" s="1"/>
      <c r="D7328" s="2"/>
      <c r="E7328" s="2"/>
      <c r="F7328" s="2"/>
      <c r="G7328" s="2"/>
      <c r="H7328" s="2"/>
      <c r="I7328" s="2"/>
      <c r="J7328" s="2"/>
      <c r="K7328" s="2"/>
      <c r="L7328" s="2"/>
      <c r="M7328" s="2"/>
      <c r="N7328" s="2"/>
      <c r="O7328" s="2"/>
      <c r="P7328" s="2"/>
      <c r="Q7328" s="2"/>
      <c r="R7328" s="2"/>
      <c r="S7328" s="2"/>
      <c r="T7328" s="2"/>
      <c r="U7328" s="2"/>
      <c r="V7328" s="2"/>
      <c r="W7328" s="2"/>
    </row>
    <row r="7329" spans="1:23" x14ac:dyDescent="0.25">
      <c r="A7329" s="2"/>
      <c r="B7329" s="2"/>
      <c r="C7329" s="1"/>
      <c r="D7329" s="2"/>
      <c r="E7329" s="2"/>
      <c r="F7329" s="2"/>
      <c r="G7329" s="2"/>
      <c r="H7329" s="2"/>
      <c r="I7329" s="2"/>
      <c r="J7329" s="2"/>
      <c r="K7329" s="2"/>
      <c r="L7329" s="2"/>
      <c r="M7329" s="2"/>
      <c r="N7329" s="2"/>
      <c r="O7329" s="2"/>
      <c r="P7329" s="2"/>
      <c r="Q7329" s="2"/>
      <c r="R7329" s="2"/>
      <c r="S7329" s="2"/>
      <c r="T7329" s="2"/>
      <c r="U7329" s="2"/>
      <c r="V7329" s="2"/>
      <c r="W7329" s="2"/>
    </row>
    <row r="7330" spans="1:23" x14ac:dyDescent="0.25">
      <c r="A7330" s="2"/>
      <c r="B7330" s="2"/>
      <c r="C7330" s="1"/>
      <c r="D7330" s="2"/>
      <c r="E7330" s="2"/>
      <c r="F7330" s="2"/>
      <c r="G7330" s="2"/>
      <c r="H7330" s="2"/>
      <c r="I7330" s="2"/>
      <c r="J7330" s="2"/>
      <c r="K7330" s="2"/>
      <c r="L7330" s="2"/>
      <c r="M7330" s="2"/>
      <c r="N7330" s="2"/>
      <c r="O7330" s="2"/>
      <c r="P7330" s="2"/>
      <c r="Q7330" s="2"/>
      <c r="R7330" s="2"/>
      <c r="S7330" s="2"/>
      <c r="T7330" s="2"/>
      <c r="U7330" s="2"/>
      <c r="V7330" s="2"/>
      <c r="W7330" s="2"/>
    </row>
    <row r="7331" spans="1:23" x14ac:dyDescent="0.25">
      <c r="A7331" s="2"/>
      <c r="B7331" s="2"/>
      <c r="C7331" s="1"/>
      <c r="D7331" s="2"/>
      <c r="E7331" s="2"/>
      <c r="F7331" s="2"/>
      <c r="G7331" s="2"/>
      <c r="H7331" s="2"/>
      <c r="I7331" s="2"/>
      <c r="J7331" s="2"/>
      <c r="K7331" s="2"/>
      <c r="L7331" s="2"/>
      <c r="M7331" s="2"/>
      <c r="N7331" s="2"/>
      <c r="O7331" s="2"/>
      <c r="P7331" s="2"/>
      <c r="Q7331" s="2"/>
      <c r="R7331" s="2"/>
      <c r="S7331" s="2"/>
      <c r="T7331" s="2"/>
      <c r="U7331" s="2"/>
      <c r="V7331" s="2"/>
      <c r="W7331" s="2"/>
    </row>
    <row r="7332" spans="1:23" x14ac:dyDescent="0.25">
      <c r="A7332" s="2"/>
      <c r="B7332" s="2"/>
      <c r="C7332" s="1"/>
      <c r="D7332" s="2"/>
      <c r="E7332" s="2"/>
      <c r="F7332" s="2"/>
      <c r="G7332" s="2"/>
      <c r="H7332" s="2"/>
      <c r="I7332" s="2"/>
      <c r="J7332" s="2"/>
      <c r="K7332" s="2"/>
      <c r="L7332" s="2"/>
      <c r="M7332" s="2"/>
      <c r="N7332" s="2"/>
      <c r="O7332" s="2"/>
      <c r="P7332" s="2"/>
      <c r="Q7332" s="2"/>
      <c r="R7332" s="2"/>
      <c r="S7332" s="2"/>
      <c r="T7332" s="2"/>
      <c r="U7332" s="2"/>
      <c r="V7332" s="2"/>
      <c r="W7332" s="2"/>
    </row>
    <row r="7333" spans="1:23" x14ac:dyDescent="0.25">
      <c r="A7333" s="2"/>
      <c r="B7333" s="2"/>
      <c r="C7333" s="1"/>
      <c r="D7333" s="2"/>
      <c r="E7333" s="2"/>
      <c r="F7333" s="2"/>
      <c r="G7333" s="2"/>
      <c r="H7333" s="2"/>
      <c r="I7333" s="2"/>
      <c r="J7333" s="2"/>
      <c r="K7333" s="2"/>
      <c r="L7333" s="2"/>
      <c r="M7333" s="2"/>
      <c r="N7333" s="2"/>
      <c r="O7333" s="2"/>
      <c r="P7333" s="2"/>
      <c r="Q7333" s="2"/>
      <c r="R7333" s="2"/>
      <c r="S7333" s="2"/>
      <c r="T7333" s="2"/>
      <c r="U7333" s="2"/>
      <c r="V7333" s="2"/>
      <c r="W7333" s="2"/>
    </row>
    <row r="7334" spans="1:23" x14ac:dyDescent="0.25">
      <c r="A7334" s="2"/>
      <c r="B7334" s="2"/>
      <c r="C7334" s="1"/>
      <c r="D7334" s="2"/>
      <c r="E7334" s="2"/>
      <c r="F7334" s="2"/>
      <c r="G7334" s="2"/>
      <c r="H7334" s="2"/>
      <c r="I7334" s="2"/>
      <c r="J7334" s="2"/>
      <c r="K7334" s="2"/>
      <c r="L7334" s="2"/>
      <c r="M7334" s="2"/>
      <c r="N7334" s="2"/>
      <c r="O7334" s="2"/>
      <c r="P7334" s="2"/>
      <c r="Q7334" s="2"/>
      <c r="R7334" s="2"/>
      <c r="S7334" s="2"/>
      <c r="T7334" s="2"/>
      <c r="U7334" s="2"/>
      <c r="V7334" s="2"/>
      <c r="W7334" s="2"/>
    </row>
    <row r="7335" spans="1:23" x14ac:dyDescent="0.25">
      <c r="A7335" s="2"/>
      <c r="B7335" s="2"/>
      <c r="C7335" s="1"/>
      <c r="D7335" s="2"/>
      <c r="E7335" s="2"/>
      <c r="F7335" s="2"/>
      <c r="G7335" s="2"/>
      <c r="H7335" s="2"/>
      <c r="I7335" s="2"/>
      <c r="J7335" s="2"/>
      <c r="K7335" s="2"/>
      <c r="L7335" s="2"/>
      <c r="M7335" s="2"/>
      <c r="N7335" s="2"/>
      <c r="O7335" s="2"/>
      <c r="P7335" s="2"/>
      <c r="Q7335" s="2"/>
      <c r="R7335" s="2"/>
      <c r="S7335" s="2"/>
      <c r="T7335" s="2"/>
      <c r="U7335" s="2"/>
      <c r="V7335" s="2"/>
      <c r="W7335" s="2"/>
    </row>
    <row r="7336" spans="1:23" x14ac:dyDescent="0.25">
      <c r="A7336" s="2"/>
      <c r="B7336" s="2"/>
      <c r="C7336" s="1"/>
      <c r="D7336" s="2"/>
      <c r="E7336" s="2"/>
      <c r="F7336" s="2"/>
      <c r="G7336" s="2"/>
      <c r="H7336" s="2"/>
      <c r="I7336" s="2"/>
      <c r="J7336" s="2"/>
      <c r="K7336" s="2"/>
      <c r="L7336" s="2"/>
      <c r="M7336" s="2"/>
      <c r="N7336" s="2"/>
      <c r="O7336" s="2"/>
      <c r="P7336" s="2"/>
      <c r="Q7336" s="2"/>
      <c r="R7336" s="2"/>
      <c r="S7336" s="2"/>
      <c r="T7336" s="2"/>
      <c r="U7336" s="2"/>
      <c r="V7336" s="2"/>
      <c r="W7336" s="2"/>
    </row>
    <row r="7337" spans="1:23" x14ac:dyDescent="0.25">
      <c r="A7337" s="2"/>
      <c r="B7337" s="2"/>
      <c r="C7337" s="1"/>
      <c r="D7337" s="2"/>
      <c r="E7337" s="2"/>
      <c r="F7337" s="2"/>
      <c r="G7337" s="2"/>
      <c r="H7337" s="2"/>
      <c r="I7337" s="2"/>
      <c r="J7337" s="2"/>
      <c r="K7337" s="2"/>
      <c r="L7337" s="2"/>
      <c r="M7337" s="2"/>
      <c r="N7337" s="2"/>
      <c r="O7337" s="2"/>
      <c r="P7337" s="2"/>
      <c r="Q7337" s="2"/>
      <c r="R7337" s="2"/>
      <c r="S7337" s="2"/>
      <c r="T7337" s="2"/>
      <c r="U7337" s="2"/>
      <c r="V7337" s="2"/>
      <c r="W7337" s="2"/>
    </row>
    <row r="7338" spans="1:23" x14ac:dyDescent="0.25">
      <c r="A7338" s="2"/>
      <c r="B7338" s="2"/>
      <c r="C7338" s="1"/>
      <c r="D7338" s="2"/>
      <c r="E7338" s="2"/>
      <c r="F7338" s="2"/>
      <c r="G7338" s="2"/>
      <c r="H7338" s="2"/>
      <c r="I7338" s="2"/>
      <c r="J7338" s="2"/>
      <c r="K7338" s="2"/>
      <c r="L7338" s="2"/>
      <c r="M7338" s="2"/>
      <c r="N7338" s="2"/>
      <c r="O7338" s="2"/>
      <c r="P7338" s="2"/>
      <c r="Q7338" s="2"/>
      <c r="R7338" s="2"/>
      <c r="S7338" s="2"/>
      <c r="T7338" s="2"/>
      <c r="U7338" s="2"/>
      <c r="V7338" s="2"/>
      <c r="W7338" s="2"/>
    </row>
    <row r="7339" spans="1:23" x14ac:dyDescent="0.25">
      <c r="A7339" s="2"/>
      <c r="B7339" s="2"/>
      <c r="C7339" s="1"/>
      <c r="D7339" s="2"/>
      <c r="E7339" s="2"/>
      <c r="F7339" s="2"/>
      <c r="G7339" s="2"/>
      <c r="H7339" s="2"/>
      <c r="I7339" s="2"/>
      <c r="J7339" s="2"/>
      <c r="K7339" s="2"/>
      <c r="L7339" s="2"/>
      <c r="M7339" s="2"/>
      <c r="N7339" s="2"/>
      <c r="O7339" s="2"/>
      <c r="P7339" s="2"/>
      <c r="Q7339" s="2"/>
      <c r="R7339" s="2"/>
      <c r="S7339" s="2"/>
      <c r="T7339" s="2"/>
      <c r="U7339" s="2"/>
      <c r="V7339" s="2"/>
      <c r="W7339" s="2"/>
    </row>
    <row r="7340" spans="1:23" x14ac:dyDescent="0.25">
      <c r="A7340" s="2"/>
      <c r="B7340" s="2"/>
      <c r="C7340" s="1"/>
      <c r="D7340" s="2"/>
      <c r="E7340" s="2"/>
      <c r="F7340" s="2"/>
      <c r="G7340" s="2"/>
      <c r="H7340" s="2"/>
      <c r="I7340" s="2"/>
      <c r="J7340" s="2"/>
      <c r="K7340" s="2"/>
      <c r="L7340" s="2"/>
      <c r="M7340" s="2"/>
      <c r="N7340" s="2"/>
      <c r="O7340" s="2"/>
      <c r="P7340" s="2"/>
      <c r="Q7340" s="2"/>
      <c r="R7340" s="2"/>
      <c r="S7340" s="2"/>
      <c r="T7340" s="2"/>
      <c r="U7340" s="2"/>
      <c r="V7340" s="2"/>
      <c r="W7340" s="2"/>
    </row>
    <row r="7341" spans="1:23" x14ac:dyDescent="0.25">
      <c r="A7341" s="2"/>
      <c r="B7341" s="2"/>
      <c r="C7341" s="1"/>
      <c r="D7341" s="2"/>
      <c r="E7341" s="2"/>
      <c r="F7341" s="2"/>
      <c r="G7341" s="2"/>
      <c r="H7341" s="2"/>
      <c r="I7341" s="2"/>
      <c r="J7341" s="2"/>
      <c r="K7341" s="2"/>
      <c r="L7341" s="2"/>
      <c r="M7341" s="2"/>
      <c r="N7341" s="2"/>
      <c r="O7341" s="2"/>
      <c r="P7341" s="2"/>
      <c r="Q7341" s="2"/>
      <c r="R7341" s="2"/>
      <c r="S7341" s="2"/>
      <c r="T7341" s="2"/>
      <c r="U7341" s="2"/>
      <c r="V7341" s="2"/>
      <c r="W7341" s="2"/>
    </row>
    <row r="7342" spans="1:23" x14ac:dyDescent="0.25">
      <c r="A7342" s="2"/>
      <c r="B7342" s="2"/>
      <c r="C7342" s="1"/>
      <c r="D7342" s="2"/>
      <c r="E7342" s="2"/>
      <c r="F7342" s="2"/>
      <c r="G7342" s="2"/>
      <c r="H7342" s="2"/>
      <c r="I7342" s="2"/>
      <c r="J7342" s="2"/>
      <c r="K7342" s="2"/>
      <c r="L7342" s="2"/>
      <c r="M7342" s="2"/>
      <c r="N7342" s="2"/>
      <c r="O7342" s="2"/>
      <c r="P7342" s="2"/>
      <c r="Q7342" s="2"/>
      <c r="R7342" s="2"/>
      <c r="S7342" s="2"/>
      <c r="T7342" s="2"/>
      <c r="U7342" s="2"/>
      <c r="V7342" s="2"/>
      <c r="W7342" s="2"/>
    </row>
    <row r="7343" spans="1:23" x14ac:dyDescent="0.25">
      <c r="A7343" s="2"/>
      <c r="B7343" s="2"/>
      <c r="C7343" s="1"/>
      <c r="D7343" s="2"/>
      <c r="E7343" s="2"/>
      <c r="F7343" s="2"/>
      <c r="G7343" s="2"/>
      <c r="H7343" s="2"/>
      <c r="I7343" s="2"/>
      <c r="J7343" s="2"/>
      <c r="K7343" s="2"/>
      <c r="L7343" s="2"/>
      <c r="M7343" s="2"/>
      <c r="N7343" s="2"/>
      <c r="O7343" s="2"/>
      <c r="P7343" s="2"/>
      <c r="Q7343" s="2"/>
      <c r="R7343" s="2"/>
      <c r="S7343" s="2"/>
      <c r="T7343" s="2"/>
      <c r="U7343" s="2"/>
      <c r="V7343" s="2"/>
      <c r="W7343" s="2"/>
    </row>
    <row r="7344" spans="1:23" x14ac:dyDescent="0.25">
      <c r="A7344" s="2"/>
      <c r="B7344" s="2"/>
      <c r="C7344" s="1"/>
      <c r="D7344" s="2"/>
      <c r="E7344" s="2"/>
      <c r="F7344" s="2"/>
      <c r="G7344" s="2"/>
      <c r="H7344" s="2"/>
      <c r="I7344" s="2"/>
      <c r="J7344" s="2"/>
      <c r="K7344" s="2"/>
      <c r="L7344" s="2"/>
      <c r="M7344" s="2"/>
      <c r="N7344" s="2"/>
      <c r="O7344" s="2"/>
      <c r="P7344" s="2"/>
      <c r="Q7344" s="2"/>
      <c r="R7344" s="2"/>
      <c r="S7344" s="2"/>
      <c r="T7344" s="2"/>
      <c r="U7344" s="2"/>
      <c r="V7344" s="2"/>
      <c r="W7344" s="2"/>
    </row>
    <row r="7345" spans="1:23" x14ac:dyDescent="0.25">
      <c r="A7345" s="2"/>
      <c r="B7345" s="2"/>
      <c r="C7345" s="1"/>
      <c r="D7345" s="2"/>
      <c r="E7345" s="2"/>
      <c r="F7345" s="2"/>
      <c r="G7345" s="2"/>
      <c r="H7345" s="2"/>
      <c r="I7345" s="2"/>
      <c r="J7345" s="2"/>
      <c r="K7345" s="2"/>
      <c r="L7345" s="2"/>
      <c r="M7345" s="2"/>
      <c r="N7345" s="2"/>
      <c r="O7345" s="2"/>
      <c r="P7345" s="2"/>
      <c r="Q7345" s="2"/>
      <c r="R7345" s="2"/>
      <c r="S7345" s="2"/>
      <c r="T7345" s="2"/>
      <c r="U7345" s="2"/>
      <c r="V7345" s="2"/>
      <c r="W7345" s="2"/>
    </row>
    <row r="7346" spans="1:23" x14ac:dyDescent="0.25">
      <c r="A7346" s="2"/>
      <c r="B7346" s="2"/>
      <c r="C7346" s="1"/>
      <c r="D7346" s="2"/>
      <c r="E7346" s="2"/>
      <c r="F7346" s="2"/>
      <c r="G7346" s="2"/>
      <c r="H7346" s="2"/>
      <c r="I7346" s="2"/>
      <c r="J7346" s="2"/>
      <c r="K7346" s="2"/>
      <c r="L7346" s="2"/>
      <c r="M7346" s="2"/>
      <c r="N7346" s="2"/>
      <c r="O7346" s="2"/>
      <c r="P7346" s="2"/>
      <c r="Q7346" s="2"/>
      <c r="R7346" s="2"/>
      <c r="S7346" s="2"/>
      <c r="T7346" s="2"/>
      <c r="U7346" s="2"/>
      <c r="V7346" s="2"/>
      <c r="W7346" s="2"/>
    </row>
    <row r="7347" spans="1:23" x14ac:dyDescent="0.25">
      <c r="A7347" s="2"/>
      <c r="B7347" s="2"/>
      <c r="C7347" s="1"/>
      <c r="D7347" s="2"/>
      <c r="E7347" s="2"/>
      <c r="F7347" s="2"/>
      <c r="G7347" s="2"/>
      <c r="H7347" s="2"/>
      <c r="I7347" s="2"/>
      <c r="J7347" s="2"/>
      <c r="K7347" s="2"/>
      <c r="L7347" s="2"/>
      <c r="M7347" s="2"/>
      <c r="N7347" s="2"/>
      <c r="O7347" s="2"/>
      <c r="P7347" s="2"/>
      <c r="Q7347" s="2"/>
      <c r="R7347" s="2"/>
      <c r="S7347" s="2"/>
      <c r="T7347" s="2"/>
      <c r="U7347" s="2"/>
      <c r="V7347" s="2"/>
      <c r="W7347" s="2"/>
    </row>
    <row r="7348" spans="1:23" x14ac:dyDescent="0.25">
      <c r="A7348" s="2"/>
      <c r="B7348" s="2"/>
      <c r="C7348" s="1"/>
      <c r="D7348" s="2"/>
      <c r="E7348" s="2"/>
      <c r="F7348" s="2"/>
      <c r="G7348" s="2"/>
      <c r="H7348" s="2"/>
      <c r="I7348" s="2"/>
      <c r="J7348" s="2"/>
      <c r="K7348" s="2"/>
      <c r="L7348" s="2"/>
      <c r="M7348" s="2"/>
      <c r="N7348" s="2"/>
      <c r="O7348" s="2"/>
      <c r="P7348" s="2"/>
      <c r="Q7348" s="2"/>
      <c r="R7348" s="2"/>
      <c r="S7348" s="2"/>
      <c r="T7348" s="2"/>
      <c r="U7348" s="2"/>
      <c r="V7348" s="2"/>
      <c r="W7348" s="2"/>
    </row>
    <row r="7349" spans="1:23" x14ac:dyDescent="0.25">
      <c r="A7349" s="2"/>
      <c r="B7349" s="2"/>
      <c r="C7349" s="1"/>
      <c r="D7349" s="2"/>
      <c r="E7349" s="2"/>
      <c r="F7349" s="2"/>
      <c r="G7349" s="2"/>
      <c r="H7349" s="2"/>
      <c r="I7349" s="2"/>
      <c r="J7349" s="2"/>
      <c r="K7349" s="2"/>
      <c r="L7349" s="2"/>
      <c r="M7349" s="2"/>
      <c r="N7349" s="2"/>
      <c r="O7349" s="2"/>
      <c r="P7349" s="2"/>
      <c r="Q7349" s="2"/>
      <c r="R7349" s="2"/>
      <c r="S7349" s="2"/>
      <c r="T7349" s="2"/>
      <c r="U7349" s="2"/>
      <c r="V7349" s="2"/>
      <c r="W7349" s="2"/>
    </row>
    <row r="7350" spans="1:23" x14ac:dyDescent="0.25">
      <c r="A7350" s="2"/>
      <c r="B7350" s="2"/>
      <c r="C7350" s="1"/>
      <c r="D7350" s="2"/>
      <c r="E7350" s="2"/>
      <c r="F7350" s="2"/>
      <c r="G7350" s="2"/>
      <c r="H7350" s="2"/>
      <c r="I7350" s="2"/>
      <c r="J7350" s="2"/>
      <c r="K7350" s="2"/>
      <c r="L7350" s="2"/>
      <c r="M7350" s="2"/>
      <c r="N7350" s="2"/>
      <c r="O7350" s="2"/>
      <c r="P7350" s="2"/>
      <c r="Q7350" s="2"/>
      <c r="R7350" s="2"/>
      <c r="S7350" s="2"/>
      <c r="T7350" s="2"/>
      <c r="U7350" s="2"/>
      <c r="V7350" s="2"/>
      <c r="W7350" s="2"/>
    </row>
    <row r="7351" spans="1:23" x14ac:dyDescent="0.25">
      <c r="A7351" s="2"/>
      <c r="B7351" s="2"/>
      <c r="C7351" s="1"/>
      <c r="D7351" s="2"/>
      <c r="E7351" s="2"/>
      <c r="F7351" s="2"/>
      <c r="G7351" s="2"/>
      <c r="H7351" s="2"/>
      <c r="I7351" s="2"/>
      <c r="J7351" s="2"/>
      <c r="K7351" s="2"/>
      <c r="L7351" s="2"/>
      <c r="M7351" s="2"/>
      <c r="N7351" s="2"/>
      <c r="O7351" s="2"/>
      <c r="P7351" s="2"/>
      <c r="Q7351" s="2"/>
      <c r="R7351" s="2"/>
      <c r="S7351" s="2"/>
      <c r="T7351" s="2"/>
      <c r="U7351" s="2"/>
      <c r="V7351" s="2"/>
      <c r="W7351" s="2"/>
    </row>
    <row r="7352" spans="1:23" x14ac:dyDescent="0.25">
      <c r="A7352" s="2"/>
      <c r="B7352" s="2"/>
      <c r="C7352" s="1"/>
      <c r="D7352" s="2"/>
      <c r="E7352" s="2"/>
      <c r="F7352" s="2"/>
      <c r="G7352" s="2"/>
      <c r="H7352" s="2"/>
      <c r="I7352" s="2"/>
      <c r="J7352" s="2"/>
      <c r="K7352" s="2"/>
      <c r="L7352" s="2"/>
      <c r="M7352" s="2"/>
      <c r="N7352" s="2"/>
      <c r="O7352" s="2"/>
      <c r="P7352" s="2"/>
      <c r="Q7352" s="2"/>
      <c r="R7352" s="2"/>
      <c r="S7352" s="2"/>
      <c r="T7352" s="2"/>
      <c r="U7352" s="2"/>
      <c r="V7352" s="2"/>
      <c r="W7352" s="2"/>
    </row>
    <row r="7353" spans="1:23" x14ac:dyDescent="0.25">
      <c r="A7353" s="2"/>
      <c r="B7353" s="2"/>
      <c r="C7353" s="1"/>
      <c r="D7353" s="2"/>
      <c r="E7353" s="2"/>
      <c r="F7353" s="2"/>
      <c r="G7353" s="2"/>
      <c r="H7353" s="2"/>
      <c r="I7353" s="2"/>
      <c r="J7353" s="2"/>
      <c r="K7353" s="2"/>
      <c r="L7353" s="2"/>
      <c r="M7353" s="2"/>
      <c r="N7353" s="2"/>
      <c r="O7353" s="2"/>
      <c r="P7353" s="2"/>
      <c r="Q7353" s="2"/>
      <c r="R7353" s="2"/>
      <c r="S7353" s="2"/>
      <c r="T7353" s="2"/>
      <c r="U7353" s="2"/>
      <c r="V7353" s="2"/>
      <c r="W7353" s="2"/>
    </row>
    <row r="7354" spans="1:23" x14ac:dyDescent="0.25">
      <c r="A7354" s="2"/>
      <c r="B7354" s="2"/>
      <c r="C7354" s="1"/>
      <c r="D7354" s="2"/>
      <c r="E7354" s="2"/>
      <c r="F7354" s="2"/>
      <c r="G7354" s="2"/>
      <c r="H7354" s="2"/>
      <c r="I7354" s="2"/>
      <c r="J7354" s="2"/>
      <c r="K7354" s="2"/>
      <c r="L7354" s="2"/>
      <c r="M7354" s="2"/>
      <c r="N7354" s="2"/>
      <c r="O7354" s="2"/>
      <c r="P7354" s="2"/>
      <c r="Q7354" s="2"/>
      <c r="R7354" s="2"/>
      <c r="S7354" s="2"/>
      <c r="T7354" s="2"/>
      <c r="U7354" s="2"/>
      <c r="V7354" s="2"/>
      <c r="W7354" s="2"/>
    </row>
    <row r="7355" spans="1:23" x14ac:dyDescent="0.25">
      <c r="A7355" s="2"/>
      <c r="B7355" s="2"/>
      <c r="C7355" s="1"/>
      <c r="D7355" s="2"/>
      <c r="E7355" s="2"/>
      <c r="F7355" s="2"/>
      <c r="G7355" s="2"/>
      <c r="H7355" s="2"/>
      <c r="I7355" s="2"/>
      <c r="J7355" s="2"/>
      <c r="K7355" s="2"/>
      <c r="L7355" s="2"/>
      <c r="M7355" s="2"/>
      <c r="N7355" s="2"/>
      <c r="O7355" s="2"/>
      <c r="P7355" s="2"/>
      <c r="Q7355" s="2"/>
      <c r="R7355" s="2"/>
      <c r="S7355" s="2"/>
      <c r="T7355" s="2"/>
      <c r="U7355" s="2"/>
      <c r="V7355" s="2"/>
      <c r="W7355" s="2"/>
    </row>
    <row r="7356" spans="1:23" x14ac:dyDescent="0.25">
      <c r="A7356" s="2"/>
      <c r="B7356" s="2"/>
      <c r="C7356" s="1"/>
      <c r="D7356" s="2"/>
      <c r="E7356" s="2"/>
      <c r="F7356" s="2"/>
      <c r="G7356" s="2"/>
      <c r="H7356" s="2"/>
      <c r="I7356" s="2"/>
      <c r="J7356" s="2"/>
      <c r="K7356" s="2"/>
      <c r="L7356" s="2"/>
      <c r="M7356" s="2"/>
      <c r="N7356" s="2"/>
      <c r="O7356" s="2"/>
      <c r="P7356" s="2"/>
      <c r="Q7356" s="2"/>
      <c r="R7356" s="2"/>
      <c r="S7356" s="2"/>
      <c r="T7356" s="2"/>
      <c r="U7356" s="2"/>
      <c r="V7356" s="2"/>
      <c r="W7356" s="2"/>
    </row>
    <row r="7357" spans="1:23" x14ac:dyDescent="0.25">
      <c r="A7357" s="2"/>
      <c r="B7357" s="2"/>
      <c r="C7357" s="1"/>
      <c r="D7357" s="2"/>
      <c r="E7357" s="2"/>
      <c r="F7357" s="2"/>
      <c r="G7357" s="2"/>
      <c r="H7357" s="2"/>
      <c r="I7357" s="2"/>
      <c r="J7357" s="2"/>
      <c r="K7357" s="2"/>
      <c r="L7357" s="2"/>
      <c r="M7357" s="2"/>
      <c r="N7357" s="2"/>
      <c r="O7357" s="2"/>
      <c r="P7357" s="2"/>
      <c r="Q7357" s="2"/>
      <c r="R7357" s="2"/>
      <c r="S7357" s="2"/>
      <c r="T7357" s="2"/>
      <c r="U7357" s="2"/>
      <c r="V7357" s="2"/>
      <c r="W7357" s="2"/>
    </row>
    <row r="7358" spans="1:23" x14ac:dyDescent="0.25">
      <c r="A7358" s="2"/>
      <c r="B7358" s="2"/>
      <c r="C7358" s="1"/>
      <c r="D7358" s="2"/>
      <c r="E7358" s="2"/>
      <c r="F7358" s="2"/>
      <c r="G7358" s="2"/>
      <c r="H7358" s="2"/>
      <c r="I7358" s="2"/>
      <c r="J7358" s="2"/>
      <c r="K7358" s="2"/>
      <c r="L7358" s="2"/>
      <c r="M7358" s="2"/>
      <c r="N7358" s="2"/>
      <c r="O7358" s="2"/>
      <c r="P7358" s="2"/>
      <c r="Q7358" s="2"/>
      <c r="R7358" s="2"/>
      <c r="S7358" s="2"/>
      <c r="T7358" s="2"/>
      <c r="U7358" s="2"/>
      <c r="V7358" s="2"/>
      <c r="W7358" s="2"/>
    </row>
    <row r="7359" spans="1:23" x14ac:dyDescent="0.25">
      <c r="A7359" s="2"/>
      <c r="B7359" s="2"/>
      <c r="C7359" s="1"/>
      <c r="D7359" s="2"/>
      <c r="E7359" s="2"/>
      <c r="F7359" s="2"/>
      <c r="G7359" s="2"/>
      <c r="H7359" s="2"/>
      <c r="I7359" s="2"/>
      <c r="J7359" s="2"/>
      <c r="K7359" s="2"/>
      <c r="L7359" s="2"/>
      <c r="M7359" s="2"/>
      <c r="N7359" s="2"/>
      <c r="O7359" s="2"/>
      <c r="P7359" s="2"/>
      <c r="Q7359" s="2"/>
      <c r="R7359" s="2"/>
      <c r="S7359" s="2"/>
      <c r="T7359" s="2"/>
      <c r="U7359" s="2"/>
      <c r="V7359" s="2"/>
      <c r="W7359" s="2"/>
    </row>
    <row r="7360" spans="1:23" x14ac:dyDescent="0.25">
      <c r="A7360" s="2"/>
      <c r="B7360" s="2"/>
      <c r="C7360" s="1"/>
      <c r="D7360" s="2"/>
      <c r="E7360" s="2"/>
      <c r="F7360" s="2"/>
      <c r="G7360" s="2"/>
      <c r="H7360" s="2"/>
      <c r="I7360" s="2"/>
      <c r="J7360" s="2"/>
      <c r="K7360" s="2"/>
      <c r="L7360" s="2"/>
      <c r="M7360" s="2"/>
      <c r="N7360" s="2"/>
      <c r="O7360" s="2"/>
      <c r="P7360" s="2"/>
      <c r="Q7360" s="2"/>
      <c r="R7360" s="2"/>
      <c r="S7360" s="2"/>
      <c r="T7360" s="2"/>
      <c r="U7360" s="2"/>
      <c r="V7360" s="2"/>
      <c r="W7360" s="2"/>
    </row>
    <row r="7361" spans="1:23" x14ac:dyDescent="0.25">
      <c r="A7361" s="2"/>
      <c r="B7361" s="2"/>
      <c r="C7361" s="1"/>
      <c r="D7361" s="2"/>
      <c r="E7361" s="2"/>
      <c r="F7361" s="2"/>
      <c r="G7361" s="2"/>
      <c r="H7361" s="2"/>
      <c r="I7361" s="2"/>
      <c r="J7361" s="2"/>
      <c r="K7361" s="2"/>
      <c r="L7361" s="2"/>
      <c r="M7361" s="2"/>
      <c r="N7361" s="2"/>
      <c r="O7361" s="2"/>
      <c r="P7361" s="2"/>
      <c r="Q7361" s="2"/>
      <c r="R7361" s="2"/>
      <c r="S7361" s="2"/>
      <c r="T7361" s="2"/>
      <c r="U7361" s="2"/>
      <c r="V7361" s="2"/>
      <c r="W7361" s="2"/>
    </row>
    <row r="7362" spans="1:23" x14ac:dyDescent="0.25">
      <c r="A7362" s="2"/>
      <c r="B7362" s="2"/>
      <c r="C7362" s="1"/>
      <c r="D7362" s="2"/>
      <c r="E7362" s="2"/>
      <c r="F7362" s="2"/>
      <c r="G7362" s="2"/>
      <c r="H7362" s="2"/>
      <c r="I7362" s="2"/>
      <c r="J7362" s="2"/>
      <c r="K7362" s="2"/>
      <c r="L7362" s="2"/>
      <c r="M7362" s="2"/>
      <c r="N7362" s="2"/>
      <c r="O7362" s="2"/>
      <c r="P7362" s="2"/>
      <c r="Q7362" s="2"/>
      <c r="R7362" s="2"/>
      <c r="S7362" s="2"/>
      <c r="T7362" s="2"/>
      <c r="U7362" s="2"/>
      <c r="V7362" s="2"/>
      <c r="W7362" s="2"/>
    </row>
    <row r="7363" spans="1:23" x14ac:dyDescent="0.25">
      <c r="A7363" s="2"/>
      <c r="B7363" s="2"/>
      <c r="C7363" s="1"/>
      <c r="D7363" s="2"/>
      <c r="E7363" s="2"/>
      <c r="F7363" s="2"/>
      <c r="G7363" s="2"/>
      <c r="H7363" s="2"/>
      <c r="I7363" s="2"/>
      <c r="J7363" s="2"/>
      <c r="K7363" s="2"/>
      <c r="L7363" s="2"/>
      <c r="M7363" s="2"/>
      <c r="N7363" s="2"/>
      <c r="O7363" s="2"/>
      <c r="P7363" s="2"/>
      <c r="Q7363" s="2"/>
      <c r="R7363" s="2"/>
      <c r="S7363" s="2"/>
      <c r="T7363" s="2"/>
      <c r="U7363" s="2"/>
      <c r="V7363" s="2"/>
      <c r="W7363" s="2"/>
    </row>
    <row r="7364" spans="1:23" x14ac:dyDescent="0.25">
      <c r="A7364" s="2"/>
      <c r="B7364" s="2"/>
      <c r="C7364" s="1"/>
      <c r="D7364" s="2"/>
      <c r="E7364" s="2"/>
      <c r="F7364" s="2"/>
      <c r="G7364" s="2"/>
      <c r="H7364" s="2"/>
      <c r="I7364" s="2"/>
      <c r="J7364" s="2"/>
      <c r="K7364" s="2"/>
      <c r="L7364" s="2"/>
      <c r="M7364" s="2"/>
      <c r="N7364" s="2"/>
      <c r="O7364" s="2"/>
      <c r="P7364" s="2"/>
      <c r="Q7364" s="2"/>
      <c r="R7364" s="2"/>
      <c r="S7364" s="2"/>
      <c r="T7364" s="2"/>
      <c r="U7364" s="2"/>
      <c r="V7364" s="2"/>
      <c r="W7364" s="2"/>
    </row>
    <row r="7365" spans="1:23" x14ac:dyDescent="0.25">
      <c r="A7365" s="2"/>
      <c r="B7365" s="2"/>
      <c r="C7365" s="1"/>
      <c r="D7365" s="2"/>
      <c r="E7365" s="2"/>
      <c r="F7365" s="2"/>
      <c r="G7365" s="2"/>
      <c r="H7365" s="2"/>
      <c r="I7365" s="2"/>
      <c r="J7365" s="2"/>
      <c r="K7365" s="2"/>
      <c r="L7365" s="2"/>
      <c r="M7365" s="2"/>
      <c r="N7365" s="2"/>
      <c r="O7365" s="2"/>
      <c r="P7365" s="2"/>
      <c r="Q7365" s="2"/>
      <c r="R7365" s="2"/>
      <c r="S7365" s="2"/>
      <c r="T7365" s="2"/>
      <c r="U7365" s="2"/>
      <c r="V7365" s="2"/>
      <c r="W7365" s="2"/>
    </row>
    <row r="7366" spans="1:23" x14ac:dyDescent="0.25">
      <c r="A7366" s="2"/>
      <c r="B7366" s="2"/>
      <c r="C7366" s="1"/>
      <c r="D7366" s="2"/>
      <c r="E7366" s="2"/>
      <c r="F7366" s="2"/>
      <c r="G7366" s="2"/>
      <c r="H7366" s="2"/>
      <c r="I7366" s="2"/>
      <c r="J7366" s="2"/>
      <c r="K7366" s="2"/>
      <c r="L7366" s="2"/>
      <c r="M7366" s="2"/>
      <c r="N7366" s="2"/>
      <c r="O7366" s="2"/>
      <c r="P7366" s="2"/>
      <c r="Q7366" s="2"/>
      <c r="R7366" s="2"/>
      <c r="S7366" s="2"/>
      <c r="T7366" s="2"/>
      <c r="U7366" s="2"/>
      <c r="V7366" s="2"/>
      <c r="W7366" s="2"/>
    </row>
    <row r="7367" spans="1:23" x14ac:dyDescent="0.25">
      <c r="A7367" s="2"/>
      <c r="B7367" s="2"/>
      <c r="C7367" s="1"/>
      <c r="D7367" s="2"/>
      <c r="E7367" s="2"/>
      <c r="F7367" s="2"/>
      <c r="G7367" s="2"/>
      <c r="H7367" s="2"/>
      <c r="I7367" s="2"/>
      <c r="J7367" s="2"/>
      <c r="K7367" s="2"/>
      <c r="L7367" s="2"/>
      <c r="M7367" s="2"/>
      <c r="N7367" s="2"/>
      <c r="O7367" s="2"/>
      <c r="P7367" s="2"/>
      <c r="Q7367" s="2"/>
      <c r="R7367" s="2"/>
      <c r="S7367" s="2"/>
      <c r="T7367" s="2"/>
      <c r="U7367" s="2"/>
      <c r="V7367" s="2"/>
      <c r="W7367" s="2"/>
    </row>
    <row r="7368" spans="1:23" x14ac:dyDescent="0.25">
      <c r="A7368" s="2"/>
      <c r="B7368" s="2"/>
      <c r="C7368" s="1"/>
      <c r="D7368" s="2"/>
      <c r="E7368" s="2"/>
      <c r="F7368" s="2"/>
      <c r="G7368" s="2"/>
      <c r="H7368" s="2"/>
      <c r="I7368" s="2"/>
      <c r="J7368" s="2"/>
      <c r="K7368" s="2"/>
      <c r="L7368" s="2"/>
      <c r="M7368" s="2"/>
      <c r="N7368" s="2"/>
      <c r="O7368" s="2"/>
      <c r="P7368" s="2"/>
      <c r="Q7368" s="2"/>
      <c r="R7368" s="2"/>
      <c r="S7368" s="2"/>
      <c r="T7368" s="2"/>
      <c r="U7368" s="2"/>
      <c r="V7368" s="2"/>
      <c r="W7368" s="2"/>
    </row>
    <row r="7369" spans="1:23" x14ac:dyDescent="0.25">
      <c r="A7369" s="2"/>
      <c r="B7369" s="2"/>
      <c r="C7369" s="1"/>
      <c r="D7369" s="2"/>
      <c r="E7369" s="2"/>
      <c r="F7369" s="2"/>
      <c r="G7369" s="2"/>
      <c r="H7369" s="2"/>
      <c r="I7369" s="2"/>
      <c r="J7369" s="2"/>
      <c r="K7369" s="2"/>
      <c r="L7369" s="2"/>
      <c r="M7369" s="2"/>
      <c r="N7369" s="2"/>
      <c r="O7369" s="2"/>
      <c r="P7369" s="2"/>
      <c r="Q7369" s="2"/>
      <c r="R7369" s="2"/>
      <c r="S7369" s="2"/>
      <c r="T7369" s="2"/>
      <c r="U7369" s="2"/>
      <c r="V7369" s="2"/>
      <c r="W7369" s="2"/>
    </row>
    <row r="7370" spans="1:23" x14ac:dyDescent="0.25">
      <c r="A7370" s="2"/>
      <c r="B7370" s="2"/>
      <c r="C7370" s="1"/>
      <c r="D7370" s="2"/>
      <c r="E7370" s="2"/>
      <c r="F7370" s="2"/>
      <c r="G7370" s="2"/>
      <c r="H7370" s="2"/>
      <c r="I7370" s="2"/>
      <c r="J7370" s="2"/>
      <c r="K7370" s="2"/>
      <c r="L7370" s="2"/>
      <c r="M7370" s="2"/>
      <c r="N7370" s="2"/>
      <c r="O7370" s="2"/>
      <c r="P7370" s="2"/>
      <c r="Q7370" s="2"/>
      <c r="R7370" s="2"/>
      <c r="S7370" s="2"/>
      <c r="T7370" s="2"/>
      <c r="U7370" s="2"/>
      <c r="V7370" s="2"/>
      <c r="W7370" s="2"/>
    </row>
    <row r="7371" spans="1:23" x14ac:dyDescent="0.25">
      <c r="A7371" s="2"/>
      <c r="B7371" s="2"/>
      <c r="C7371" s="1"/>
      <c r="D7371" s="2"/>
      <c r="E7371" s="2"/>
      <c r="F7371" s="2"/>
      <c r="G7371" s="2"/>
      <c r="H7371" s="2"/>
      <c r="I7371" s="2"/>
      <c r="J7371" s="2"/>
      <c r="K7371" s="2"/>
      <c r="L7371" s="2"/>
      <c r="M7371" s="2"/>
      <c r="N7371" s="2"/>
      <c r="O7371" s="2"/>
      <c r="P7371" s="2"/>
      <c r="Q7371" s="2"/>
      <c r="R7371" s="2"/>
      <c r="S7371" s="2"/>
      <c r="T7371" s="2"/>
      <c r="U7371" s="2"/>
      <c r="V7371" s="2"/>
      <c r="W7371" s="2"/>
    </row>
    <row r="7372" spans="1:23" x14ac:dyDescent="0.25">
      <c r="A7372" s="2"/>
      <c r="B7372" s="2"/>
      <c r="C7372" s="1"/>
      <c r="D7372" s="2"/>
      <c r="E7372" s="2"/>
      <c r="F7372" s="2"/>
      <c r="G7372" s="2"/>
      <c r="H7372" s="2"/>
      <c r="I7372" s="2"/>
      <c r="J7372" s="2"/>
      <c r="K7372" s="2"/>
      <c r="L7372" s="2"/>
      <c r="M7372" s="2"/>
      <c r="N7372" s="2"/>
      <c r="O7372" s="2"/>
      <c r="P7372" s="2"/>
      <c r="Q7372" s="2"/>
      <c r="R7372" s="2"/>
      <c r="S7372" s="2"/>
      <c r="T7372" s="2"/>
      <c r="U7372" s="2"/>
      <c r="V7372" s="2"/>
      <c r="W7372" s="2"/>
    </row>
    <row r="7373" spans="1:23" x14ac:dyDescent="0.25">
      <c r="A7373" s="2"/>
      <c r="B7373" s="2"/>
      <c r="C7373" s="1"/>
      <c r="D7373" s="2"/>
      <c r="E7373" s="2"/>
      <c r="F7373" s="2"/>
      <c r="G7373" s="2"/>
      <c r="H7373" s="2"/>
      <c r="I7373" s="2"/>
      <c r="J7373" s="2"/>
      <c r="K7373" s="2"/>
      <c r="L7373" s="2"/>
      <c r="M7373" s="2"/>
      <c r="N7373" s="2"/>
      <c r="O7373" s="2"/>
      <c r="P7373" s="2"/>
      <c r="Q7373" s="2"/>
      <c r="R7373" s="2"/>
      <c r="S7373" s="2"/>
      <c r="T7373" s="2"/>
      <c r="U7373" s="2"/>
      <c r="V7373" s="2"/>
      <c r="W7373" s="2"/>
    </row>
    <row r="7374" spans="1:23" x14ac:dyDescent="0.25">
      <c r="A7374" s="2"/>
      <c r="B7374" s="2"/>
      <c r="C7374" s="1"/>
      <c r="D7374" s="2"/>
      <c r="E7374" s="2"/>
      <c r="F7374" s="2"/>
      <c r="G7374" s="2"/>
      <c r="H7374" s="2"/>
      <c r="I7374" s="2"/>
      <c r="J7374" s="2"/>
      <c r="K7374" s="2"/>
      <c r="L7374" s="2"/>
      <c r="M7374" s="2"/>
      <c r="N7374" s="2"/>
      <c r="O7374" s="2"/>
      <c r="P7374" s="2"/>
      <c r="Q7374" s="2"/>
      <c r="R7374" s="2"/>
      <c r="S7374" s="2"/>
      <c r="T7374" s="2"/>
      <c r="U7374" s="2"/>
      <c r="V7374" s="2"/>
      <c r="W7374" s="2"/>
    </row>
    <row r="7375" spans="1:23" x14ac:dyDescent="0.25">
      <c r="A7375" s="2"/>
      <c r="B7375" s="2"/>
      <c r="C7375" s="1"/>
      <c r="D7375" s="2"/>
      <c r="E7375" s="2"/>
      <c r="F7375" s="2"/>
      <c r="G7375" s="2"/>
      <c r="H7375" s="2"/>
      <c r="I7375" s="2"/>
      <c r="J7375" s="2"/>
      <c r="K7375" s="2"/>
      <c r="L7375" s="2"/>
      <c r="M7375" s="2"/>
      <c r="N7375" s="2"/>
      <c r="O7375" s="2"/>
      <c r="P7375" s="2"/>
      <c r="Q7375" s="2"/>
      <c r="R7375" s="2"/>
      <c r="S7375" s="2"/>
      <c r="T7375" s="2"/>
      <c r="U7375" s="2"/>
      <c r="V7375" s="2"/>
      <c r="W7375" s="2"/>
    </row>
    <row r="7376" spans="1:23" x14ac:dyDescent="0.25">
      <c r="A7376" s="2"/>
      <c r="B7376" s="2"/>
      <c r="C7376" s="1"/>
      <c r="D7376" s="2"/>
      <c r="E7376" s="2"/>
      <c r="F7376" s="2"/>
      <c r="G7376" s="2"/>
      <c r="H7376" s="2"/>
      <c r="I7376" s="2"/>
      <c r="J7376" s="2"/>
      <c r="K7376" s="2"/>
      <c r="L7376" s="2"/>
      <c r="M7376" s="2"/>
      <c r="N7376" s="2"/>
      <c r="O7376" s="2"/>
      <c r="P7376" s="2"/>
      <c r="Q7376" s="2"/>
      <c r="R7376" s="2"/>
      <c r="S7376" s="2"/>
      <c r="T7376" s="2"/>
      <c r="U7376" s="2"/>
      <c r="V7376" s="2"/>
      <c r="W7376" s="2"/>
    </row>
    <row r="7377" spans="1:23" x14ac:dyDescent="0.25">
      <c r="A7377" s="2"/>
      <c r="B7377" s="2"/>
      <c r="C7377" s="1"/>
      <c r="D7377" s="2"/>
      <c r="E7377" s="2"/>
      <c r="F7377" s="2"/>
      <c r="G7377" s="2"/>
      <c r="H7377" s="2"/>
      <c r="I7377" s="2"/>
      <c r="J7377" s="2"/>
      <c r="K7377" s="2"/>
      <c r="L7377" s="2"/>
      <c r="M7377" s="2"/>
      <c r="N7377" s="2"/>
      <c r="O7377" s="2"/>
      <c r="P7377" s="2"/>
      <c r="Q7377" s="2"/>
      <c r="R7377" s="2"/>
      <c r="S7377" s="2"/>
      <c r="T7377" s="2"/>
      <c r="U7377" s="2"/>
      <c r="V7377" s="2"/>
      <c r="W7377" s="2"/>
    </row>
    <row r="7378" spans="1:23" x14ac:dyDescent="0.25">
      <c r="A7378" s="2"/>
      <c r="B7378" s="2"/>
      <c r="C7378" s="1"/>
      <c r="D7378" s="2"/>
      <c r="E7378" s="2"/>
      <c r="F7378" s="2"/>
      <c r="G7378" s="2"/>
      <c r="H7378" s="2"/>
      <c r="I7378" s="2"/>
      <c r="J7378" s="2"/>
      <c r="K7378" s="2"/>
      <c r="L7378" s="2"/>
      <c r="M7378" s="2"/>
      <c r="N7378" s="2"/>
      <c r="O7378" s="2"/>
      <c r="P7378" s="2"/>
      <c r="Q7378" s="2"/>
      <c r="R7378" s="2"/>
      <c r="S7378" s="2"/>
      <c r="T7378" s="2"/>
      <c r="U7378" s="2"/>
      <c r="V7378" s="2"/>
      <c r="W7378" s="2"/>
    </row>
    <row r="7379" spans="1:23" x14ac:dyDescent="0.25">
      <c r="A7379" s="2"/>
      <c r="B7379" s="2"/>
      <c r="C7379" s="1"/>
      <c r="D7379" s="2"/>
      <c r="E7379" s="2"/>
      <c r="F7379" s="2"/>
      <c r="G7379" s="2"/>
      <c r="H7379" s="2"/>
      <c r="I7379" s="2"/>
      <c r="J7379" s="2"/>
      <c r="K7379" s="2"/>
      <c r="L7379" s="2"/>
      <c r="M7379" s="2"/>
      <c r="N7379" s="2"/>
      <c r="O7379" s="2"/>
      <c r="P7379" s="2"/>
      <c r="Q7379" s="2"/>
      <c r="R7379" s="2"/>
      <c r="S7379" s="2"/>
      <c r="T7379" s="2"/>
      <c r="U7379" s="2"/>
      <c r="V7379" s="2"/>
      <c r="W7379" s="2"/>
    </row>
    <row r="7380" spans="1:23" x14ac:dyDescent="0.25">
      <c r="A7380" s="2"/>
      <c r="B7380" s="2"/>
      <c r="C7380" s="1"/>
      <c r="D7380" s="2"/>
      <c r="E7380" s="2"/>
      <c r="F7380" s="2"/>
      <c r="G7380" s="2"/>
      <c r="H7380" s="2"/>
      <c r="I7380" s="2"/>
      <c r="J7380" s="2"/>
      <c r="K7380" s="2"/>
      <c r="L7380" s="2"/>
      <c r="M7380" s="2"/>
      <c r="N7380" s="2"/>
      <c r="O7380" s="2"/>
      <c r="P7380" s="2"/>
      <c r="Q7380" s="2"/>
      <c r="R7380" s="2"/>
      <c r="S7380" s="2"/>
      <c r="T7380" s="2"/>
      <c r="U7380" s="2"/>
      <c r="V7380" s="2"/>
      <c r="W7380" s="2"/>
    </row>
    <row r="7381" spans="1:23" x14ac:dyDescent="0.25">
      <c r="A7381" s="2"/>
      <c r="B7381" s="2"/>
      <c r="C7381" s="1"/>
      <c r="D7381" s="2"/>
      <c r="E7381" s="2"/>
      <c r="F7381" s="2"/>
      <c r="G7381" s="2"/>
      <c r="H7381" s="2"/>
      <c r="I7381" s="2"/>
      <c r="J7381" s="2"/>
      <c r="K7381" s="2"/>
      <c r="L7381" s="2"/>
      <c r="M7381" s="2"/>
      <c r="N7381" s="2"/>
      <c r="O7381" s="2"/>
      <c r="P7381" s="2"/>
      <c r="Q7381" s="2"/>
      <c r="R7381" s="2"/>
      <c r="S7381" s="2"/>
      <c r="T7381" s="2"/>
      <c r="U7381" s="2"/>
      <c r="V7381" s="2"/>
      <c r="W7381" s="2"/>
    </row>
    <row r="7382" spans="1:23" x14ac:dyDescent="0.25">
      <c r="A7382" s="2"/>
      <c r="B7382" s="2"/>
      <c r="C7382" s="1"/>
      <c r="D7382" s="2"/>
      <c r="E7382" s="2"/>
      <c r="F7382" s="2"/>
      <c r="G7382" s="2"/>
      <c r="H7382" s="2"/>
      <c r="I7382" s="2"/>
      <c r="J7382" s="2"/>
      <c r="K7382" s="2"/>
      <c r="L7382" s="2"/>
      <c r="M7382" s="2"/>
      <c r="N7382" s="2"/>
      <c r="O7382" s="2"/>
      <c r="P7382" s="2"/>
      <c r="Q7382" s="2"/>
      <c r="R7382" s="2"/>
      <c r="S7382" s="2"/>
      <c r="T7382" s="2"/>
      <c r="U7382" s="2"/>
      <c r="V7382" s="2"/>
      <c r="W7382" s="2"/>
    </row>
    <row r="7383" spans="1:23" x14ac:dyDescent="0.25">
      <c r="A7383" s="2"/>
      <c r="B7383" s="2"/>
      <c r="C7383" s="1"/>
      <c r="D7383" s="2"/>
      <c r="E7383" s="2"/>
      <c r="F7383" s="2"/>
      <c r="G7383" s="2"/>
      <c r="H7383" s="2"/>
      <c r="I7383" s="2"/>
      <c r="J7383" s="2"/>
      <c r="K7383" s="2"/>
      <c r="L7383" s="2"/>
      <c r="M7383" s="2"/>
      <c r="N7383" s="2"/>
      <c r="O7383" s="2"/>
      <c r="P7383" s="2"/>
      <c r="Q7383" s="2"/>
      <c r="R7383" s="2"/>
      <c r="S7383" s="2"/>
      <c r="T7383" s="2"/>
      <c r="U7383" s="2"/>
      <c r="V7383" s="2"/>
      <c r="W7383" s="2"/>
    </row>
    <row r="7384" spans="1:23" x14ac:dyDescent="0.25">
      <c r="A7384" s="2"/>
      <c r="B7384" s="2"/>
      <c r="C7384" s="1"/>
      <c r="D7384" s="2"/>
      <c r="E7384" s="2"/>
      <c r="F7384" s="2"/>
      <c r="G7384" s="2"/>
      <c r="H7384" s="2"/>
      <c r="I7384" s="2"/>
      <c r="J7384" s="2"/>
      <c r="K7384" s="2"/>
      <c r="L7384" s="2"/>
      <c r="M7384" s="2"/>
      <c r="N7384" s="2"/>
      <c r="O7384" s="2"/>
      <c r="P7384" s="2"/>
      <c r="Q7384" s="2"/>
      <c r="R7384" s="2"/>
      <c r="S7384" s="2"/>
      <c r="T7384" s="2"/>
      <c r="U7384" s="2"/>
      <c r="V7384" s="2"/>
      <c r="W7384" s="2"/>
    </row>
    <row r="7385" spans="1:23" x14ac:dyDescent="0.25">
      <c r="A7385" s="2"/>
      <c r="B7385" s="2"/>
      <c r="C7385" s="1"/>
      <c r="D7385" s="2"/>
      <c r="E7385" s="2"/>
      <c r="F7385" s="2"/>
      <c r="G7385" s="2"/>
      <c r="H7385" s="2"/>
      <c r="I7385" s="2"/>
      <c r="J7385" s="2"/>
      <c r="K7385" s="2"/>
      <c r="L7385" s="2"/>
      <c r="M7385" s="2"/>
      <c r="N7385" s="2"/>
      <c r="O7385" s="2"/>
      <c r="P7385" s="2"/>
      <c r="Q7385" s="2"/>
      <c r="R7385" s="2"/>
      <c r="S7385" s="2"/>
      <c r="T7385" s="2"/>
      <c r="U7385" s="2"/>
      <c r="V7385" s="2"/>
      <c r="W7385" s="2"/>
    </row>
    <row r="7386" spans="1:23" x14ac:dyDescent="0.25">
      <c r="A7386" s="2"/>
      <c r="B7386" s="2"/>
      <c r="C7386" s="1"/>
      <c r="D7386" s="2"/>
      <c r="E7386" s="2"/>
      <c r="F7386" s="2"/>
      <c r="G7386" s="2"/>
      <c r="H7386" s="2"/>
      <c r="I7386" s="2"/>
      <c r="J7386" s="2"/>
      <c r="K7386" s="2"/>
      <c r="L7386" s="2"/>
      <c r="M7386" s="2"/>
      <c r="N7386" s="2"/>
      <c r="O7386" s="2"/>
      <c r="P7386" s="2"/>
      <c r="Q7386" s="2"/>
      <c r="R7386" s="2"/>
      <c r="S7386" s="2"/>
      <c r="T7386" s="2"/>
      <c r="U7386" s="2"/>
      <c r="V7386" s="2"/>
      <c r="W7386" s="2"/>
    </row>
    <row r="7387" spans="1:23" x14ac:dyDescent="0.25">
      <c r="A7387" s="2"/>
      <c r="B7387" s="2"/>
      <c r="C7387" s="1"/>
      <c r="D7387" s="2"/>
      <c r="E7387" s="2"/>
      <c r="F7387" s="2"/>
      <c r="G7387" s="2"/>
      <c r="H7387" s="2"/>
      <c r="I7387" s="2"/>
      <c r="J7387" s="2"/>
      <c r="K7387" s="2"/>
      <c r="L7387" s="2"/>
      <c r="M7387" s="2"/>
      <c r="N7387" s="2"/>
      <c r="O7387" s="2"/>
      <c r="P7387" s="2"/>
      <c r="Q7387" s="2"/>
      <c r="R7387" s="2"/>
      <c r="S7387" s="2"/>
      <c r="T7387" s="2"/>
      <c r="U7387" s="2"/>
      <c r="V7387" s="2"/>
      <c r="W7387" s="2"/>
    </row>
    <row r="7388" spans="1:23" x14ac:dyDescent="0.25">
      <c r="A7388" s="2"/>
      <c r="B7388" s="2"/>
      <c r="C7388" s="1"/>
      <c r="D7388" s="2"/>
      <c r="E7388" s="2"/>
      <c r="F7388" s="2"/>
      <c r="G7388" s="2"/>
      <c r="H7388" s="2"/>
      <c r="I7388" s="2"/>
      <c r="J7388" s="2"/>
      <c r="K7388" s="2"/>
      <c r="L7388" s="2"/>
      <c r="M7388" s="2"/>
      <c r="N7388" s="2"/>
      <c r="O7388" s="2"/>
      <c r="P7388" s="2"/>
      <c r="Q7388" s="2"/>
      <c r="R7388" s="2"/>
      <c r="S7388" s="2"/>
      <c r="T7388" s="2"/>
      <c r="U7388" s="2"/>
      <c r="V7388" s="2"/>
      <c r="W7388" s="2"/>
    </row>
    <row r="7389" spans="1:23" x14ac:dyDescent="0.25">
      <c r="A7389" s="2"/>
      <c r="B7389" s="2"/>
      <c r="C7389" s="1"/>
      <c r="D7389" s="2"/>
      <c r="E7389" s="2"/>
      <c r="F7389" s="2"/>
      <c r="G7389" s="2"/>
      <c r="H7389" s="2"/>
      <c r="I7389" s="2"/>
      <c r="J7389" s="2"/>
      <c r="K7389" s="2"/>
      <c r="L7389" s="2"/>
      <c r="M7389" s="2"/>
      <c r="N7389" s="2"/>
      <c r="O7389" s="2"/>
      <c r="P7389" s="2"/>
      <c r="Q7389" s="2"/>
      <c r="R7389" s="2"/>
      <c r="S7389" s="2"/>
      <c r="T7389" s="2"/>
      <c r="U7389" s="2"/>
      <c r="V7389" s="2"/>
      <c r="W7389" s="2"/>
    </row>
    <row r="7390" spans="1:23" x14ac:dyDescent="0.25">
      <c r="A7390" s="2"/>
      <c r="B7390" s="2"/>
      <c r="C7390" s="1"/>
      <c r="D7390" s="2"/>
      <c r="E7390" s="2"/>
      <c r="F7390" s="2"/>
      <c r="G7390" s="2"/>
      <c r="H7390" s="2"/>
      <c r="I7390" s="2"/>
      <c r="J7390" s="2"/>
      <c r="K7390" s="2"/>
      <c r="L7390" s="2"/>
      <c r="M7390" s="2"/>
      <c r="N7390" s="2"/>
      <c r="O7390" s="2"/>
      <c r="P7390" s="2"/>
      <c r="Q7390" s="2"/>
      <c r="R7390" s="2"/>
      <c r="S7390" s="2"/>
      <c r="T7390" s="2"/>
      <c r="U7390" s="2"/>
      <c r="V7390" s="2"/>
      <c r="W7390" s="2"/>
    </row>
    <row r="7391" spans="1:23" x14ac:dyDescent="0.25">
      <c r="A7391" s="2"/>
      <c r="B7391" s="2"/>
      <c r="C7391" s="1"/>
      <c r="D7391" s="2"/>
      <c r="E7391" s="2"/>
      <c r="F7391" s="2"/>
      <c r="G7391" s="2"/>
      <c r="H7391" s="2"/>
      <c r="I7391" s="2"/>
      <c r="J7391" s="2"/>
      <c r="K7391" s="2"/>
      <c r="L7391" s="2"/>
      <c r="M7391" s="2"/>
      <c r="N7391" s="2"/>
      <c r="O7391" s="2"/>
      <c r="P7391" s="2"/>
      <c r="Q7391" s="2"/>
      <c r="R7391" s="2"/>
      <c r="S7391" s="2"/>
      <c r="T7391" s="2"/>
      <c r="U7391" s="2"/>
      <c r="V7391" s="2"/>
      <c r="W7391" s="2"/>
    </row>
    <row r="7392" spans="1:23" x14ac:dyDescent="0.25">
      <c r="A7392" s="2"/>
      <c r="B7392" s="2"/>
      <c r="C7392" s="1"/>
      <c r="D7392" s="2"/>
      <c r="E7392" s="2"/>
      <c r="F7392" s="2"/>
      <c r="G7392" s="2"/>
      <c r="H7392" s="2"/>
      <c r="I7392" s="2"/>
      <c r="J7392" s="2"/>
      <c r="K7392" s="2"/>
      <c r="L7392" s="2"/>
      <c r="M7392" s="2"/>
      <c r="N7392" s="2"/>
      <c r="O7392" s="2"/>
      <c r="P7392" s="2"/>
      <c r="Q7392" s="2"/>
      <c r="R7392" s="2"/>
      <c r="S7392" s="2"/>
      <c r="T7392" s="2"/>
      <c r="U7392" s="2"/>
      <c r="V7392" s="2"/>
      <c r="W7392" s="2"/>
    </row>
    <row r="7393" spans="1:23" x14ac:dyDescent="0.25">
      <c r="A7393" s="2"/>
      <c r="B7393" s="2"/>
      <c r="C7393" s="1"/>
      <c r="D7393" s="2"/>
      <c r="E7393" s="2"/>
      <c r="F7393" s="2"/>
      <c r="G7393" s="2"/>
      <c r="H7393" s="2"/>
      <c r="I7393" s="2"/>
      <c r="J7393" s="2"/>
      <c r="K7393" s="2"/>
      <c r="L7393" s="2"/>
      <c r="M7393" s="2"/>
      <c r="N7393" s="2"/>
      <c r="O7393" s="2"/>
      <c r="P7393" s="2"/>
      <c r="Q7393" s="2"/>
      <c r="R7393" s="2"/>
      <c r="S7393" s="2"/>
      <c r="T7393" s="2"/>
      <c r="U7393" s="2"/>
      <c r="V7393" s="2"/>
      <c r="W7393" s="2"/>
    </row>
    <row r="7394" spans="1:23" x14ac:dyDescent="0.25">
      <c r="A7394" s="2"/>
      <c r="B7394" s="2"/>
      <c r="C7394" s="1"/>
      <c r="D7394" s="2"/>
      <c r="E7394" s="2"/>
      <c r="F7394" s="2"/>
      <c r="G7394" s="2"/>
      <c r="H7394" s="2"/>
      <c r="I7394" s="2"/>
      <c r="J7394" s="2"/>
      <c r="K7394" s="2"/>
      <c r="L7394" s="2"/>
      <c r="M7394" s="2"/>
      <c r="N7394" s="2"/>
      <c r="O7394" s="2"/>
      <c r="P7394" s="2"/>
      <c r="Q7394" s="2"/>
      <c r="R7394" s="2"/>
      <c r="S7394" s="2"/>
      <c r="T7394" s="2"/>
      <c r="U7394" s="2"/>
      <c r="V7394" s="2"/>
      <c r="W7394" s="2"/>
    </row>
    <row r="7395" spans="1:23" x14ac:dyDescent="0.25">
      <c r="A7395" s="2"/>
      <c r="B7395" s="2"/>
      <c r="C7395" s="1"/>
      <c r="D7395" s="2"/>
      <c r="E7395" s="2"/>
      <c r="F7395" s="2"/>
      <c r="G7395" s="2"/>
      <c r="H7395" s="2"/>
      <c r="I7395" s="2"/>
      <c r="J7395" s="2"/>
      <c r="K7395" s="2"/>
      <c r="L7395" s="2"/>
      <c r="M7395" s="2"/>
      <c r="N7395" s="2"/>
      <c r="O7395" s="2"/>
      <c r="P7395" s="2"/>
      <c r="Q7395" s="2"/>
      <c r="R7395" s="2"/>
      <c r="S7395" s="2"/>
      <c r="T7395" s="2"/>
      <c r="U7395" s="2"/>
      <c r="V7395" s="2"/>
      <c r="W7395" s="2"/>
    </row>
    <row r="7396" spans="1:23" x14ac:dyDescent="0.25">
      <c r="A7396" s="2"/>
      <c r="B7396" s="2"/>
      <c r="C7396" s="1"/>
      <c r="D7396" s="2"/>
      <c r="E7396" s="2"/>
      <c r="F7396" s="2"/>
      <c r="G7396" s="2"/>
      <c r="H7396" s="2"/>
      <c r="I7396" s="2"/>
      <c r="J7396" s="2"/>
      <c r="K7396" s="2"/>
      <c r="L7396" s="2"/>
      <c r="M7396" s="2"/>
      <c r="N7396" s="2"/>
      <c r="O7396" s="2"/>
      <c r="P7396" s="2"/>
      <c r="Q7396" s="2"/>
      <c r="R7396" s="2"/>
      <c r="S7396" s="2"/>
      <c r="T7396" s="2"/>
      <c r="U7396" s="2"/>
      <c r="V7396" s="2"/>
      <c r="W7396" s="2"/>
    </row>
    <row r="7397" spans="1:23" x14ac:dyDescent="0.25">
      <c r="A7397" s="2"/>
      <c r="B7397" s="2"/>
      <c r="C7397" s="1"/>
      <c r="D7397" s="2"/>
      <c r="E7397" s="2"/>
      <c r="F7397" s="2"/>
      <c r="G7397" s="2"/>
      <c r="H7397" s="2"/>
      <c r="I7397" s="2"/>
      <c r="J7397" s="2"/>
      <c r="K7397" s="2"/>
      <c r="L7397" s="2"/>
      <c r="M7397" s="2"/>
      <c r="N7397" s="2"/>
      <c r="O7397" s="2"/>
      <c r="P7397" s="2"/>
      <c r="Q7397" s="2"/>
      <c r="R7397" s="2"/>
      <c r="S7397" s="2"/>
      <c r="T7397" s="2"/>
      <c r="U7397" s="2"/>
      <c r="V7397" s="2"/>
      <c r="W7397" s="2"/>
    </row>
    <row r="7398" spans="1:23" x14ac:dyDescent="0.25">
      <c r="A7398" s="2"/>
      <c r="B7398" s="2"/>
      <c r="C7398" s="1"/>
      <c r="D7398" s="2"/>
      <c r="E7398" s="2"/>
      <c r="F7398" s="2"/>
      <c r="G7398" s="2"/>
      <c r="H7398" s="2"/>
      <c r="I7398" s="2"/>
      <c r="J7398" s="2"/>
      <c r="K7398" s="2"/>
      <c r="L7398" s="2"/>
      <c r="M7398" s="2"/>
      <c r="N7398" s="2"/>
      <c r="O7398" s="2"/>
      <c r="P7398" s="2"/>
      <c r="Q7398" s="2"/>
      <c r="R7398" s="2"/>
      <c r="S7398" s="2"/>
      <c r="T7398" s="2"/>
      <c r="U7398" s="2"/>
      <c r="V7398" s="2"/>
      <c r="W7398" s="2"/>
    </row>
    <row r="7399" spans="1:23" x14ac:dyDescent="0.25">
      <c r="A7399" s="2"/>
      <c r="B7399" s="2"/>
      <c r="C7399" s="1"/>
      <c r="D7399" s="2"/>
      <c r="E7399" s="2"/>
      <c r="F7399" s="2"/>
      <c r="G7399" s="2"/>
      <c r="H7399" s="2"/>
      <c r="I7399" s="2"/>
      <c r="J7399" s="2"/>
      <c r="K7399" s="2"/>
      <c r="L7399" s="2"/>
      <c r="M7399" s="2"/>
      <c r="N7399" s="2"/>
      <c r="O7399" s="2"/>
      <c r="P7399" s="2"/>
      <c r="Q7399" s="2"/>
      <c r="R7399" s="2"/>
      <c r="S7399" s="2"/>
      <c r="T7399" s="2"/>
      <c r="U7399" s="2"/>
      <c r="V7399" s="2"/>
      <c r="W7399" s="2"/>
    </row>
    <row r="7400" spans="1:23" x14ac:dyDescent="0.25">
      <c r="A7400" s="2"/>
      <c r="B7400" s="2"/>
      <c r="C7400" s="1"/>
      <c r="D7400" s="2"/>
      <c r="E7400" s="2"/>
      <c r="F7400" s="2"/>
      <c r="G7400" s="2"/>
      <c r="H7400" s="2"/>
      <c r="I7400" s="2"/>
      <c r="J7400" s="2"/>
      <c r="K7400" s="2"/>
      <c r="L7400" s="2"/>
      <c r="M7400" s="2"/>
      <c r="N7400" s="2"/>
      <c r="O7400" s="2"/>
      <c r="P7400" s="2"/>
      <c r="Q7400" s="2"/>
      <c r="R7400" s="2"/>
      <c r="S7400" s="2"/>
      <c r="T7400" s="2"/>
      <c r="U7400" s="2"/>
      <c r="V7400" s="2"/>
      <c r="W7400" s="2"/>
    </row>
    <row r="7401" spans="1:23" x14ac:dyDescent="0.25">
      <c r="A7401" s="2"/>
      <c r="B7401" s="2"/>
      <c r="C7401" s="1"/>
      <c r="D7401" s="2"/>
      <c r="E7401" s="2"/>
      <c r="F7401" s="2"/>
      <c r="G7401" s="2"/>
      <c r="H7401" s="2"/>
      <c r="I7401" s="2"/>
      <c r="J7401" s="2"/>
      <c r="K7401" s="2"/>
      <c r="L7401" s="2"/>
      <c r="M7401" s="2"/>
      <c r="N7401" s="2"/>
      <c r="O7401" s="2"/>
      <c r="P7401" s="2"/>
      <c r="Q7401" s="2"/>
      <c r="R7401" s="2"/>
      <c r="S7401" s="2"/>
      <c r="T7401" s="2"/>
      <c r="U7401" s="2"/>
      <c r="V7401" s="2"/>
      <c r="W7401" s="2"/>
    </row>
    <row r="7402" spans="1:23" x14ac:dyDescent="0.25">
      <c r="A7402" s="2"/>
      <c r="B7402" s="2"/>
      <c r="C7402" s="1"/>
      <c r="D7402" s="2"/>
      <c r="E7402" s="2"/>
      <c r="F7402" s="2"/>
      <c r="G7402" s="2"/>
      <c r="H7402" s="2"/>
      <c r="I7402" s="2"/>
      <c r="J7402" s="2"/>
      <c r="K7402" s="2"/>
      <c r="L7402" s="2"/>
      <c r="M7402" s="2"/>
      <c r="N7402" s="2"/>
      <c r="O7402" s="2"/>
      <c r="P7402" s="2"/>
      <c r="Q7402" s="2"/>
      <c r="R7402" s="2"/>
      <c r="S7402" s="2"/>
      <c r="T7402" s="2"/>
      <c r="U7402" s="2"/>
      <c r="V7402" s="2"/>
      <c r="W7402" s="2"/>
    </row>
    <row r="7403" spans="1:23" x14ac:dyDescent="0.25">
      <c r="A7403" s="2"/>
      <c r="B7403" s="2"/>
      <c r="C7403" s="1"/>
      <c r="D7403" s="2"/>
      <c r="E7403" s="2"/>
      <c r="F7403" s="2"/>
      <c r="G7403" s="2"/>
      <c r="H7403" s="2"/>
      <c r="I7403" s="2"/>
      <c r="J7403" s="2"/>
      <c r="K7403" s="2"/>
      <c r="L7403" s="2"/>
      <c r="M7403" s="2"/>
      <c r="N7403" s="2"/>
      <c r="O7403" s="2"/>
      <c r="P7403" s="2"/>
      <c r="Q7403" s="2"/>
      <c r="R7403" s="2"/>
      <c r="S7403" s="2"/>
      <c r="T7403" s="2"/>
      <c r="U7403" s="2"/>
      <c r="V7403" s="2"/>
      <c r="W7403" s="2"/>
    </row>
    <row r="7404" spans="1:23" x14ac:dyDescent="0.25">
      <c r="A7404" s="2"/>
      <c r="B7404" s="2"/>
      <c r="C7404" s="1"/>
      <c r="D7404" s="2"/>
      <c r="E7404" s="2"/>
      <c r="F7404" s="2"/>
      <c r="G7404" s="2"/>
      <c r="H7404" s="2"/>
      <c r="I7404" s="2"/>
      <c r="J7404" s="2"/>
      <c r="K7404" s="2"/>
      <c r="L7404" s="2"/>
      <c r="M7404" s="2"/>
      <c r="N7404" s="2"/>
      <c r="O7404" s="2"/>
      <c r="P7404" s="2"/>
      <c r="Q7404" s="2"/>
      <c r="R7404" s="2"/>
      <c r="S7404" s="2"/>
      <c r="T7404" s="2"/>
      <c r="U7404" s="2"/>
      <c r="V7404" s="2"/>
      <c r="W7404" s="2"/>
    </row>
    <row r="7405" spans="1:23" x14ac:dyDescent="0.25">
      <c r="A7405" s="2"/>
      <c r="B7405" s="2"/>
      <c r="C7405" s="1"/>
      <c r="D7405" s="2"/>
      <c r="E7405" s="2"/>
      <c r="F7405" s="2"/>
      <c r="G7405" s="2"/>
      <c r="H7405" s="2"/>
      <c r="I7405" s="2"/>
      <c r="J7405" s="2"/>
      <c r="K7405" s="2"/>
      <c r="L7405" s="2"/>
      <c r="M7405" s="2"/>
      <c r="N7405" s="2"/>
      <c r="O7405" s="2"/>
      <c r="P7405" s="2"/>
      <c r="Q7405" s="2"/>
      <c r="R7405" s="2"/>
      <c r="S7405" s="2"/>
      <c r="T7405" s="2"/>
      <c r="U7405" s="2"/>
      <c r="V7405" s="2"/>
      <c r="W7405" s="2"/>
    </row>
    <row r="7406" spans="1:23" x14ac:dyDescent="0.25">
      <c r="A7406" s="2"/>
      <c r="B7406" s="2"/>
      <c r="C7406" s="1"/>
      <c r="D7406" s="2"/>
      <c r="E7406" s="2"/>
      <c r="F7406" s="2"/>
      <c r="G7406" s="2"/>
      <c r="H7406" s="2"/>
      <c r="I7406" s="2"/>
      <c r="J7406" s="2"/>
      <c r="K7406" s="2"/>
      <c r="L7406" s="2"/>
      <c r="M7406" s="2"/>
      <c r="N7406" s="2"/>
      <c r="O7406" s="2"/>
      <c r="P7406" s="2"/>
      <c r="Q7406" s="2"/>
      <c r="R7406" s="2"/>
      <c r="S7406" s="2"/>
      <c r="T7406" s="2"/>
      <c r="U7406" s="2"/>
      <c r="V7406" s="2"/>
      <c r="W7406" s="2"/>
    </row>
    <row r="7407" spans="1:23" x14ac:dyDescent="0.25">
      <c r="A7407" s="2"/>
      <c r="B7407" s="2"/>
      <c r="C7407" s="1"/>
      <c r="D7407" s="2"/>
      <c r="E7407" s="2"/>
      <c r="F7407" s="2"/>
      <c r="G7407" s="2"/>
      <c r="H7407" s="2"/>
      <c r="I7407" s="2"/>
      <c r="J7407" s="2"/>
      <c r="K7407" s="2"/>
      <c r="L7407" s="2"/>
      <c r="M7407" s="2"/>
      <c r="N7407" s="2"/>
      <c r="O7407" s="2"/>
      <c r="P7407" s="2"/>
      <c r="Q7407" s="2"/>
      <c r="R7407" s="2"/>
      <c r="S7407" s="2"/>
      <c r="T7407" s="2"/>
      <c r="U7407" s="2"/>
      <c r="V7407" s="2"/>
      <c r="W7407" s="2"/>
    </row>
    <row r="7408" spans="1:23" x14ac:dyDescent="0.25">
      <c r="A7408" s="2"/>
      <c r="B7408" s="2"/>
      <c r="C7408" s="1"/>
      <c r="D7408" s="2"/>
      <c r="E7408" s="2"/>
      <c r="F7408" s="2"/>
      <c r="G7408" s="2"/>
      <c r="H7408" s="2"/>
      <c r="I7408" s="2"/>
      <c r="J7408" s="2"/>
      <c r="K7408" s="2"/>
      <c r="L7408" s="2"/>
      <c r="M7408" s="2"/>
      <c r="N7408" s="2"/>
      <c r="O7408" s="2"/>
      <c r="P7408" s="2"/>
      <c r="Q7408" s="2"/>
      <c r="R7408" s="2"/>
      <c r="S7408" s="2"/>
      <c r="T7408" s="2"/>
      <c r="U7408" s="2"/>
      <c r="V7408" s="2"/>
      <c r="W7408" s="2"/>
    </row>
    <row r="7409" spans="1:23" x14ac:dyDescent="0.25">
      <c r="A7409" s="2"/>
      <c r="B7409" s="2"/>
      <c r="C7409" s="1"/>
      <c r="D7409" s="2"/>
      <c r="E7409" s="2"/>
      <c r="F7409" s="2"/>
      <c r="G7409" s="2"/>
      <c r="H7409" s="2"/>
      <c r="I7409" s="2"/>
      <c r="J7409" s="2"/>
      <c r="K7409" s="2"/>
      <c r="L7409" s="2"/>
      <c r="M7409" s="2"/>
      <c r="N7409" s="2"/>
      <c r="O7409" s="2"/>
      <c r="P7409" s="2"/>
      <c r="Q7409" s="2"/>
      <c r="R7409" s="2"/>
      <c r="S7409" s="2"/>
      <c r="T7409" s="2"/>
      <c r="U7409" s="2"/>
      <c r="V7409" s="2"/>
      <c r="W7409" s="2"/>
    </row>
    <row r="7410" spans="1:23" x14ac:dyDescent="0.25">
      <c r="A7410" s="2"/>
      <c r="B7410" s="2"/>
      <c r="C7410" s="1"/>
      <c r="D7410" s="2"/>
      <c r="E7410" s="2"/>
      <c r="F7410" s="2"/>
      <c r="G7410" s="2"/>
      <c r="H7410" s="2"/>
      <c r="I7410" s="2"/>
      <c r="J7410" s="2"/>
      <c r="K7410" s="2"/>
      <c r="L7410" s="2"/>
      <c r="M7410" s="2"/>
      <c r="N7410" s="2"/>
      <c r="O7410" s="2"/>
      <c r="P7410" s="2"/>
      <c r="Q7410" s="2"/>
      <c r="R7410" s="2"/>
      <c r="S7410" s="2"/>
      <c r="T7410" s="2"/>
      <c r="U7410" s="2"/>
      <c r="V7410" s="2"/>
      <c r="W7410" s="2"/>
    </row>
    <row r="7411" spans="1:23" x14ac:dyDescent="0.25">
      <c r="A7411" s="2"/>
      <c r="B7411" s="2"/>
      <c r="C7411" s="1"/>
      <c r="D7411" s="2"/>
      <c r="E7411" s="2"/>
      <c r="F7411" s="2"/>
      <c r="G7411" s="2"/>
      <c r="H7411" s="2"/>
      <c r="I7411" s="2"/>
      <c r="J7411" s="2"/>
      <c r="K7411" s="2"/>
      <c r="L7411" s="2"/>
      <c r="M7411" s="2"/>
      <c r="N7411" s="2"/>
      <c r="O7411" s="2"/>
      <c r="P7411" s="2"/>
      <c r="Q7411" s="2"/>
      <c r="R7411" s="2"/>
      <c r="S7411" s="2"/>
      <c r="T7411" s="2"/>
      <c r="U7411" s="2"/>
      <c r="V7411" s="2"/>
      <c r="W7411" s="2"/>
    </row>
    <row r="7412" spans="1:23" x14ac:dyDescent="0.25">
      <c r="A7412" s="2"/>
      <c r="B7412" s="2"/>
      <c r="C7412" s="1"/>
      <c r="D7412" s="2"/>
      <c r="E7412" s="2"/>
      <c r="F7412" s="2"/>
      <c r="G7412" s="2"/>
      <c r="H7412" s="2"/>
      <c r="I7412" s="2"/>
      <c r="J7412" s="2"/>
      <c r="K7412" s="2"/>
      <c r="L7412" s="2"/>
      <c r="M7412" s="2"/>
      <c r="N7412" s="2"/>
      <c r="O7412" s="2"/>
      <c r="P7412" s="2"/>
      <c r="Q7412" s="2"/>
      <c r="R7412" s="2"/>
      <c r="S7412" s="2"/>
      <c r="T7412" s="2"/>
      <c r="U7412" s="2"/>
      <c r="V7412" s="2"/>
      <c r="W7412" s="2"/>
    </row>
    <row r="7413" spans="1:23" x14ac:dyDescent="0.25">
      <c r="A7413" s="2"/>
      <c r="B7413" s="2"/>
      <c r="C7413" s="1"/>
      <c r="D7413" s="2"/>
      <c r="E7413" s="2"/>
      <c r="F7413" s="2"/>
      <c r="G7413" s="2"/>
      <c r="H7413" s="2"/>
      <c r="I7413" s="2"/>
      <c r="J7413" s="2"/>
      <c r="K7413" s="2"/>
      <c r="L7413" s="2"/>
      <c r="M7413" s="2"/>
      <c r="N7413" s="2"/>
      <c r="O7413" s="2"/>
      <c r="P7413" s="2"/>
      <c r="Q7413" s="2"/>
      <c r="R7413" s="2"/>
      <c r="S7413" s="2"/>
      <c r="T7413" s="2"/>
      <c r="U7413" s="2"/>
      <c r="V7413" s="2"/>
      <c r="W7413" s="2"/>
    </row>
    <row r="7414" spans="1:23" x14ac:dyDescent="0.25">
      <c r="A7414" s="2"/>
      <c r="B7414" s="2"/>
      <c r="C7414" s="1"/>
      <c r="D7414" s="2"/>
      <c r="E7414" s="2"/>
      <c r="F7414" s="2"/>
      <c r="G7414" s="2"/>
      <c r="H7414" s="2"/>
      <c r="I7414" s="2"/>
      <c r="J7414" s="2"/>
      <c r="K7414" s="2"/>
      <c r="L7414" s="2"/>
      <c r="M7414" s="2"/>
      <c r="N7414" s="2"/>
      <c r="O7414" s="2"/>
      <c r="P7414" s="2"/>
      <c r="Q7414" s="2"/>
      <c r="R7414" s="2"/>
      <c r="S7414" s="2"/>
      <c r="T7414" s="2"/>
      <c r="U7414" s="2"/>
      <c r="V7414" s="2"/>
      <c r="W7414" s="2"/>
    </row>
    <row r="7415" spans="1:23" x14ac:dyDescent="0.25">
      <c r="A7415" s="2"/>
      <c r="B7415" s="2"/>
      <c r="C7415" s="1"/>
      <c r="D7415" s="2"/>
      <c r="E7415" s="2"/>
      <c r="F7415" s="2"/>
      <c r="G7415" s="2"/>
      <c r="H7415" s="2"/>
      <c r="I7415" s="2"/>
      <c r="J7415" s="2"/>
      <c r="K7415" s="2"/>
      <c r="L7415" s="2"/>
      <c r="M7415" s="2"/>
      <c r="N7415" s="2"/>
      <c r="O7415" s="2"/>
      <c r="P7415" s="2"/>
      <c r="Q7415" s="2"/>
      <c r="R7415" s="2"/>
      <c r="S7415" s="2"/>
      <c r="T7415" s="2"/>
      <c r="U7415" s="2"/>
      <c r="V7415" s="2"/>
      <c r="W7415" s="2"/>
    </row>
    <row r="7416" spans="1:23" x14ac:dyDescent="0.25">
      <c r="A7416" s="2"/>
      <c r="B7416" s="2"/>
      <c r="C7416" s="1"/>
      <c r="D7416" s="2"/>
      <c r="E7416" s="2"/>
      <c r="F7416" s="2"/>
      <c r="G7416" s="2"/>
      <c r="H7416" s="2"/>
      <c r="I7416" s="2"/>
      <c r="J7416" s="2"/>
      <c r="K7416" s="2"/>
      <c r="L7416" s="2"/>
      <c r="M7416" s="2"/>
      <c r="N7416" s="2"/>
      <c r="O7416" s="2"/>
      <c r="P7416" s="2"/>
      <c r="Q7416" s="2"/>
      <c r="R7416" s="2"/>
      <c r="S7416" s="2"/>
      <c r="T7416" s="2"/>
      <c r="U7416" s="2"/>
      <c r="V7416" s="2"/>
      <c r="W7416" s="2"/>
    </row>
    <row r="7417" spans="1:23" x14ac:dyDescent="0.25">
      <c r="A7417" s="2"/>
      <c r="B7417" s="2"/>
      <c r="C7417" s="1"/>
      <c r="D7417" s="2"/>
      <c r="E7417" s="2"/>
      <c r="F7417" s="2"/>
      <c r="G7417" s="2"/>
      <c r="H7417" s="2"/>
      <c r="I7417" s="2"/>
      <c r="J7417" s="2"/>
      <c r="K7417" s="2"/>
      <c r="L7417" s="2"/>
      <c r="M7417" s="2"/>
      <c r="N7417" s="2"/>
      <c r="O7417" s="2"/>
      <c r="P7417" s="2"/>
      <c r="Q7417" s="2"/>
      <c r="R7417" s="2"/>
      <c r="S7417" s="2"/>
      <c r="T7417" s="2"/>
      <c r="U7417" s="2"/>
      <c r="V7417" s="2"/>
      <c r="W7417" s="2"/>
    </row>
    <row r="7418" spans="1:23" x14ac:dyDescent="0.25">
      <c r="A7418" s="2"/>
      <c r="B7418" s="2"/>
      <c r="C7418" s="1"/>
      <c r="D7418" s="2"/>
      <c r="E7418" s="2"/>
      <c r="F7418" s="2"/>
      <c r="G7418" s="2"/>
      <c r="H7418" s="2"/>
      <c r="I7418" s="2"/>
      <c r="J7418" s="2"/>
      <c r="K7418" s="2"/>
      <c r="L7418" s="2"/>
      <c r="M7418" s="2"/>
      <c r="N7418" s="2"/>
      <c r="O7418" s="2"/>
      <c r="P7418" s="2"/>
      <c r="Q7418" s="2"/>
      <c r="R7418" s="2"/>
      <c r="S7418" s="2"/>
      <c r="T7418" s="2"/>
      <c r="U7418" s="2"/>
      <c r="V7418" s="2"/>
      <c r="W7418" s="2"/>
    </row>
    <row r="7419" spans="1:23" x14ac:dyDescent="0.25">
      <c r="A7419" s="2"/>
      <c r="B7419" s="2"/>
      <c r="C7419" s="1"/>
      <c r="D7419" s="2"/>
      <c r="E7419" s="2"/>
      <c r="F7419" s="2"/>
      <c r="G7419" s="2"/>
      <c r="H7419" s="2"/>
      <c r="I7419" s="2"/>
      <c r="J7419" s="2"/>
      <c r="K7419" s="2"/>
      <c r="L7419" s="2"/>
      <c r="M7419" s="2"/>
      <c r="N7419" s="2"/>
      <c r="O7419" s="2"/>
      <c r="P7419" s="2"/>
      <c r="Q7419" s="2"/>
      <c r="R7419" s="2"/>
      <c r="S7419" s="2"/>
      <c r="T7419" s="2"/>
      <c r="U7419" s="2"/>
      <c r="V7419" s="2"/>
      <c r="W7419" s="2"/>
    </row>
    <row r="7420" spans="1:23" x14ac:dyDescent="0.25">
      <c r="A7420" s="2"/>
      <c r="B7420" s="2"/>
      <c r="C7420" s="1"/>
      <c r="D7420" s="2"/>
      <c r="E7420" s="2"/>
      <c r="F7420" s="2"/>
      <c r="G7420" s="2"/>
      <c r="H7420" s="2"/>
      <c r="I7420" s="2"/>
      <c r="J7420" s="2"/>
      <c r="K7420" s="2"/>
      <c r="L7420" s="2"/>
      <c r="M7420" s="2"/>
      <c r="N7420" s="2"/>
      <c r="O7420" s="2"/>
      <c r="P7420" s="2"/>
      <c r="Q7420" s="2"/>
      <c r="R7420" s="2"/>
      <c r="S7420" s="2"/>
      <c r="T7420" s="2"/>
      <c r="U7420" s="2"/>
      <c r="V7420" s="2"/>
      <c r="W7420" s="2"/>
    </row>
    <row r="7421" spans="1:23" x14ac:dyDescent="0.25">
      <c r="A7421" s="2"/>
      <c r="B7421" s="2"/>
      <c r="C7421" s="1"/>
      <c r="D7421" s="2"/>
      <c r="E7421" s="2"/>
      <c r="F7421" s="2"/>
      <c r="G7421" s="2"/>
      <c r="H7421" s="2"/>
      <c r="I7421" s="2"/>
      <c r="J7421" s="2"/>
      <c r="K7421" s="2"/>
      <c r="L7421" s="2"/>
      <c r="M7421" s="2"/>
      <c r="N7421" s="2"/>
      <c r="O7421" s="2"/>
      <c r="P7421" s="2"/>
      <c r="Q7421" s="2"/>
      <c r="R7421" s="2"/>
      <c r="S7421" s="2"/>
      <c r="T7421" s="2"/>
      <c r="U7421" s="2"/>
      <c r="V7421" s="2"/>
      <c r="W7421" s="2"/>
    </row>
    <row r="7422" spans="1:23" x14ac:dyDescent="0.25">
      <c r="A7422" s="2"/>
      <c r="B7422" s="2"/>
      <c r="C7422" s="1"/>
      <c r="D7422" s="2"/>
      <c r="E7422" s="2"/>
      <c r="F7422" s="2"/>
      <c r="G7422" s="2"/>
      <c r="H7422" s="2"/>
      <c r="I7422" s="2"/>
      <c r="J7422" s="2"/>
      <c r="K7422" s="2"/>
      <c r="L7422" s="2"/>
      <c r="M7422" s="2"/>
      <c r="N7422" s="2"/>
      <c r="O7422" s="2"/>
      <c r="P7422" s="2"/>
      <c r="Q7422" s="2"/>
      <c r="R7422" s="2"/>
      <c r="S7422" s="2"/>
      <c r="T7422" s="2"/>
      <c r="U7422" s="2"/>
      <c r="V7422" s="2"/>
      <c r="W7422" s="2"/>
    </row>
    <row r="7423" spans="1:23" x14ac:dyDescent="0.25">
      <c r="A7423" s="2"/>
      <c r="B7423" s="2"/>
      <c r="C7423" s="1"/>
      <c r="D7423" s="2"/>
      <c r="E7423" s="2"/>
      <c r="F7423" s="2"/>
      <c r="G7423" s="2"/>
      <c r="H7423" s="2"/>
      <c r="I7423" s="2"/>
      <c r="J7423" s="2"/>
      <c r="K7423" s="2"/>
      <c r="L7423" s="2"/>
      <c r="M7423" s="2"/>
      <c r="N7423" s="2"/>
      <c r="O7423" s="2"/>
      <c r="P7423" s="2"/>
      <c r="Q7423" s="2"/>
      <c r="R7423" s="2"/>
      <c r="S7423" s="2"/>
      <c r="T7423" s="2"/>
      <c r="U7423" s="2"/>
      <c r="V7423" s="2"/>
      <c r="W7423" s="2"/>
    </row>
    <row r="7424" spans="1:23" x14ac:dyDescent="0.25">
      <c r="A7424" s="2"/>
      <c r="B7424" s="2"/>
      <c r="C7424" s="1"/>
      <c r="D7424" s="2"/>
      <c r="E7424" s="2"/>
      <c r="F7424" s="2"/>
      <c r="G7424" s="2"/>
      <c r="H7424" s="2"/>
      <c r="I7424" s="2"/>
      <c r="J7424" s="2"/>
      <c r="K7424" s="2"/>
      <c r="L7424" s="2"/>
      <c r="M7424" s="2"/>
      <c r="N7424" s="2"/>
      <c r="O7424" s="2"/>
      <c r="P7424" s="2"/>
      <c r="Q7424" s="2"/>
      <c r="R7424" s="2"/>
      <c r="S7424" s="2"/>
      <c r="T7424" s="2"/>
      <c r="U7424" s="2"/>
      <c r="V7424" s="2"/>
      <c r="W7424" s="2"/>
    </row>
    <row r="7425" spans="1:23" x14ac:dyDescent="0.25">
      <c r="A7425" s="2"/>
      <c r="B7425" s="2"/>
      <c r="C7425" s="1"/>
      <c r="D7425" s="2"/>
      <c r="E7425" s="2"/>
      <c r="F7425" s="2"/>
      <c r="G7425" s="2"/>
      <c r="H7425" s="2"/>
      <c r="I7425" s="2"/>
      <c r="J7425" s="2"/>
      <c r="K7425" s="2"/>
      <c r="L7425" s="2"/>
      <c r="M7425" s="2"/>
      <c r="N7425" s="2"/>
      <c r="O7425" s="2"/>
      <c r="P7425" s="2"/>
      <c r="Q7425" s="2"/>
      <c r="R7425" s="2"/>
      <c r="S7425" s="2"/>
      <c r="T7425" s="2"/>
      <c r="U7425" s="2"/>
      <c r="V7425" s="2"/>
      <c r="W7425" s="2"/>
    </row>
    <row r="7426" spans="1:23" x14ac:dyDescent="0.25">
      <c r="A7426" s="2"/>
      <c r="B7426" s="2"/>
      <c r="C7426" s="1"/>
      <c r="D7426" s="2"/>
      <c r="E7426" s="2"/>
      <c r="F7426" s="2"/>
      <c r="G7426" s="2"/>
      <c r="H7426" s="2"/>
      <c r="I7426" s="2"/>
      <c r="J7426" s="2"/>
      <c r="K7426" s="2"/>
      <c r="L7426" s="2"/>
      <c r="M7426" s="2"/>
      <c r="N7426" s="2"/>
      <c r="O7426" s="2"/>
      <c r="P7426" s="2"/>
      <c r="Q7426" s="2"/>
      <c r="R7426" s="2"/>
      <c r="S7426" s="2"/>
      <c r="T7426" s="2"/>
      <c r="U7426" s="2"/>
      <c r="V7426" s="2"/>
      <c r="W7426" s="2"/>
    </row>
    <row r="7427" spans="1:23" x14ac:dyDescent="0.25">
      <c r="A7427" s="2"/>
      <c r="B7427" s="2"/>
      <c r="C7427" s="1"/>
      <c r="D7427" s="2"/>
      <c r="E7427" s="2"/>
      <c r="F7427" s="2"/>
      <c r="G7427" s="2"/>
      <c r="H7427" s="2"/>
      <c r="I7427" s="2"/>
      <c r="J7427" s="2"/>
      <c r="K7427" s="2"/>
      <c r="L7427" s="2"/>
      <c r="M7427" s="2"/>
      <c r="N7427" s="2"/>
      <c r="O7427" s="2"/>
      <c r="P7427" s="2"/>
      <c r="Q7427" s="2"/>
      <c r="R7427" s="2"/>
      <c r="S7427" s="2"/>
      <c r="T7427" s="2"/>
      <c r="U7427" s="2"/>
      <c r="V7427" s="2"/>
      <c r="W7427" s="2"/>
    </row>
    <row r="7428" spans="1:23" x14ac:dyDescent="0.25">
      <c r="A7428" s="2"/>
      <c r="B7428" s="2"/>
      <c r="C7428" s="1"/>
      <c r="D7428" s="2"/>
      <c r="E7428" s="2"/>
      <c r="F7428" s="2"/>
      <c r="G7428" s="2"/>
      <c r="H7428" s="2"/>
      <c r="I7428" s="2"/>
      <c r="J7428" s="2"/>
      <c r="K7428" s="2"/>
      <c r="L7428" s="2"/>
      <c r="M7428" s="2"/>
      <c r="N7428" s="2"/>
      <c r="O7428" s="2"/>
      <c r="P7428" s="2"/>
      <c r="Q7428" s="2"/>
      <c r="R7428" s="2"/>
      <c r="S7428" s="2"/>
      <c r="T7428" s="2"/>
      <c r="U7428" s="2"/>
      <c r="V7428" s="2"/>
      <c r="W7428" s="2"/>
    </row>
    <row r="7429" spans="1:23" x14ac:dyDescent="0.25">
      <c r="A7429" s="2"/>
      <c r="B7429" s="2"/>
      <c r="C7429" s="1"/>
      <c r="D7429" s="2"/>
      <c r="E7429" s="2"/>
      <c r="F7429" s="2"/>
      <c r="G7429" s="2"/>
      <c r="H7429" s="2"/>
      <c r="I7429" s="2"/>
      <c r="J7429" s="2"/>
      <c r="K7429" s="2"/>
      <c r="L7429" s="2"/>
      <c r="M7429" s="2"/>
      <c r="N7429" s="2"/>
      <c r="O7429" s="2"/>
      <c r="P7429" s="2"/>
      <c r="Q7429" s="2"/>
      <c r="R7429" s="2"/>
      <c r="S7429" s="2"/>
      <c r="T7429" s="2"/>
      <c r="U7429" s="2"/>
      <c r="V7429" s="2"/>
      <c r="W7429" s="2"/>
    </row>
    <row r="7430" spans="1:23" x14ac:dyDescent="0.25">
      <c r="A7430" s="2"/>
      <c r="B7430" s="2"/>
      <c r="C7430" s="1"/>
      <c r="D7430" s="2"/>
      <c r="E7430" s="2"/>
      <c r="F7430" s="2"/>
      <c r="G7430" s="2"/>
      <c r="H7430" s="2"/>
      <c r="I7430" s="2"/>
      <c r="J7430" s="2"/>
      <c r="K7430" s="2"/>
      <c r="L7430" s="2"/>
      <c r="M7430" s="2"/>
      <c r="N7430" s="2"/>
      <c r="O7430" s="2"/>
      <c r="P7430" s="2"/>
      <c r="Q7430" s="2"/>
      <c r="R7430" s="2"/>
      <c r="S7430" s="2"/>
      <c r="T7430" s="2"/>
      <c r="U7430" s="2"/>
      <c r="V7430" s="2"/>
      <c r="W7430" s="2"/>
    </row>
    <row r="7431" spans="1:23" x14ac:dyDescent="0.25">
      <c r="A7431" s="2"/>
      <c r="B7431" s="2"/>
      <c r="C7431" s="1"/>
      <c r="D7431" s="2"/>
      <c r="E7431" s="2"/>
      <c r="F7431" s="2"/>
      <c r="G7431" s="2"/>
      <c r="H7431" s="2"/>
      <c r="I7431" s="2"/>
      <c r="J7431" s="2"/>
      <c r="K7431" s="2"/>
      <c r="L7431" s="2"/>
      <c r="M7431" s="2"/>
      <c r="N7431" s="2"/>
      <c r="O7431" s="2"/>
      <c r="P7431" s="2"/>
      <c r="Q7431" s="2"/>
      <c r="R7431" s="2"/>
      <c r="S7431" s="2"/>
      <c r="T7431" s="2"/>
      <c r="U7431" s="2"/>
      <c r="V7431" s="2"/>
      <c r="W7431" s="2"/>
    </row>
    <row r="7432" spans="1:23" x14ac:dyDescent="0.25">
      <c r="A7432" s="2"/>
      <c r="B7432" s="2"/>
      <c r="C7432" s="1"/>
      <c r="D7432" s="2"/>
      <c r="E7432" s="2"/>
      <c r="F7432" s="2"/>
      <c r="G7432" s="2"/>
      <c r="H7432" s="2"/>
      <c r="I7432" s="2"/>
      <c r="J7432" s="2"/>
      <c r="K7432" s="2"/>
      <c r="L7432" s="2"/>
      <c r="M7432" s="2"/>
      <c r="N7432" s="2"/>
      <c r="O7432" s="2"/>
      <c r="P7432" s="2"/>
      <c r="Q7432" s="2"/>
      <c r="R7432" s="2"/>
      <c r="S7432" s="2"/>
      <c r="T7432" s="2"/>
      <c r="U7432" s="2"/>
      <c r="V7432" s="2"/>
      <c r="W7432" s="2"/>
    </row>
    <row r="7433" spans="1:23" x14ac:dyDescent="0.25">
      <c r="A7433" s="2"/>
      <c r="B7433" s="2"/>
      <c r="C7433" s="1"/>
      <c r="D7433" s="2"/>
      <c r="E7433" s="2"/>
      <c r="F7433" s="2"/>
      <c r="G7433" s="2"/>
      <c r="H7433" s="2"/>
      <c r="I7433" s="2"/>
      <c r="J7433" s="2"/>
      <c r="K7433" s="2"/>
      <c r="L7433" s="2"/>
      <c r="M7433" s="2"/>
      <c r="N7433" s="2"/>
      <c r="O7433" s="2"/>
      <c r="P7433" s="2"/>
      <c r="Q7433" s="2"/>
      <c r="R7433" s="2"/>
      <c r="S7433" s="2"/>
      <c r="T7433" s="2"/>
      <c r="U7433" s="2"/>
      <c r="V7433" s="2"/>
      <c r="W7433" s="2"/>
    </row>
    <row r="7434" spans="1:23" x14ac:dyDescent="0.25">
      <c r="A7434" s="2"/>
      <c r="B7434" s="2"/>
      <c r="C7434" s="1"/>
      <c r="D7434" s="2"/>
      <c r="E7434" s="2"/>
      <c r="F7434" s="2"/>
      <c r="G7434" s="2"/>
      <c r="H7434" s="2"/>
      <c r="I7434" s="2"/>
      <c r="J7434" s="2"/>
      <c r="K7434" s="2"/>
      <c r="L7434" s="2"/>
      <c r="M7434" s="2"/>
      <c r="N7434" s="2"/>
      <c r="O7434" s="2"/>
      <c r="P7434" s="2"/>
      <c r="Q7434" s="2"/>
      <c r="R7434" s="2"/>
      <c r="S7434" s="2"/>
      <c r="T7434" s="2"/>
      <c r="U7434" s="2"/>
      <c r="V7434" s="2"/>
      <c r="W7434" s="2"/>
    </row>
    <row r="7435" spans="1:23" x14ac:dyDescent="0.25">
      <c r="A7435" s="2"/>
      <c r="B7435" s="2"/>
      <c r="C7435" s="1"/>
      <c r="D7435" s="2"/>
      <c r="E7435" s="2"/>
      <c r="F7435" s="2"/>
      <c r="G7435" s="2"/>
      <c r="H7435" s="2"/>
      <c r="I7435" s="2"/>
      <c r="J7435" s="2"/>
      <c r="K7435" s="2"/>
      <c r="L7435" s="2"/>
      <c r="M7435" s="2"/>
      <c r="N7435" s="2"/>
      <c r="O7435" s="2"/>
      <c r="P7435" s="2"/>
      <c r="Q7435" s="2"/>
      <c r="R7435" s="2"/>
      <c r="S7435" s="2"/>
      <c r="T7435" s="2"/>
      <c r="U7435" s="2"/>
      <c r="V7435" s="2"/>
      <c r="W7435" s="2"/>
    </row>
    <row r="7436" spans="1:23" x14ac:dyDescent="0.25">
      <c r="A7436" s="2"/>
      <c r="B7436" s="2"/>
      <c r="C7436" s="1"/>
      <c r="D7436" s="2"/>
      <c r="E7436" s="2"/>
      <c r="F7436" s="2"/>
      <c r="G7436" s="2"/>
      <c r="H7436" s="2"/>
      <c r="I7436" s="2"/>
      <c r="J7436" s="2"/>
      <c r="K7436" s="2"/>
      <c r="L7436" s="2"/>
      <c r="M7436" s="2"/>
      <c r="N7436" s="2"/>
      <c r="O7436" s="2"/>
      <c r="P7436" s="2"/>
      <c r="Q7436" s="2"/>
      <c r="R7436" s="2"/>
      <c r="S7436" s="2"/>
      <c r="T7436" s="2"/>
      <c r="U7436" s="2"/>
      <c r="V7436" s="2"/>
      <c r="W7436" s="2"/>
    </row>
    <row r="7437" spans="1:23" x14ac:dyDescent="0.25">
      <c r="A7437" s="2"/>
      <c r="B7437" s="2"/>
      <c r="C7437" s="1"/>
      <c r="D7437" s="2"/>
      <c r="E7437" s="2"/>
      <c r="F7437" s="2"/>
      <c r="G7437" s="2"/>
      <c r="H7437" s="2"/>
      <c r="I7437" s="2"/>
      <c r="J7437" s="2"/>
      <c r="K7437" s="2"/>
      <c r="L7437" s="2"/>
      <c r="M7437" s="2"/>
      <c r="N7437" s="2"/>
      <c r="O7437" s="2"/>
      <c r="P7437" s="2"/>
      <c r="Q7437" s="2"/>
      <c r="R7437" s="2"/>
      <c r="S7437" s="2"/>
      <c r="T7437" s="2"/>
      <c r="U7437" s="2"/>
      <c r="V7437" s="2"/>
      <c r="W7437" s="2"/>
    </row>
    <row r="7438" spans="1:23" x14ac:dyDescent="0.25">
      <c r="A7438" s="2"/>
      <c r="B7438" s="2"/>
      <c r="C7438" s="1"/>
      <c r="D7438" s="2"/>
      <c r="E7438" s="2"/>
      <c r="F7438" s="2"/>
      <c r="G7438" s="2"/>
      <c r="H7438" s="2"/>
      <c r="I7438" s="2"/>
      <c r="J7438" s="2"/>
      <c r="K7438" s="2"/>
      <c r="L7438" s="2"/>
      <c r="M7438" s="2"/>
      <c r="N7438" s="2"/>
      <c r="O7438" s="2"/>
      <c r="P7438" s="2"/>
      <c r="Q7438" s="2"/>
      <c r="R7438" s="2"/>
      <c r="S7438" s="2"/>
      <c r="T7438" s="2"/>
      <c r="U7438" s="2"/>
      <c r="V7438" s="2"/>
      <c r="W7438" s="2"/>
    </row>
    <row r="7439" spans="1:23" x14ac:dyDescent="0.25">
      <c r="A7439" s="2"/>
      <c r="B7439" s="2"/>
      <c r="C7439" s="1"/>
      <c r="D7439" s="2"/>
      <c r="E7439" s="2"/>
      <c r="F7439" s="2"/>
      <c r="G7439" s="2"/>
      <c r="H7439" s="2"/>
      <c r="I7439" s="2"/>
      <c r="J7439" s="2"/>
      <c r="K7439" s="2"/>
      <c r="L7439" s="2"/>
      <c r="M7439" s="2"/>
      <c r="N7439" s="2"/>
      <c r="O7439" s="2"/>
      <c r="P7439" s="2"/>
      <c r="Q7439" s="2"/>
      <c r="R7439" s="2"/>
      <c r="S7439" s="2"/>
      <c r="T7439" s="2"/>
      <c r="U7439" s="2"/>
      <c r="V7439" s="2"/>
      <c r="W7439" s="2"/>
    </row>
    <row r="7440" spans="1:23" x14ac:dyDescent="0.25">
      <c r="A7440" s="2"/>
      <c r="B7440" s="2"/>
      <c r="C7440" s="1"/>
      <c r="D7440" s="2"/>
      <c r="E7440" s="2"/>
      <c r="F7440" s="2"/>
      <c r="G7440" s="2"/>
      <c r="H7440" s="2"/>
      <c r="I7440" s="2"/>
      <c r="J7440" s="2"/>
      <c r="K7440" s="2"/>
      <c r="L7440" s="2"/>
      <c r="M7440" s="2"/>
      <c r="N7440" s="2"/>
      <c r="O7440" s="2"/>
      <c r="P7440" s="2"/>
      <c r="Q7440" s="2"/>
      <c r="R7440" s="2"/>
      <c r="S7440" s="2"/>
      <c r="T7440" s="2"/>
      <c r="U7440" s="2"/>
      <c r="V7440" s="2"/>
      <c r="W7440" s="2"/>
    </row>
    <row r="7441" spans="1:23" x14ac:dyDescent="0.25">
      <c r="A7441" s="2"/>
      <c r="B7441" s="2"/>
      <c r="C7441" s="1"/>
      <c r="D7441" s="2"/>
      <c r="E7441" s="2"/>
      <c r="F7441" s="2"/>
      <c r="G7441" s="2"/>
      <c r="H7441" s="2"/>
      <c r="I7441" s="2"/>
      <c r="J7441" s="2"/>
      <c r="K7441" s="2"/>
      <c r="L7441" s="2"/>
      <c r="M7441" s="2"/>
      <c r="N7441" s="2"/>
      <c r="O7441" s="2"/>
      <c r="P7441" s="2"/>
      <c r="Q7441" s="2"/>
      <c r="R7441" s="2"/>
      <c r="S7441" s="2"/>
      <c r="T7441" s="2"/>
      <c r="U7441" s="2"/>
      <c r="V7441" s="2"/>
      <c r="W7441" s="2"/>
    </row>
    <row r="7442" spans="1:23" x14ac:dyDescent="0.25">
      <c r="A7442" s="2"/>
      <c r="B7442" s="2"/>
      <c r="C7442" s="1"/>
      <c r="D7442" s="2"/>
      <c r="E7442" s="2"/>
      <c r="F7442" s="2"/>
      <c r="G7442" s="2"/>
      <c r="H7442" s="2"/>
      <c r="I7442" s="2"/>
      <c r="J7442" s="2"/>
      <c r="K7442" s="2"/>
      <c r="L7442" s="2"/>
      <c r="M7442" s="2"/>
      <c r="N7442" s="2"/>
      <c r="O7442" s="2"/>
      <c r="P7442" s="2"/>
      <c r="Q7442" s="2"/>
      <c r="R7442" s="2"/>
      <c r="S7442" s="2"/>
      <c r="T7442" s="2"/>
      <c r="U7442" s="2"/>
      <c r="V7442" s="2"/>
      <c r="W7442" s="2"/>
    </row>
    <row r="7443" spans="1:23" x14ac:dyDescent="0.25">
      <c r="A7443" s="2"/>
      <c r="B7443" s="2"/>
      <c r="C7443" s="1"/>
      <c r="D7443" s="2"/>
      <c r="E7443" s="2"/>
      <c r="F7443" s="2"/>
      <c r="G7443" s="2"/>
      <c r="H7443" s="2"/>
      <c r="I7443" s="2"/>
      <c r="J7443" s="2"/>
      <c r="K7443" s="2"/>
      <c r="L7443" s="2"/>
      <c r="M7443" s="2"/>
      <c r="N7443" s="2"/>
      <c r="O7443" s="2"/>
      <c r="P7443" s="2"/>
      <c r="Q7443" s="2"/>
      <c r="R7443" s="2"/>
      <c r="S7443" s="2"/>
      <c r="T7443" s="2"/>
      <c r="U7443" s="2"/>
      <c r="V7443" s="2"/>
      <c r="W7443" s="2"/>
    </row>
    <row r="7444" spans="1:23" x14ac:dyDescent="0.25">
      <c r="A7444" s="2"/>
      <c r="B7444" s="2"/>
      <c r="C7444" s="1"/>
      <c r="D7444" s="2"/>
      <c r="E7444" s="2"/>
      <c r="F7444" s="2"/>
      <c r="G7444" s="2"/>
      <c r="H7444" s="2"/>
      <c r="I7444" s="2"/>
      <c r="J7444" s="2"/>
      <c r="K7444" s="2"/>
      <c r="L7444" s="2"/>
      <c r="M7444" s="2"/>
      <c r="N7444" s="2"/>
      <c r="O7444" s="2"/>
      <c r="P7444" s="2"/>
      <c r="Q7444" s="2"/>
      <c r="R7444" s="2"/>
      <c r="S7444" s="2"/>
      <c r="T7444" s="2"/>
      <c r="U7444" s="2"/>
      <c r="V7444" s="2"/>
      <c r="W7444" s="2"/>
    </row>
    <row r="7445" spans="1:23" x14ac:dyDescent="0.25">
      <c r="A7445" s="2"/>
      <c r="B7445" s="2"/>
      <c r="C7445" s="1"/>
      <c r="D7445" s="2"/>
      <c r="E7445" s="2"/>
      <c r="F7445" s="2"/>
      <c r="G7445" s="2"/>
      <c r="H7445" s="2"/>
      <c r="I7445" s="2"/>
      <c r="J7445" s="2"/>
      <c r="K7445" s="2"/>
      <c r="L7445" s="2"/>
      <c r="M7445" s="2"/>
      <c r="N7445" s="2"/>
      <c r="O7445" s="2"/>
      <c r="P7445" s="2"/>
      <c r="Q7445" s="2"/>
      <c r="R7445" s="2"/>
      <c r="S7445" s="2"/>
      <c r="T7445" s="2"/>
      <c r="U7445" s="2"/>
      <c r="V7445" s="2"/>
      <c r="W7445" s="2"/>
    </row>
    <row r="7446" spans="1:23" x14ac:dyDescent="0.25">
      <c r="A7446" s="2"/>
      <c r="B7446" s="2"/>
      <c r="C7446" s="1"/>
      <c r="D7446" s="2"/>
      <c r="E7446" s="2"/>
      <c r="F7446" s="2"/>
      <c r="G7446" s="2"/>
      <c r="H7446" s="2"/>
      <c r="I7446" s="2"/>
      <c r="J7446" s="2"/>
      <c r="K7446" s="2"/>
      <c r="L7446" s="2"/>
      <c r="M7446" s="2"/>
      <c r="N7446" s="2"/>
      <c r="O7446" s="2"/>
      <c r="P7446" s="2"/>
      <c r="Q7446" s="2"/>
      <c r="R7446" s="2"/>
      <c r="S7446" s="2"/>
      <c r="T7446" s="2"/>
      <c r="U7446" s="2"/>
      <c r="V7446" s="2"/>
      <c r="W7446" s="2"/>
    </row>
    <row r="7447" spans="1:23" x14ac:dyDescent="0.25">
      <c r="A7447" s="2"/>
      <c r="B7447" s="2"/>
      <c r="C7447" s="1"/>
      <c r="D7447" s="2"/>
      <c r="E7447" s="2"/>
      <c r="F7447" s="2"/>
      <c r="G7447" s="2"/>
      <c r="H7447" s="2"/>
      <c r="I7447" s="2"/>
      <c r="J7447" s="2"/>
      <c r="K7447" s="2"/>
      <c r="L7447" s="2"/>
      <c r="M7447" s="2"/>
      <c r="N7447" s="2"/>
      <c r="O7447" s="2"/>
      <c r="P7447" s="2"/>
      <c r="Q7447" s="2"/>
      <c r="R7447" s="2"/>
      <c r="S7447" s="2"/>
      <c r="T7447" s="2"/>
      <c r="U7447" s="2"/>
      <c r="V7447" s="2"/>
      <c r="W7447" s="2"/>
    </row>
    <row r="7448" spans="1:23" x14ac:dyDescent="0.25">
      <c r="A7448" s="2"/>
      <c r="B7448" s="2"/>
      <c r="C7448" s="1"/>
      <c r="D7448" s="2"/>
      <c r="E7448" s="2"/>
      <c r="F7448" s="2"/>
      <c r="G7448" s="2"/>
      <c r="H7448" s="2"/>
      <c r="I7448" s="2"/>
      <c r="J7448" s="2"/>
      <c r="K7448" s="2"/>
      <c r="L7448" s="2"/>
      <c r="M7448" s="2"/>
      <c r="N7448" s="2"/>
      <c r="O7448" s="2"/>
      <c r="P7448" s="2"/>
      <c r="Q7448" s="2"/>
      <c r="R7448" s="2"/>
      <c r="S7448" s="2"/>
      <c r="T7448" s="2"/>
      <c r="U7448" s="2"/>
      <c r="V7448" s="2"/>
      <c r="W7448" s="2"/>
    </row>
    <row r="7449" spans="1:23" x14ac:dyDescent="0.25">
      <c r="A7449" s="2"/>
      <c r="B7449" s="2"/>
      <c r="C7449" s="1"/>
      <c r="D7449" s="2"/>
      <c r="E7449" s="2"/>
      <c r="F7449" s="2"/>
      <c r="G7449" s="2"/>
      <c r="H7449" s="2"/>
      <c r="I7449" s="2"/>
      <c r="J7449" s="2"/>
      <c r="K7449" s="2"/>
      <c r="L7449" s="2"/>
      <c r="M7449" s="2"/>
      <c r="N7449" s="2"/>
      <c r="O7449" s="2"/>
      <c r="P7449" s="2"/>
      <c r="Q7449" s="2"/>
      <c r="R7449" s="2"/>
      <c r="S7449" s="2"/>
      <c r="T7449" s="2"/>
      <c r="U7449" s="2"/>
      <c r="V7449" s="2"/>
      <c r="W7449" s="2"/>
    </row>
    <row r="7450" spans="1:23" x14ac:dyDescent="0.25">
      <c r="A7450" s="2"/>
      <c r="B7450" s="2"/>
      <c r="C7450" s="1"/>
      <c r="D7450" s="2"/>
      <c r="E7450" s="2"/>
      <c r="F7450" s="2"/>
      <c r="G7450" s="2"/>
      <c r="H7450" s="2"/>
      <c r="I7450" s="2"/>
      <c r="J7450" s="2"/>
      <c r="K7450" s="2"/>
      <c r="L7450" s="2"/>
      <c r="M7450" s="2"/>
      <c r="N7450" s="2"/>
      <c r="O7450" s="2"/>
      <c r="P7450" s="2"/>
      <c r="Q7450" s="2"/>
      <c r="R7450" s="2"/>
      <c r="S7450" s="2"/>
      <c r="T7450" s="2"/>
      <c r="U7450" s="2"/>
      <c r="V7450" s="2"/>
      <c r="W7450" s="2"/>
    </row>
    <row r="7451" spans="1:23" x14ac:dyDescent="0.25">
      <c r="A7451" s="2"/>
      <c r="B7451" s="2"/>
      <c r="C7451" s="1"/>
      <c r="D7451" s="2"/>
      <c r="E7451" s="2"/>
      <c r="F7451" s="2"/>
      <c r="G7451" s="2"/>
      <c r="H7451" s="2"/>
      <c r="I7451" s="2"/>
      <c r="J7451" s="2"/>
      <c r="K7451" s="2"/>
      <c r="L7451" s="2"/>
      <c r="M7451" s="2"/>
      <c r="N7451" s="2"/>
      <c r="O7451" s="2"/>
      <c r="P7451" s="2"/>
      <c r="Q7451" s="2"/>
      <c r="R7451" s="2"/>
      <c r="S7451" s="2"/>
      <c r="T7451" s="2"/>
      <c r="U7451" s="2"/>
      <c r="V7451" s="2"/>
      <c r="W7451" s="2"/>
    </row>
    <row r="7452" spans="1:23" x14ac:dyDescent="0.25">
      <c r="A7452" s="2"/>
      <c r="B7452" s="2"/>
      <c r="C7452" s="1"/>
      <c r="D7452" s="2"/>
      <c r="E7452" s="2"/>
      <c r="F7452" s="2"/>
      <c r="G7452" s="2"/>
      <c r="H7452" s="2"/>
      <c r="I7452" s="2"/>
      <c r="J7452" s="2"/>
      <c r="K7452" s="2"/>
      <c r="L7452" s="2"/>
      <c r="M7452" s="2"/>
      <c r="N7452" s="2"/>
      <c r="O7452" s="2"/>
      <c r="P7452" s="2"/>
      <c r="Q7452" s="2"/>
      <c r="R7452" s="2"/>
      <c r="S7452" s="2"/>
      <c r="T7452" s="2"/>
      <c r="U7452" s="2"/>
      <c r="V7452" s="2"/>
      <c r="W7452" s="2"/>
    </row>
    <row r="7453" spans="1:23" x14ac:dyDescent="0.25">
      <c r="A7453" s="2"/>
      <c r="B7453" s="2"/>
      <c r="C7453" s="1"/>
      <c r="D7453" s="2"/>
      <c r="E7453" s="2"/>
      <c r="F7453" s="2"/>
      <c r="G7453" s="2"/>
      <c r="H7453" s="2"/>
      <c r="I7453" s="2"/>
      <c r="J7453" s="2"/>
      <c r="K7453" s="2"/>
      <c r="L7453" s="2"/>
      <c r="M7453" s="2"/>
      <c r="N7453" s="2"/>
      <c r="O7453" s="2"/>
      <c r="P7453" s="2"/>
      <c r="Q7453" s="2"/>
      <c r="R7453" s="2"/>
      <c r="S7453" s="2"/>
      <c r="T7453" s="2"/>
      <c r="U7453" s="2"/>
      <c r="V7453" s="2"/>
      <c r="W7453" s="2"/>
    </row>
    <row r="7454" spans="1:23" x14ac:dyDescent="0.25">
      <c r="A7454" s="2"/>
      <c r="B7454" s="2"/>
      <c r="C7454" s="1"/>
      <c r="D7454" s="2"/>
      <c r="E7454" s="2"/>
      <c r="F7454" s="2"/>
      <c r="G7454" s="2"/>
      <c r="H7454" s="2"/>
      <c r="I7454" s="2"/>
      <c r="J7454" s="2"/>
      <c r="K7454" s="2"/>
      <c r="L7454" s="2"/>
      <c r="M7454" s="2"/>
      <c r="N7454" s="2"/>
      <c r="O7454" s="2"/>
      <c r="P7454" s="2"/>
      <c r="Q7454" s="2"/>
      <c r="R7454" s="2"/>
      <c r="S7454" s="2"/>
      <c r="T7454" s="2"/>
      <c r="U7454" s="2"/>
      <c r="V7454" s="2"/>
      <c r="W7454" s="2"/>
    </row>
    <row r="7455" spans="1:23" x14ac:dyDescent="0.25">
      <c r="A7455" s="2"/>
      <c r="B7455" s="2"/>
      <c r="C7455" s="1"/>
      <c r="D7455" s="2"/>
      <c r="E7455" s="2"/>
      <c r="F7455" s="2"/>
      <c r="G7455" s="2"/>
      <c r="H7455" s="2"/>
      <c r="I7455" s="2"/>
      <c r="J7455" s="2"/>
      <c r="K7455" s="2"/>
      <c r="L7455" s="2"/>
      <c r="M7455" s="2"/>
      <c r="N7455" s="2"/>
      <c r="O7455" s="2"/>
      <c r="P7455" s="2"/>
      <c r="Q7455" s="2"/>
      <c r="R7455" s="2"/>
      <c r="S7455" s="2"/>
      <c r="T7455" s="2"/>
      <c r="U7455" s="2"/>
      <c r="V7455" s="2"/>
      <c r="W7455" s="2"/>
    </row>
    <row r="7456" spans="1:23" x14ac:dyDescent="0.25">
      <c r="A7456" s="2"/>
      <c r="B7456" s="2"/>
      <c r="C7456" s="1"/>
      <c r="D7456" s="2"/>
      <c r="E7456" s="2"/>
      <c r="F7456" s="2"/>
      <c r="G7456" s="2"/>
      <c r="H7456" s="2"/>
      <c r="I7456" s="2"/>
      <c r="J7456" s="2"/>
      <c r="K7456" s="2"/>
      <c r="L7456" s="2"/>
      <c r="M7456" s="2"/>
      <c r="N7456" s="2"/>
      <c r="O7456" s="2"/>
      <c r="P7456" s="2"/>
      <c r="Q7456" s="2"/>
      <c r="R7456" s="2"/>
      <c r="S7456" s="2"/>
      <c r="T7456" s="2"/>
      <c r="U7456" s="2"/>
      <c r="V7456" s="2"/>
      <c r="W7456" s="2"/>
    </row>
    <row r="7457" spans="1:23" x14ac:dyDescent="0.25">
      <c r="A7457" s="2"/>
      <c r="B7457" s="2"/>
      <c r="C7457" s="1"/>
      <c r="D7457" s="2"/>
      <c r="E7457" s="2"/>
      <c r="F7457" s="2"/>
      <c r="G7457" s="2"/>
      <c r="H7457" s="2"/>
      <c r="I7457" s="2"/>
      <c r="J7457" s="2"/>
      <c r="K7457" s="2"/>
      <c r="L7457" s="2"/>
      <c r="M7457" s="2"/>
      <c r="N7457" s="2"/>
      <c r="O7457" s="2"/>
      <c r="P7457" s="2"/>
      <c r="Q7457" s="2"/>
      <c r="R7457" s="2"/>
      <c r="S7457" s="2"/>
      <c r="T7457" s="2"/>
      <c r="U7457" s="2"/>
      <c r="V7457" s="2"/>
      <c r="W7457" s="2"/>
    </row>
    <row r="7458" spans="1:23" x14ac:dyDescent="0.25">
      <c r="A7458" s="2"/>
      <c r="B7458" s="2"/>
      <c r="C7458" s="1"/>
      <c r="D7458" s="2"/>
      <c r="E7458" s="2"/>
      <c r="F7458" s="2"/>
      <c r="G7458" s="2"/>
      <c r="H7458" s="2"/>
      <c r="I7458" s="2"/>
      <c r="J7458" s="2"/>
      <c r="K7458" s="2"/>
      <c r="L7458" s="2"/>
      <c r="M7458" s="2"/>
      <c r="N7458" s="2"/>
      <c r="O7458" s="2"/>
      <c r="P7458" s="2"/>
      <c r="Q7458" s="2"/>
      <c r="R7458" s="2"/>
      <c r="S7458" s="2"/>
      <c r="T7458" s="2"/>
      <c r="U7458" s="2"/>
      <c r="V7458" s="2"/>
      <c r="W7458" s="2"/>
    </row>
    <row r="7459" spans="1:23" x14ac:dyDescent="0.25">
      <c r="A7459" s="2"/>
      <c r="B7459" s="2"/>
      <c r="C7459" s="1"/>
      <c r="D7459" s="2"/>
      <c r="E7459" s="2"/>
      <c r="F7459" s="2"/>
      <c r="G7459" s="2"/>
      <c r="H7459" s="2"/>
      <c r="I7459" s="2"/>
      <c r="J7459" s="2"/>
      <c r="K7459" s="2"/>
      <c r="L7459" s="2"/>
      <c r="M7459" s="2"/>
      <c r="N7459" s="2"/>
      <c r="O7459" s="2"/>
      <c r="P7459" s="2"/>
      <c r="Q7459" s="2"/>
      <c r="R7459" s="2"/>
      <c r="S7459" s="2"/>
      <c r="T7459" s="2"/>
      <c r="U7459" s="2"/>
      <c r="V7459" s="2"/>
      <c r="W7459" s="2"/>
    </row>
    <row r="7460" spans="1:23" x14ac:dyDescent="0.25">
      <c r="A7460" s="2"/>
      <c r="B7460" s="2"/>
      <c r="C7460" s="1"/>
      <c r="D7460" s="2"/>
      <c r="E7460" s="2"/>
      <c r="F7460" s="2"/>
      <c r="G7460" s="2"/>
      <c r="H7460" s="2"/>
      <c r="I7460" s="2"/>
      <c r="J7460" s="2"/>
      <c r="K7460" s="2"/>
      <c r="L7460" s="2"/>
      <c r="M7460" s="2"/>
      <c r="N7460" s="2"/>
      <c r="O7460" s="2"/>
      <c r="P7460" s="2"/>
      <c r="Q7460" s="2"/>
      <c r="R7460" s="2"/>
      <c r="S7460" s="2"/>
      <c r="T7460" s="2"/>
      <c r="U7460" s="2"/>
      <c r="V7460" s="2"/>
      <c r="W7460" s="2"/>
    </row>
    <row r="7461" spans="1:23" x14ac:dyDescent="0.25">
      <c r="A7461" s="2"/>
      <c r="B7461" s="2"/>
      <c r="C7461" s="1"/>
      <c r="D7461" s="2"/>
      <c r="E7461" s="2"/>
      <c r="F7461" s="2"/>
      <c r="G7461" s="2"/>
      <c r="H7461" s="2"/>
      <c r="I7461" s="2"/>
      <c r="J7461" s="2"/>
      <c r="K7461" s="2"/>
      <c r="L7461" s="2"/>
      <c r="M7461" s="2"/>
      <c r="N7461" s="2"/>
      <c r="O7461" s="2"/>
      <c r="P7461" s="2"/>
      <c r="Q7461" s="2"/>
      <c r="R7461" s="2"/>
      <c r="S7461" s="2"/>
      <c r="T7461" s="2"/>
      <c r="U7461" s="2"/>
      <c r="V7461" s="2"/>
      <c r="W7461" s="2"/>
    </row>
    <row r="7462" spans="1:23" x14ac:dyDescent="0.25">
      <c r="A7462" s="2"/>
      <c r="B7462" s="2"/>
      <c r="C7462" s="1"/>
      <c r="D7462" s="2"/>
      <c r="E7462" s="2"/>
      <c r="F7462" s="2"/>
      <c r="G7462" s="2"/>
      <c r="H7462" s="2"/>
      <c r="I7462" s="2"/>
      <c r="J7462" s="2"/>
      <c r="K7462" s="2"/>
      <c r="L7462" s="2"/>
      <c r="M7462" s="2"/>
      <c r="N7462" s="2"/>
      <c r="O7462" s="2"/>
      <c r="P7462" s="2"/>
      <c r="Q7462" s="2"/>
      <c r="R7462" s="2"/>
      <c r="S7462" s="2"/>
      <c r="T7462" s="2"/>
      <c r="U7462" s="2"/>
      <c r="V7462" s="2"/>
      <c r="W7462" s="2"/>
    </row>
    <row r="7463" spans="1:23" x14ac:dyDescent="0.25">
      <c r="A7463" s="2"/>
      <c r="B7463" s="2"/>
      <c r="C7463" s="1"/>
      <c r="D7463" s="2"/>
      <c r="E7463" s="2"/>
      <c r="F7463" s="2"/>
      <c r="G7463" s="2"/>
      <c r="H7463" s="2"/>
      <c r="I7463" s="2"/>
      <c r="J7463" s="2"/>
      <c r="K7463" s="2"/>
      <c r="L7463" s="2"/>
      <c r="M7463" s="2"/>
      <c r="N7463" s="2"/>
      <c r="O7463" s="2"/>
      <c r="P7463" s="2"/>
      <c r="Q7463" s="2"/>
      <c r="R7463" s="2"/>
      <c r="S7463" s="2"/>
      <c r="T7463" s="2"/>
      <c r="U7463" s="2"/>
      <c r="V7463" s="2"/>
      <c r="W7463" s="2"/>
    </row>
    <row r="7464" spans="1:23" x14ac:dyDescent="0.25">
      <c r="A7464" s="2"/>
      <c r="B7464" s="2"/>
      <c r="C7464" s="1"/>
      <c r="D7464" s="2"/>
      <c r="E7464" s="2"/>
      <c r="F7464" s="2"/>
      <c r="G7464" s="2"/>
      <c r="H7464" s="2"/>
      <c r="I7464" s="2"/>
      <c r="J7464" s="2"/>
      <c r="K7464" s="2"/>
      <c r="L7464" s="2"/>
      <c r="M7464" s="2"/>
      <c r="N7464" s="2"/>
      <c r="O7464" s="2"/>
      <c r="P7464" s="2"/>
      <c r="Q7464" s="2"/>
      <c r="R7464" s="2"/>
      <c r="S7464" s="2"/>
      <c r="T7464" s="2"/>
      <c r="U7464" s="2"/>
      <c r="V7464" s="2"/>
      <c r="W7464" s="2"/>
    </row>
    <row r="7465" spans="1:23" x14ac:dyDescent="0.25">
      <c r="A7465" s="2"/>
      <c r="B7465" s="2"/>
      <c r="C7465" s="1"/>
      <c r="D7465" s="2"/>
      <c r="E7465" s="2"/>
      <c r="F7465" s="2"/>
      <c r="G7465" s="2"/>
      <c r="H7465" s="2"/>
      <c r="I7465" s="2"/>
      <c r="J7465" s="2"/>
      <c r="K7465" s="2"/>
      <c r="L7465" s="2"/>
      <c r="M7465" s="2"/>
      <c r="N7465" s="2"/>
      <c r="O7465" s="2"/>
      <c r="P7465" s="2"/>
      <c r="Q7465" s="2"/>
      <c r="R7465" s="2"/>
      <c r="S7465" s="2"/>
      <c r="T7465" s="2"/>
      <c r="U7465" s="2"/>
      <c r="V7465" s="2"/>
      <c r="W7465" s="2"/>
    </row>
    <row r="7466" spans="1:23" x14ac:dyDescent="0.25">
      <c r="A7466" s="2"/>
      <c r="B7466" s="2"/>
      <c r="C7466" s="1"/>
      <c r="D7466" s="2"/>
      <c r="E7466" s="2"/>
      <c r="F7466" s="2"/>
      <c r="G7466" s="2"/>
      <c r="H7466" s="2"/>
      <c r="I7466" s="2"/>
      <c r="J7466" s="2"/>
      <c r="K7466" s="2"/>
      <c r="L7466" s="2"/>
      <c r="M7466" s="2"/>
      <c r="N7466" s="2"/>
      <c r="O7466" s="2"/>
      <c r="P7466" s="2"/>
      <c r="Q7466" s="2"/>
      <c r="R7466" s="2"/>
      <c r="S7466" s="2"/>
      <c r="T7466" s="2"/>
      <c r="U7466" s="2"/>
      <c r="V7466" s="2"/>
      <c r="W7466" s="2"/>
    </row>
    <row r="7467" spans="1:23" x14ac:dyDescent="0.25">
      <c r="A7467" s="2"/>
      <c r="B7467" s="2"/>
      <c r="C7467" s="1"/>
      <c r="D7467" s="2"/>
      <c r="E7467" s="2"/>
      <c r="F7467" s="2"/>
      <c r="G7467" s="2"/>
      <c r="H7467" s="2"/>
      <c r="I7467" s="2"/>
      <c r="J7467" s="2"/>
      <c r="K7467" s="2"/>
      <c r="L7467" s="2"/>
      <c r="M7467" s="2"/>
      <c r="N7467" s="2"/>
      <c r="O7467" s="2"/>
      <c r="P7467" s="2"/>
      <c r="Q7467" s="2"/>
      <c r="R7467" s="2"/>
      <c r="S7467" s="2"/>
      <c r="T7467" s="2"/>
      <c r="U7467" s="2"/>
      <c r="V7467" s="2"/>
      <c r="W7467" s="2"/>
    </row>
    <row r="7468" spans="1:23" x14ac:dyDescent="0.25">
      <c r="A7468" s="2"/>
      <c r="B7468" s="2"/>
      <c r="C7468" s="1"/>
      <c r="D7468" s="2"/>
      <c r="E7468" s="2"/>
      <c r="F7468" s="2"/>
      <c r="G7468" s="2"/>
      <c r="H7468" s="2"/>
      <c r="I7468" s="2"/>
      <c r="J7468" s="2"/>
      <c r="K7468" s="2"/>
      <c r="L7468" s="2"/>
      <c r="M7468" s="2"/>
      <c r="N7468" s="2"/>
      <c r="O7468" s="2"/>
      <c r="P7468" s="2"/>
      <c r="Q7468" s="2"/>
      <c r="R7468" s="2"/>
      <c r="S7468" s="2"/>
      <c r="T7468" s="2"/>
      <c r="U7468" s="2"/>
      <c r="V7468" s="2"/>
      <c r="W7468" s="2"/>
    </row>
    <row r="7469" spans="1:23" x14ac:dyDescent="0.25">
      <c r="A7469" s="2"/>
      <c r="B7469" s="2"/>
      <c r="C7469" s="1"/>
      <c r="D7469" s="2"/>
      <c r="E7469" s="2"/>
      <c r="F7469" s="2"/>
      <c r="G7469" s="2"/>
      <c r="H7469" s="2"/>
      <c r="I7469" s="2"/>
      <c r="J7469" s="2"/>
      <c r="K7469" s="2"/>
      <c r="L7469" s="2"/>
      <c r="M7469" s="2"/>
      <c r="N7469" s="2"/>
      <c r="O7469" s="2"/>
      <c r="P7469" s="2"/>
      <c r="Q7469" s="2"/>
      <c r="R7469" s="2"/>
      <c r="S7469" s="2"/>
      <c r="T7469" s="2"/>
      <c r="U7469" s="2"/>
      <c r="V7469" s="2"/>
      <c r="W7469" s="2"/>
    </row>
    <row r="7470" spans="1:23" x14ac:dyDescent="0.25">
      <c r="A7470" s="2"/>
      <c r="B7470" s="2"/>
      <c r="C7470" s="1"/>
      <c r="D7470" s="2"/>
      <c r="E7470" s="2"/>
      <c r="F7470" s="2"/>
      <c r="G7470" s="2"/>
      <c r="H7470" s="2"/>
      <c r="I7470" s="2"/>
      <c r="J7470" s="2"/>
      <c r="K7470" s="2"/>
      <c r="L7470" s="2"/>
      <c r="M7470" s="2"/>
      <c r="N7470" s="2"/>
      <c r="O7470" s="2"/>
      <c r="P7470" s="2"/>
      <c r="Q7470" s="2"/>
      <c r="R7470" s="2"/>
      <c r="S7470" s="2"/>
      <c r="T7470" s="2"/>
      <c r="U7470" s="2"/>
      <c r="V7470" s="2"/>
      <c r="W7470" s="2"/>
    </row>
    <row r="7471" spans="1:23" x14ac:dyDescent="0.25">
      <c r="A7471" s="2"/>
      <c r="B7471" s="2"/>
      <c r="C7471" s="1"/>
      <c r="D7471" s="2"/>
      <c r="E7471" s="2"/>
      <c r="F7471" s="2"/>
      <c r="G7471" s="2"/>
      <c r="H7471" s="2"/>
      <c r="I7471" s="2"/>
      <c r="J7471" s="2"/>
      <c r="K7471" s="2"/>
      <c r="L7471" s="2"/>
      <c r="M7471" s="2"/>
      <c r="N7471" s="2"/>
      <c r="O7471" s="2"/>
      <c r="P7471" s="2"/>
      <c r="Q7471" s="2"/>
      <c r="R7471" s="2"/>
      <c r="S7471" s="2"/>
      <c r="T7471" s="2"/>
      <c r="U7471" s="2"/>
      <c r="V7471" s="2"/>
      <c r="W7471" s="2"/>
    </row>
    <row r="7472" spans="1:23" x14ac:dyDescent="0.25">
      <c r="A7472" s="2"/>
      <c r="B7472" s="2"/>
      <c r="C7472" s="1"/>
      <c r="D7472" s="2"/>
      <c r="E7472" s="2"/>
      <c r="F7472" s="2"/>
      <c r="G7472" s="2"/>
      <c r="H7472" s="2"/>
      <c r="I7472" s="2"/>
      <c r="J7472" s="2"/>
      <c r="K7472" s="2"/>
      <c r="L7472" s="2"/>
      <c r="M7472" s="2"/>
      <c r="N7472" s="2"/>
      <c r="O7472" s="2"/>
      <c r="P7472" s="2"/>
      <c r="Q7472" s="2"/>
      <c r="R7472" s="2"/>
      <c r="S7472" s="2"/>
      <c r="T7472" s="2"/>
      <c r="U7472" s="2"/>
      <c r="V7472" s="2"/>
      <c r="W7472" s="2"/>
    </row>
    <row r="7473" spans="1:23" x14ac:dyDescent="0.25">
      <c r="A7473" s="2"/>
      <c r="B7473" s="2"/>
      <c r="C7473" s="1"/>
      <c r="D7473" s="2"/>
      <c r="E7473" s="2"/>
      <c r="F7473" s="2"/>
      <c r="G7473" s="2"/>
      <c r="H7473" s="2"/>
      <c r="I7473" s="2"/>
      <c r="J7473" s="2"/>
      <c r="K7473" s="2"/>
      <c r="L7473" s="2"/>
      <c r="M7473" s="2"/>
      <c r="N7473" s="2"/>
      <c r="O7473" s="2"/>
      <c r="P7473" s="2"/>
      <c r="Q7473" s="2"/>
      <c r="R7473" s="2"/>
      <c r="S7473" s="2"/>
      <c r="T7473" s="2"/>
      <c r="U7473" s="2"/>
      <c r="V7473" s="2"/>
      <c r="W7473" s="2"/>
    </row>
    <row r="7474" spans="1:23" x14ac:dyDescent="0.25">
      <c r="A7474" s="2"/>
      <c r="B7474" s="2"/>
      <c r="C7474" s="1"/>
      <c r="D7474" s="2"/>
      <c r="E7474" s="2"/>
      <c r="F7474" s="2"/>
      <c r="G7474" s="2"/>
      <c r="H7474" s="2"/>
      <c r="I7474" s="2"/>
      <c r="J7474" s="2"/>
      <c r="K7474" s="2"/>
      <c r="L7474" s="2"/>
      <c r="M7474" s="2"/>
      <c r="N7474" s="2"/>
      <c r="O7474" s="2"/>
      <c r="P7474" s="2"/>
      <c r="Q7474" s="2"/>
      <c r="R7474" s="2"/>
      <c r="S7474" s="2"/>
      <c r="T7474" s="2"/>
      <c r="U7474" s="2"/>
      <c r="V7474" s="2"/>
      <c r="W7474" s="2"/>
    </row>
    <row r="7475" spans="1:23" x14ac:dyDescent="0.25">
      <c r="A7475" s="2"/>
      <c r="B7475" s="2"/>
      <c r="C7475" s="1"/>
      <c r="D7475" s="2"/>
      <c r="E7475" s="2"/>
      <c r="F7475" s="2"/>
      <c r="G7475" s="2"/>
      <c r="H7475" s="2"/>
      <c r="I7475" s="2"/>
      <c r="J7475" s="2"/>
      <c r="K7475" s="2"/>
      <c r="L7475" s="2"/>
      <c r="M7475" s="2"/>
      <c r="N7475" s="2"/>
      <c r="O7475" s="2"/>
      <c r="P7475" s="2"/>
      <c r="Q7475" s="2"/>
      <c r="R7475" s="2"/>
      <c r="S7475" s="2"/>
      <c r="T7475" s="2"/>
      <c r="U7475" s="2"/>
      <c r="V7475" s="2"/>
      <c r="W7475" s="2"/>
    </row>
    <row r="7476" spans="1:23" x14ac:dyDescent="0.25">
      <c r="A7476" s="2"/>
      <c r="B7476" s="2"/>
      <c r="C7476" s="1"/>
      <c r="D7476" s="2"/>
      <c r="E7476" s="2"/>
      <c r="F7476" s="2"/>
      <c r="G7476" s="2"/>
      <c r="H7476" s="2"/>
      <c r="I7476" s="2"/>
      <c r="J7476" s="2"/>
      <c r="K7476" s="2"/>
      <c r="L7476" s="2"/>
      <c r="M7476" s="2"/>
      <c r="N7476" s="2"/>
      <c r="O7476" s="2"/>
      <c r="P7476" s="2"/>
      <c r="Q7476" s="2"/>
      <c r="R7476" s="2"/>
      <c r="S7476" s="2"/>
      <c r="T7476" s="2"/>
      <c r="U7476" s="2"/>
      <c r="V7476" s="2"/>
      <c r="W7476" s="2"/>
    </row>
    <row r="7477" spans="1:23" x14ac:dyDescent="0.25">
      <c r="A7477" s="2"/>
      <c r="B7477" s="2"/>
      <c r="C7477" s="1"/>
      <c r="D7477" s="2"/>
      <c r="E7477" s="2"/>
      <c r="F7477" s="2"/>
      <c r="G7477" s="2"/>
      <c r="H7477" s="2"/>
      <c r="I7477" s="2"/>
      <c r="J7477" s="2"/>
      <c r="K7477" s="2"/>
      <c r="L7477" s="2"/>
      <c r="M7477" s="2"/>
      <c r="N7477" s="2"/>
      <c r="O7477" s="2"/>
      <c r="P7477" s="2"/>
      <c r="Q7477" s="2"/>
      <c r="R7477" s="2"/>
      <c r="S7477" s="2"/>
      <c r="T7477" s="2"/>
      <c r="U7477" s="2"/>
      <c r="V7477" s="2"/>
      <c r="W7477" s="2"/>
    </row>
    <row r="7478" spans="1:23" x14ac:dyDescent="0.25">
      <c r="A7478" s="2"/>
      <c r="B7478" s="2"/>
      <c r="C7478" s="1"/>
      <c r="D7478" s="2"/>
      <c r="E7478" s="2"/>
      <c r="F7478" s="2"/>
      <c r="G7478" s="2"/>
      <c r="H7478" s="2"/>
      <c r="I7478" s="2"/>
      <c r="J7478" s="2"/>
      <c r="K7478" s="2"/>
      <c r="L7478" s="2"/>
      <c r="M7478" s="2"/>
      <c r="N7478" s="2"/>
      <c r="O7478" s="2"/>
      <c r="P7478" s="2"/>
      <c r="Q7478" s="2"/>
      <c r="R7478" s="2"/>
      <c r="S7478" s="2"/>
      <c r="T7478" s="2"/>
      <c r="U7478" s="2"/>
      <c r="V7478" s="2"/>
      <c r="W7478" s="2"/>
    </row>
    <row r="7479" spans="1:23" x14ac:dyDescent="0.25">
      <c r="A7479" s="2"/>
      <c r="B7479" s="2"/>
      <c r="C7479" s="1"/>
      <c r="D7479" s="2"/>
      <c r="E7479" s="2"/>
      <c r="F7479" s="2"/>
      <c r="G7479" s="2"/>
      <c r="H7479" s="2"/>
      <c r="I7479" s="2"/>
      <c r="J7479" s="2"/>
      <c r="K7479" s="2"/>
      <c r="L7479" s="2"/>
      <c r="M7479" s="2"/>
      <c r="N7479" s="2"/>
      <c r="O7479" s="2"/>
      <c r="P7479" s="2"/>
      <c r="Q7479" s="2"/>
      <c r="R7479" s="2"/>
      <c r="S7479" s="2"/>
      <c r="T7479" s="2"/>
      <c r="U7479" s="2"/>
      <c r="V7479" s="2"/>
      <c r="W7479" s="2"/>
    </row>
    <row r="7480" spans="1:23" x14ac:dyDescent="0.25">
      <c r="A7480" s="2"/>
      <c r="B7480" s="2"/>
      <c r="C7480" s="1"/>
      <c r="D7480" s="2"/>
      <c r="E7480" s="2"/>
      <c r="F7480" s="2"/>
      <c r="G7480" s="2"/>
      <c r="H7480" s="2"/>
      <c r="I7480" s="2"/>
      <c r="J7480" s="2"/>
      <c r="K7480" s="2"/>
      <c r="L7480" s="2"/>
      <c r="M7480" s="2"/>
      <c r="N7480" s="2"/>
      <c r="O7480" s="2"/>
      <c r="P7480" s="2"/>
      <c r="Q7480" s="2"/>
      <c r="R7480" s="2"/>
      <c r="S7480" s="2"/>
      <c r="T7480" s="2"/>
      <c r="U7480" s="2"/>
      <c r="V7480" s="2"/>
      <c r="W7480" s="2"/>
    </row>
    <row r="7481" spans="1:23" x14ac:dyDescent="0.25">
      <c r="A7481" s="2"/>
      <c r="B7481" s="2"/>
      <c r="C7481" s="1"/>
      <c r="D7481" s="2"/>
      <c r="E7481" s="2"/>
      <c r="F7481" s="2"/>
      <c r="G7481" s="2"/>
      <c r="H7481" s="2"/>
      <c r="I7481" s="2"/>
      <c r="J7481" s="2"/>
      <c r="K7481" s="2"/>
      <c r="L7481" s="2"/>
      <c r="M7481" s="2"/>
      <c r="N7481" s="2"/>
      <c r="O7481" s="2"/>
      <c r="P7481" s="2"/>
      <c r="Q7481" s="2"/>
      <c r="R7481" s="2"/>
      <c r="S7481" s="2"/>
      <c r="T7481" s="2"/>
      <c r="U7481" s="2"/>
      <c r="V7481" s="2"/>
      <c r="W7481" s="2"/>
    </row>
    <row r="7482" spans="1:23" x14ac:dyDescent="0.25">
      <c r="A7482" s="2"/>
      <c r="B7482" s="2"/>
      <c r="C7482" s="1"/>
      <c r="D7482" s="2"/>
      <c r="E7482" s="2"/>
      <c r="F7482" s="2"/>
      <c r="G7482" s="2"/>
      <c r="H7482" s="2"/>
      <c r="I7482" s="2"/>
      <c r="J7482" s="2"/>
      <c r="K7482" s="2"/>
      <c r="L7482" s="2"/>
      <c r="M7482" s="2"/>
      <c r="N7482" s="2"/>
      <c r="O7482" s="2"/>
      <c r="P7482" s="2"/>
      <c r="Q7482" s="2"/>
      <c r="R7482" s="2"/>
      <c r="S7482" s="2"/>
      <c r="T7482" s="2"/>
      <c r="U7482" s="2"/>
      <c r="V7482" s="2"/>
      <c r="W7482" s="2"/>
    </row>
    <row r="7483" spans="1:23" x14ac:dyDescent="0.25">
      <c r="A7483" s="2"/>
      <c r="B7483" s="2"/>
      <c r="C7483" s="1"/>
      <c r="D7483" s="2"/>
      <c r="E7483" s="2"/>
      <c r="F7483" s="2"/>
      <c r="G7483" s="2"/>
      <c r="H7483" s="2"/>
      <c r="I7483" s="2"/>
      <c r="J7483" s="2"/>
      <c r="K7483" s="2"/>
      <c r="L7483" s="2"/>
      <c r="M7483" s="2"/>
      <c r="N7483" s="2"/>
      <c r="O7483" s="2"/>
      <c r="P7483" s="2"/>
      <c r="Q7483" s="2"/>
      <c r="R7483" s="2"/>
      <c r="S7483" s="2"/>
      <c r="T7483" s="2"/>
      <c r="U7483" s="2"/>
      <c r="V7483" s="2"/>
      <c r="W7483" s="2"/>
    </row>
    <row r="7484" spans="1:23" x14ac:dyDescent="0.25">
      <c r="A7484" s="2"/>
      <c r="B7484" s="2"/>
      <c r="C7484" s="1"/>
      <c r="D7484" s="2"/>
      <c r="E7484" s="2"/>
      <c r="F7484" s="2"/>
      <c r="G7484" s="2"/>
      <c r="H7484" s="2"/>
      <c r="I7484" s="2"/>
      <c r="J7484" s="2"/>
      <c r="K7484" s="2"/>
      <c r="L7484" s="2"/>
      <c r="M7484" s="2"/>
      <c r="N7484" s="2"/>
      <c r="O7484" s="2"/>
      <c r="P7484" s="2"/>
      <c r="Q7484" s="2"/>
      <c r="R7484" s="2"/>
      <c r="S7484" s="2"/>
      <c r="T7484" s="2"/>
      <c r="U7484" s="2"/>
      <c r="V7484" s="2"/>
      <c r="W7484" s="2"/>
    </row>
    <row r="7485" spans="1:23" x14ac:dyDescent="0.25">
      <c r="A7485" s="2"/>
      <c r="B7485" s="2"/>
      <c r="C7485" s="1"/>
      <c r="D7485" s="2"/>
      <c r="E7485" s="2"/>
      <c r="F7485" s="2"/>
      <c r="G7485" s="2"/>
      <c r="H7485" s="2"/>
      <c r="I7485" s="2"/>
      <c r="J7485" s="2"/>
      <c r="K7485" s="2"/>
      <c r="L7485" s="2"/>
      <c r="M7485" s="2"/>
      <c r="N7485" s="2"/>
      <c r="O7485" s="2"/>
      <c r="P7485" s="2"/>
      <c r="Q7485" s="2"/>
      <c r="R7485" s="2"/>
      <c r="S7485" s="2"/>
      <c r="T7485" s="2"/>
      <c r="U7485" s="2"/>
      <c r="V7485" s="2"/>
      <c r="W7485" s="2"/>
    </row>
    <row r="7486" spans="1:23" x14ac:dyDescent="0.25">
      <c r="A7486" s="2"/>
      <c r="B7486" s="2"/>
      <c r="C7486" s="1"/>
      <c r="D7486" s="2"/>
      <c r="E7486" s="2"/>
      <c r="F7486" s="2"/>
      <c r="G7486" s="2"/>
      <c r="H7486" s="2"/>
      <c r="I7486" s="2"/>
      <c r="J7486" s="2"/>
      <c r="K7486" s="2"/>
      <c r="L7486" s="2"/>
      <c r="M7486" s="2"/>
      <c r="N7486" s="2"/>
      <c r="O7486" s="2"/>
      <c r="P7486" s="2"/>
      <c r="Q7486" s="2"/>
      <c r="R7486" s="2"/>
      <c r="S7486" s="2"/>
      <c r="T7486" s="2"/>
      <c r="U7486" s="2"/>
      <c r="V7486" s="2"/>
      <c r="W7486" s="2"/>
    </row>
    <row r="7487" spans="1:23" x14ac:dyDescent="0.25">
      <c r="A7487" s="2"/>
      <c r="B7487" s="2"/>
      <c r="C7487" s="1"/>
      <c r="D7487" s="2"/>
      <c r="E7487" s="2"/>
      <c r="F7487" s="2"/>
      <c r="G7487" s="2"/>
      <c r="H7487" s="2"/>
      <c r="I7487" s="2"/>
      <c r="J7487" s="2"/>
      <c r="K7487" s="2"/>
      <c r="L7487" s="2"/>
      <c r="M7487" s="2"/>
      <c r="N7487" s="2"/>
      <c r="O7487" s="2"/>
      <c r="P7487" s="2"/>
      <c r="Q7487" s="2"/>
      <c r="R7487" s="2"/>
      <c r="S7487" s="2"/>
      <c r="T7487" s="2"/>
      <c r="U7487" s="2"/>
      <c r="V7487" s="2"/>
      <c r="W7487" s="2"/>
    </row>
    <row r="7488" spans="1:23" x14ac:dyDescent="0.25">
      <c r="A7488" s="2"/>
      <c r="B7488" s="2"/>
      <c r="C7488" s="1"/>
      <c r="D7488" s="2"/>
      <c r="E7488" s="2"/>
      <c r="F7488" s="2"/>
      <c r="G7488" s="2"/>
      <c r="H7488" s="2"/>
      <c r="I7488" s="2"/>
      <c r="J7488" s="2"/>
      <c r="K7488" s="2"/>
      <c r="L7488" s="2"/>
      <c r="M7488" s="2"/>
      <c r="N7488" s="2"/>
      <c r="O7488" s="2"/>
      <c r="P7488" s="2"/>
      <c r="Q7488" s="2"/>
      <c r="R7488" s="2"/>
      <c r="S7488" s="2"/>
      <c r="T7488" s="2"/>
      <c r="U7488" s="2"/>
      <c r="V7488" s="2"/>
      <c r="W7488" s="2"/>
    </row>
    <row r="7489" spans="1:23" x14ac:dyDescent="0.25">
      <c r="A7489" s="2"/>
      <c r="B7489" s="2"/>
      <c r="C7489" s="1"/>
      <c r="D7489" s="2"/>
      <c r="E7489" s="2"/>
      <c r="F7489" s="2"/>
      <c r="G7489" s="2"/>
      <c r="H7489" s="2"/>
      <c r="I7489" s="2"/>
      <c r="J7489" s="2"/>
      <c r="K7489" s="2"/>
      <c r="L7489" s="2"/>
      <c r="M7489" s="2"/>
      <c r="N7489" s="2"/>
      <c r="O7489" s="2"/>
      <c r="P7489" s="2"/>
      <c r="Q7489" s="2"/>
      <c r="R7489" s="2"/>
      <c r="S7489" s="2"/>
      <c r="T7489" s="2"/>
      <c r="U7489" s="2"/>
      <c r="V7489" s="2"/>
      <c r="W7489" s="2"/>
    </row>
    <row r="7490" spans="1:23" x14ac:dyDescent="0.25">
      <c r="A7490" s="2"/>
      <c r="B7490" s="2"/>
      <c r="C7490" s="1"/>
      <c r="D7490" s="2"/>
      <c r="E7490" s="2"/>
      <c r="F7490" s="2"/>
      <c r="G7490" s="2"/>
      <c r="H7490" s="2"/>
      <c r="I7490" s="2"/>
      <c r="J7490" s="2"/>
      <c r="K7490" s="2"/>
      <c r="L7490" s="2"/>
      <c r="M7490" s="2"/>
      <c r="N7490" s="2"/>
      <c r="O7490" s="2"/>
      <c r="P7490" s="2"/>
      <c r="Q7490" s="2"/>
      <c r="R7490" s="2"/>
      <c r="S7490" s="2"/>
      <c r="T7490" s="2"/>
      <c r="U7490" s="2"/>
      <c r="V7490" s="2"/>
      <c r="W7490" s="2"/>
    </row>
    <row r="7491" spans="1:23" x14ac:dyDescent="0.25">
      <c r="A7491" s="2"/>
      <c r="B7491" s="2"/>
      <c r="C7491" s="1"/>
      <c r="D7491" s="2"/>
      <c r="E7491" s="2"/>
      <c r="F7491" s="2"/>
      <c r="G7491" s="2"/>
      <c r="H7491" s="2"/>
      <c r="I7491" s="2"/>
      <c r="J7491" s="2"/>
      <c r="K7491" s="2"/>
      <c r="L7491" s="2"/>
      <c r="M7491" s="2"/>
      <c r="N7491" s="2"/>
      <c r="O7491" s="2"/>
      <c r="P7491" s="2"/>
      <c r="Q7491" s="2"/>
      <c r="R7491" s="2"/>
      <c r="S7491" s="2"/>
      <c r="T7491" s="2"/>
      <c r="U7491" s="2"/>
      <c r="V7491" s="2"/>
      <c r="W7491" s="2"/>
    </row>
    <row r="7492" spans="1:23" x14ac:dyDescent="0.25">
      <c r="A7492" s="2"/>
      <c r="B7492" s="2"/>
      <c r="C7492" s="1"/>
      <c r="D7492" s="2"/>
      <c r="E7492" s="2"/>
      <c r="F7492" s="2"/>
      <c r="G7492" s="2"/>
      <c r="H7492" s="2"/>
      <c r="I7492" s="2"/>
      <c r="J7492" s="2"/>
      <c r="K7492" s="2"/>
      <c r="L7492" s="2"/>
      <c r="M7492" s="2"/>
      <c r="N7492" s="2"/>
      <c r="O7492" s="2"/>
      <c r="P7492" s="2"/>
      <c r="Q7492" s="2"/>
      <c r="R7492" s="2"/>
      <c r="S7492" s="2"/>
      <c r="T7492" s="2"/>
      <c r="U7492" s="2"/>
      <c r="V7492" s="2"/>
      <c r="W7492" s="2"/>
    </row>
    <row r="7493" spans="1:23" x14ac:dyDescent="0.25">
      <c r="A7493" s="2"/>
      <c r="B7493" s="2"/>
      <c r="C7493" s="1"/>
      <c r="D7493" s="2"/>
      <c r="E7493" s="2"/>
      <c r="F7493" s="2"/>
      <c r="G7493" s="2"/>
      <c r="H7493" s="2"/>
      <c r="I7493" s="2"/>
      <c r="J7493" s="2"/>
      <c r="K7493" s="2"/>
      <c r="L7493" s="2"/>
      <c r="M7493" s="2"/>
      <c r="N7493" s="2"/>
      <c r="O7493" s="2"/>
      <c r="P7493" s="2"/>
      <c r="Q7493" s="2"/>
      <c r="R7493" s="2"/>
      <c r="S7493" s="2"/>
      <c r="T7493" s="2"/>
      <c r="U7493" s="2"/>
      <c r="V7493" s="2"/>
      <c r="W7493" s="2"/>
    </row>
    <row r="7494" spans="1:23" x14ac:dyDescent="0.25">
      <c r="A7494" s="2"/>
      <c r="B7494" s="2"/>
      <c r="C7494" s="1"/>
      <c r="D7494" s="2"/>
      <c r="E7494" s="2"/>
      <c r="F7494" s="2"/>
      <c r="G7494" s="2"/>
      <c r="H7494" s="2"/>
      <c r="I7494" s="2"/>
      <c r="J7494" s="2"/>
      <c r="K7494" s="2"/>
      <c r="L7494" s="2"/>
      <c r="M7494" s="2"/>
      <c r="N7494" s="2"/>
      <c r="O7494" s="2"/>
      <c r="P7494" s="2"/>
      <c r="Q7494" s="2"/>
      <c r="R7494" s="2"/>
      <c r="S7494" s="2"/>
      <c r="T7494" s="2"/>
      <c r="U7494" s="2"/>
      <c r="V7494" s="2"/>
      <c r="W7494" s="2"/>
    </row>
    <row r="7495" spans="1:23" x14ac:dyDescent="0.25">
      <c r="A7495" s="2"/>
      <c r="B7495" s="2"/>
      <c r="C7495" s="1"/>
      <c r="D7495" s="2"/>
      <c r="E7495" s="2"/>
      <c r="F7495" s="2"/>
      <c r="G7495" s="2"/>
      <c r="H7495" s="2"/>
      <c r="I7495" s="2"/>
      <c r="J7495" s="2"/>
      <c r="K7495" s="2"/>
      <c r="L7495" s="2"/>
      <c r="M7495" s="2"/>
      <c r="N7495" s="2"/>
      <c r="O7495" s="2"/>
      <c r="P7495" s="2"/>
      <c r="Q7495" s="2"/>
      <c r="R7495" s="2"/>
      <c r="S7495" s="2"/>
      <c r="T7495" s="2"/>
      <c r="U7495" s="2"/>
      <c r="V7495" s="2"/>
      <c r="W7495" s="2"/>
    </row>
    <row r="7496" spans="1:23" x14ac:dyDescent="0.25">
      <c r="A7496" s="2"/>
      <c r="B7496" s="2"/>
      <c r="C7496" s="1"/>
      <c r="D7496" s="2"/>
      <c r="E7496" s="2"/>
      <c r="F7496" s="2"/>
      <c r="G7496" s="2"/>
      <c r="H7496" s="2"/>
      <c r="I7496" s="2"/>
      <c r="J7496" s="2"/>
      <c r="K7496" s="2"/>
      <c r="L7496" s="2"/>
      <c r="M7496" s="2"/>
      <c r="N7496" s="2"/>
      <c r="O7496" s="2"/>
      <c r="P7496" s="2"/>
      <c r="Q7496" s="2"/>
      <c r="R7496" s="2"/>
      <c r="S7496" s="2"/>
      <c r="T7496" s="2"/>
      <c r="U7496" s="2"/>
      <c r="V7496" s="2"/>
      <c r="W7496" s="2"/>
    </row>
    <row r="7497" spans="1:23" x14ac:dyDescent="0.25">
      <c r="A7497" s="2"/>
      <c r="B7497" s="2"/>
      <c r="C7497" s="1"/>
      <c r="D7497" s="2"/>
      <c r="E7497" s="2"/>
      <c r="F7497" s="2"/>
      <c r="G7497" s="2"/>
      <c r="H7497" s="2"/>
      <c r="I7497" s="2"/>
      <c r="J7497" s="2"/>
      <c r="K7497" s="2"/>
      <c r="L7497" s="2"/>
      <c r="M7497" s="2"/>
      <c r="N7497" s="2"/>
      <c r="O7497" s="2"/>
      <c r="P7497" s="2"/>
      <c r="Q7497" s="2"/>
      <c r="R7497" s="2"/>
      <c r="S7497" s="2"/>
      <c r="T7497" s="2"/>
      <c r="U7497" s="2"/>
      <c r="V7497" s="2"/>
      <c r="W7497" s="2"/>
    </row>
    <row r="7498" spans="1:23" x14ac:dyDescent="0.25">
      <c r="A7498" s="2"/>
      <c r="B7498" s="2"/>
      <c r="C7498" s="1"/>
      <c r="D7498" s="2"/>
      <c r="E7498" s="2"/>
      <c r="F7498" s="2"/>
      <c r="G7498" s="2"/>
      <c r="H7498" s="2"/>
      <c r="I7498" s="2"/>
      <c r="J7498" s="2"/>
      <c r="K7498" s="2"/>
      <c r="L7498" s="2"/>
      <c r="M7498" s="2"/>
      <c r="N7498" s="2"/>
      <c r="O7498" s="2"/>
      <c r="P7498" s="2"/>
      <c r="Q7498" s="2"/>
      <c r="R7498" s="2"/>
      <c r="S7498" s="2"/>
      <c r="T7498" s="2"/>
      <c r="U7498" s="2"/>
      <c r="V7498" s="2"/>
      <c r="W7498" s="2"/>
    </row>
    <row r="7499" spans="1:23" x14ac:dyDescent="0.25">
      <c r="A7499" s="2"/>
      <c r="B7499" s="2"/>
      <c r="C7499" s="1"/>
      <c r="D7499" s="2"/>
      <c r="E7499" s="2"/>
      <c r="F7499" s="2"/>
      <c r="G7499" s="2"/>
      <c r="H7499" s="2"/>
      <c r="I7499" s="2"/>
      <c r="J7499" s="2"/>
      <c r="K7499" s="2"/>
      <c r="L7499" s="2"/>
      <c r="M7499" s="2"/>
      <c r="N7499" s="2"/>
      <c r="O7499" s="2"/>
      <c r="P7499" s="2"/>
      <c r="Q7499" s="2"/>
      <c r="R7499" s="2"/>
      <c r="S7499" s="2"/>
      <c r="T7499" s="2"/>
      <c r="U7499" s="2"/>
      <c r="V7499" s="2"/>
      <c r="W7499" s="2"/>
    </row>
    <row r="7500" spans="1:23" x14ac:dyDescent="0.25">
      <c r="A7500" s="2"/>
      <c r="B7500" s="2"/>
      <c r="C7500" s="1"/>
      <c r="D7500" s="2"/>
      <c r="E7500" s="2"/>
      <c r="F7500" s="2"/>
      <c r="G7500" s="2"/>
      <c r="H7500" s="2"/>
      <c r="I7500" s="2"/>
      <c r="J7500" s="2"/>
      <c r="K7500" s="2"/>
      <c r="L7500" s="2"/>
      <c r="M7500" s="2"/>
      <c r="N7500" s="2"/>
      <c r="O7500" s="2"/>
      <c r="P7500" s="2"/>
      <c r="Q7500" s="2"/>
      <c r="R7500" s="2"/>
      <c r="S7500" s="2"/>
      <c r="T7500" s="2"/>
      <c r="U7500" s="2"/>
      <c r="V7500" s="2"/>
      <c r="W7500" s="2"/>
    </row>
    <row r="7501" spans="1:23" x14ac:dyDescent="0.25">
      <c r="A7501" s="2"/>
      <c r="B7501" s="2"/>
      <c r="C7501" s="1"/>
      <c r="D7501" s="2"/>
      <c r="E7501" s="2"/>
      <c r="F7501" s="2"/>
      <c r="G7501" s="2"/>
      <c r="H7501" s="2"/>
      <c r="I7501" s="2"/>
      <c r="J7501" s="2"/>
      <c r="K7501" s="2"/>
      <c r="L7501" s="2"/>
      <c r="M7501" s="2"/>
      <c r="N7501" s="2"/>
      <c r="O7501" s="2"/>
      <c r="P7501" s="2"/>
      <c r="Q7501" s="2"/>
      <c r="R7501" s="2"/>
      <c r="S7501" s="2"/>
      <c r="T7501" s="2"/>
      <c r="U7501" s="2"/>
      <c r="V7501" s="2"/>
      <c r="W7501" s="2"/>
    </row>
    <row r="7502" spans="1:23" x14ac:dyDescent="0.25">
      <c r="A7502" s="2"/>
      <c r="B7502" s="2"/>
      <c r="C7502" s="1"/>
      <c r="D7502" s="2"/>
      <c r="E7502" s="2"/>
      <c r="F7502" s="2"/>
      <c r="G7502" s="2"/>
      <c r="H7502" s="2"/>
      <c r="I7502" s="2"/>
      <c r="J7502" s="2"/>
      <c r="K7502" s="2"/>
      <c r="L7502" s="2"/>
      <c r="M7502" s="2"/>
      <c r="N7502" s="2"/>
      <c r="O7502" s="2"/>
      <c r="P7502" s="2"/>
      <c r="Q7502" s="2"/>
      <c r="R7502" s="2"/>
      <c r="S7502" s="2"/>
      <c r="T7502" s="2"/>
      <c r="U7502" s="2"/>
      <c r="V7502" s="2"/>
      <c r="W7502" s="2"/>
    </row>
    <row r="7503" spans="1:23" x14ac:dyDescent="0.25">
      <c r="A7503" s="2"/>
      <c r="B7503" s="2"/>
      <c r="C7503" s="1"/>
      <c r="D7503" s="2"/>
      <c r="E7503" s="2"/>
      <c r="F7503" s="2"/>
      <c r="G7503" s="2"/>
      <c r="H7503" s="2"/>
      <c r="I7503" s="2"/>
      <c r="J7503" s="2"/>
      <c r="K7503" s="2"/>
      <c r="L7503" s="2"/>
      <c r="M7503" s="2"/>
      <c r="N7503" s="2"/>
      <c r="O7503" s="2"/>
      <c r="P7503" s="2"/>
      <c r="Q7503" s="2"/>
      <c r="R7503" s="2"/>
      <c r="S7503" s="2"/>
      <c r="T7503" s="2"/>
      <c r="U7503" s="2"/>
      <c r="V7503" s="2"/>
      <c r="W7503" s="2"/>
    </row>
    <row r="7504" spans="1:23" x14ac:dyDescent="0.25">
      <c r="A7504" s="2"/>
      <c r="B7504" s="2"/>
      <c r="C7504" s="1"/>
      <c r="D7504" s="2"/>
      <c r="E7504" s="2"/>
      <c r="F7504" s="2"/>
      <c r="G7504" s="2"/>
      <c r="H7504" s="2"/>
      <c r="I7504" s="2"/>
      <c r="J7504" s="2"/>
      <c r="K7504" s="2"/>
      <c r="L7504" s="2"/>
      <c r="M7504" s="2"/>
      <c r="N7504" s="2"/>
      <c r="O7504" s="2"/>
      <c r="P7504" s="2"/>
      <c r="Q7504" s="2"/>
      <c r="R7504" s="2"/>
      <c r="S7504" s="2"/>
      <c r="T7504" s="2"/>
      <c r="U7504" s="2"/>
      <c r="V7504" s="2"/>
      <c r="W7504" s="2"/>
    </row>
    <row r="7505" spans="1:23" x14ac:dyDescent="0.25">
      <c r="A7505" s="2"/>
      <c r="B7505" s="2"/>
      <c r="C7505" s="1"/>
      <c r="D7505" s="2"/>
      <c r="E7505" s="2"/>
      <c r="F7505" s="2"/>
      <c r="G7505" s="2"/>
      <c r="H7505" s="2"/>
      <c r="I7505" s="2"/>
      <c r="J7505" s="2"/>
      <c r="K7505" s="2"/>
      <c r="L7505" s="2"/>
      <c r="M7505" s="2"/>
      <c r="N7505" s="2"/>
      <c r="O7505" s="2"/>
      <c r="P7505" s="2"/>
      <c r="Q7505" s="2"/>
      <c r="R7505" s="2"/>
      <c r="S7505" s="2"/>
      <c r="T7505" s="2"/>
      <c r="U7505" s="2"/>
      <c r="V7505" s="2"/>
      <c r="W7505" s="2"/>
    </row>
    <row r="7506" spans="1:23" x14ac:dyDescent="0.25">
      <c r="A7506" s="2"/>
      <c r="B7506" s="2"/>
      <c r="C7506" s="1"/>
      <c r="D7506" s="2"/>
      <c r="E7506" s="2"/>
      <c r="F7506" s="2"/>
      <c r="G7506" s="2"/>
      <c r="H7506" s="2"/>
      <c r="I7506" s="2"/>
      <c r="J7506" s="2"/>
      <c r="K7506" s="2"/>
      <c r="L7506" s="2"/>
      <c r="M7506" s="2"/>
      <c r="N7506" s="2"/>
      <c r="O7506" s="2"/>
      <c r="P7506" s="2"/>
      <c r="Q7506" s="2"/>
      <c r="R7506" s="2"/>
      <c r="S7506" s="2"/>
      <c r="T7506" s="2"/>
      <c r="U7506" s="2"/>
      <c r="V7506" s="2"/>
      <c r="W7506" s="2"/>
    </row>
    <row r="7507" spans="1:23" x14ac:dyDescent="0.25">
      <c r="A7507" s="2"/>
      <c r="B7507" s="2"/>
      <c r="C7507" s="1"/>
      <c r="D7507" s="2"/>
      <c r="E7507" s="2"/>
      <c r="F7507" s="2"/>
      <c r="G7507" s="2"/>
      <c r="H7507" s="2"/>
      <c r="I7507" s="2"/>
      <c r="J7507" s="2"/>
      <c r="K7507" s="2"/>
      <c r="L7507" s="2"/>
      <c r="M7507" s="2"/>
      <c r="N7507" s="2"/>
      <c r="O7507" s="2"/>
      <c r="P7507" s="2"/>
      <c r="Q7507" s="2"/>
      <c r="R7507" s="2"/>
      <c r="S7507" s="2"/>
      <c r="T7507" s="2"/>
      <c r="U7507" s="2"/>
      <c r="V7507" s="2"/>
      <c r="W7507" s="2"/>
    </row>
    <row r="7508" spans="1:23" x14ac:dyDescent="0.25">
      <c r="A7508" s="2"/>
      <c r="B7508" s="2"/>
      <c r="C7508" s="1"/>
      <c r="D7508" s="2"/>
      <c r="E7508" s="2"/>
      <c r="F7508" s="2"/>
      <c r="G7508" s="2"/>
      <c r="H7508" s="2"/>
      <c r="I7508" s="2"/>
      <c r="J7508" s="2"/>
      <c r="K7508" s="2"/>
      <c r="L7508" s="2"/>
      <c r="M7508" s="2"/>
      <c r="N7508" s="2"/>
      <c r="O7508" s="2"/>
      <c r="P7508" s="2"/>
      <c r="Q7508" s="2"/>
      <c r="R7508" s="2"/>
      <c r="S7508" s="2"/>
      <c r="T7508" s="2"/>
      <c r="U7508" s="2"/>
      <c r="V7508" s="2"/>
      <c r="W7508" s="2"/>
    </row>
    <row r="7509" spans="1:23" x14ac:dyDescent="0.25">
      <c r="A7509" s="2"/>
      <c r="B7509" s="2"/>
      <c r="C7509" s="1"/>
      <c r="D7509" s="2"/>
      <c r="E7509" s="2"/>
      <c r="F7509" s="2"/>
      <c r="G7509" s="2"/>
      <c r="H7509" s="2"/>
      <c r="I7509" s="2"/>
      <c r="J7509" s="2"/>
      <c r="K7509" s="2"/>
      <c r="L7509" s="2"/>
      <c r="M7509" s="2"/>
      <c r="N7509" s="2"/>
      <c r="O7509" s="2"/>
      <c r="P7509" s="2"/>
      <c r="Q7509" s="2"/>
      <c r="R7509" s="2"/>
      <c r="S7509" s="2"/>
      <c r="T7509" s="2"/>
      <c r="U7509" s="2"/>
      <c r="V7509" s="2"/>
      <c r="W7509" s="2"/>
    </row>
    <row r="7510" spans="1:23" x14ac:dyDescent="0.25">
      <c r="A7510" s="2"/>
      <c r="B7510" s="2"/>
      <c r="C7510" s="1"/>
      <c r="D7510" s="2"/>
      <c r="E7510" s="2"/>
      <c r="F7510" s="2"/>
      <c r="G7510" s="2"/>
      <c r="H7510" s="2"/>
      <c r="I7510" s="2"/>
      <c r="J7510" s="2"/>
      <c r="K7510" s="2"/>
      <c r="L7510" s="2"/>
      <c r="M7510" s="2"/>
      <c r="N7510" s="2"/>
      <c r="O7510" s="2"/>
      <c r="P7510" s="2"/>
      <c r="Q7510" s="2"/>
      <c r="R7510" s="2"/>
      <c r="S7510" s="2"/>
      <c r="T7510" s="2"/>
      <c r="U7510" s="2"/>
      <c r="V7510" s="2"/>
      <c r="W7510" s="2"/>
    </row>
    <row r="7511" spans="1:23" x14ac:dyDescent="0.25">
      <c r="A7511" s="2"/>
      <c r="B7511" s="2"/>
      <c r="C7511" s="1"/>
      <c r="D7511" s="2"/>
      <c r="E7511" s="2"/>
      <c r="F7511" s="2"/>
      <c r="G7511" s="2"/>
      <c r="H7511" s="2"/>
      <c r="I7511" s="2"/>
      <c r="J7511" s="2"/>
      <c r="K7511" s="2"/>
      <c r="L7511" s="2"/>
      <c r="M7511" s="2"/>
      <c r="N7511" s="2"/>
      <c r="O7511" s="2"/>
      <c r="P7511" s="2"/>
      <c r="Q7511" s="2"/>
      <c r="R7511" s="2"/>
      <c r="S7511" s="2"/>
      <c r="T7511" s="2"/>
      <c r="U7511" s="2"/>
      <c r="V7511" s="2"/>
      <c r="W7511" s="2"/>
    </row>
    <row r="7512" spans="1:23" x14ac:dyDescent="0.25">
      <c r="A7512" s="2"/>
      <c r="B7512" s="2"/>
      <c r="C7512" s="1"/>
      <c r="D7512" s="2"/>
      <c r="E7512" s="2"/>
      <c r="F7512" s="2"/>
      <c r="G7512" s="2"/>
      <c r="H7512" s="2"/>
      <c r="I7512" s="2"/>
      <c r="J7512" s="2"/>
      <c r="K7512" s="2"/>
      <c r="L7512" s="2"/>
      <c r="M7512" s="2"/>
      <c r="N7512" s="2"/>
      <c r="O7512" s="2"/>
      <c r="P7512" s="2"/>
      <c r="Q7512" s="2"/>
      <c r="R7512" s="2"/>
      <c r="S7512" s="2"/>
      <c r="T7512" s="2"/>
      <c r="U7512" s="2"/>
      <c r="V7512" s="2"/>
      <c r="W7512" s="2"/>
    </row>
    <row r="7513" spans="1:23" x14ac:dyDescent="0.25">
      <c r="A7513" s="2"/>
      <c r="B7513" s="2"/>
      <c r="C7513" s="1"/>
      <c r="D7513" s="2"/>
      <c r="E7513" s="2"/>
      <c r="F7513" s="2"/>
      <c r="G7513" s="2"/>
      <c r="H7513" s="2"/>
      <c r="I7513" s="2"/>
      <c r="J7513" s="2"/>
      <c r="K7513" s="2"/>
      <c r="L7513" s="2"/>
      <c r="M7513" s="2"/>
      <c r="N7513" s="2"/>
      <c r="O7513" s="2"/>
      <c r="P7513" s="2"/>
      <c r="Q7513" s="2"/>
      <c r="R7513" s="2"/>
      <c r="S7513" s="2"/>
      <c r="T7513" s="2"/>
      <c r="U7513" s="2"/>
      <c r="V7513" s="2"/>
      <c r="W7513" s="2"/>
    </row>
    <row r="7514" spans="1:23" x14ac:dyDescent="0.25">
      <c r="A7514" s="2"/>
      <c r="B7514" s="2"/>
      <c r="C7514" s="1"/>
      <c r="D7514" s="2"/>
      <c r="E7514" s="2"/>
      <c r="F7514" s="2"/>
      <c r="G7514" s="2"/>
      <c r="H7514" s="2"/>
      <c r="I7514" s="2"/>
      <c r="J7514" s="2"/>
      <c r="K7514" s="2"/>
      <c r="L7514" s="2"/>
      <c r="M7514" s="2"/>
      <c r="N7514" s="2"/>
      <c r="O7514" s="2"/>
      <c r="P7514" s="2"/>
      <c r="Q7514" s="2"/>
      <c r="R7514" s="2"/>
      <c r="S7514" s="2"/>
      <c r="T7514" s="2"/>
      <c r="U7514" s="2"/>
      <c r="V7514" s="2"/>
      <c r="W7514" s="2"/>
    </row>
    <row r="7515" spans="1:23" x14ac:dyDescent="0.25">
      <c r="A7515" s="2"/>
      <c r="B7515" s="2"/>
      <c r="C7515" s="1"/>
      <c r="D7515" s="2"/>
      <c r="E7515" s="2"/>
      <c r="F7515" s="2"/>
      <c r="G7515" s="2"/>
      <c r="H7515" s="2"/>
      <c r="I7515" s="2"/>
      <c r="J7515" s="2"/>
      <c r="K7515" s="2"/>
      <c r="L7515" s="2"/>
      <c r="M7515" s="2"/>
      <c r="N7515" s="2"/>
      <c r="O7515" s="2"/>
      <c r="P7515" s="2"/>
      <c r="Q7515" s="2"/>
      <c r="R7515" s="2"/>
      <c r="S7515" s="2"/>
      <c r="T7515" s="2"/>
      <c r="U7515" s="2"/>
      <c r="V7515" s="2"/>
      <c r="W7515" s="2"/>
    </row>
    <row r="7516" spans="1:23" x14ac:dyDescent="0.25">
      <c r="A7516" s="2"/>
      <c r="B7516" s="2"/>
      <c r="C7516" s="1"/>
      <c r="D7516" s="2"/>
      <c r="E7516" s="2"/>
      <c r="F7516" s="2"/>
      <c r="G7516" s="2"/>
      <c r="H7516" s="2"/>
      <c r="I7516" s="2"/>
      <c r="J7516" s="2"/>
      <c r="K7516" s="2"/>
      <c r="L7516" s="2"/>
      <c r="M7516" s="2"/>
      <c r="N7516" s="2"/>
      <c r="O7516" s="2"/>
      <c r="P7516" s="2"/>
      <c r="Q7516" s="2"/>
      <c r="R7516" s="2"/>
      <c r="S7516" s="2"/>
      <c r="T7516" s="2"/>
      <c r="U7516" s="2"/>
      <c r="V7516" s="2"/>
      <c r="W7516" s="2"/>
    </row>
    <row r="7517" spans="1:23" x14ac:dyDescent="0.25">
      <c r="A7517" s="2"/>
      <c r="B7517" s="2"/>
      <c r="C7517" s="1"/>
      <c r="D7517" s="2"/>
      <c r="E7517" s="2"/>
      <c r="F7517" s="2"/>
      <c r="G7517" s="2"/>
      <c r="H7517" s="2"/>
      <c r="I7517" s="2"/>
      <c r="J7517" s="2"/>
      <c r="K7517" s="2"/>
      <c r="L7517" s="2"/>
      <c r="M7517" s="2"/>
      <c r="N7517" s="2"/>
      <c r="O7517" s="2"/>
      <c r="P7517" s="2"/>
      <c r="Q7517" s="2"/>
      <c r="R7517" s="2"/>
      <c r="S7517" s="2"/>
      <c r="T7517" s="2"/>
      <c r="U7517" s="2"/>
      <c r="V7517" s="2"/>
      <c r="W7517" s="2"/>
    </row>
    <row r="7518" spans="1:23" x14ac:dyDescent="0.25">
      <c r="A7518" s="2"/>
      <c r="B7518" s="2"/>
      <c r="C7518" s="1"/>
      <c r="D7518" s="2"/>
      <c r="E7518" s="2"/>
      <c r="F7518" s="2"/>
      <c r="G7518" s="2"/>
      <c r="H7518" s="2"/>
      <c r="I7518" s="2"/>
      <c r="J7518" s="2"/>
      <c r="K7518" s="2"/>
      <c r="L7518" s="2"/>
      <c r="M7518" s="2"/>
      <c r="N7518" s="2"/>
      <c r="O7518" s="2"/>
      <c r="P7518" s="2"/>
      <c r="Q7518" s="2"/>
      <c r="R7518" s="2"/>
      <c r="S7518" s="2"/>
      <c r="T7518" s="2"/>
      <c r="U7518" s="2"/>
      <c r="V7518" s="2"/>
      <c r="W7518" s="2"/>
    </row>
    <row r="7519" spans="1:23" x14ac:dyDescent="0.25">
      <c r="A7519" s="2"/>
      <c r="B7519" s="2"/>
      <c r="C7519" s="1"/>
      <c r="D7519" s="2"/>
      <c r="E7519" s="2"/>
      <c r="F7519" s="2"/>
      <c r="G7519" s="2"/>
      <c r="H7519" s="2"/>
      <c r="I7519" s="2"/>
      <c r="J7519" s="2"/>
      <c r="K7519" s="2"/>
      <c r="L7519" s="2"/>
      <c r="M7519" s="2"/>
      <c r="N7519" s="2"/>
      <c r="O7519" s="2"/>
      <c r="P7519" s="2"/>
      <c r="Q7519" s="2"/>
      <c r="R7519" s="2"/>
      <c r="S7519" s="2"/>
      <c r="T7519" s="2"/>
      <c r="U7519" s="2"/>
      <c r="V7519" s="2"/>
      <c r="W7519" s="2"/>
    </row>
    <row r="7520" spans="1:23" x14ac:dyDescent="0.25">
      <c r="A7520" s="2"/>
      <c r="B7520" s="2"/>
      <c r="C7520" s="1"/>
      <c r="D7520" s="2"/>
      <c r="E7520" s="2"/>
      <c r="F7520" s="2"/>
      <c r="G7520" s="2"/>
      <c r="H7520" s="2"/>
      <c r="I7520" s="2"/>
      <c r="J7520" s="2"/>
      <c r="K7520" s="2"/>
      <c r="L7520" s="2"/>
      <c r="M7520" s="2"/>
      <c r="N7520" s="2"/>
      <c r="O7520" s="2"/>
      <c r="P7520" s="2"/>
      <c r="Q7520" s="2"/>
      <c r="R7520" s="2"/>
      <c r="S7520" s="2"/>
      <c r="T7520" s="2"/>
      <c r="U7520" s="2"/>
      <c r="V7520" s="2"/>
      <c r="W7520" s="2"/>
    </row>
    <row r="7521" spans="1:23" x14ac:dyDescent="0.25">
      <c r="A7521" s="2"/>
      <c r="B7521" s="2"/>
      <c r="C7521" s="1"/>
      <c r="D7521" s="2"/>
      <c r="E7521" s="2"/>
      <c r="F7521" s="2"/>
      <c r="G7521" s="2"/>
      <c r="H7521" s="2"/>
      <c r="I7521" s="2"/>
      <c r="J7521" s="2"/>
      <c r="K7521" s="2"/>
      <c r="L7521" s="2"/>
      <c r="M7521" s="2"/>
      <c r="N7521" s="2"/>
      <c r="O7521" s="2"/>
      <c r="P7521" s="2"/>
      <c r="Q7521" s="2"/>
      <c r="R7521" s="2"/>
      <c r="S7521" s="2"/>
      <c r="T7521" s="2"/>
      <c r="U7521" s="2"/>
      <c r="V7521" s="2"/>
      <c r="W7521" s="2"/>
    </row>
    <row r="7522" spans="1:23" x14ac:dyDescent="0.25">
      <c r="A7522" s="2"/>
      <c r="B7522" s="2"/>
      <c r="C7522" s="1"/>
      <c r="D7522" s="2"/>
      <c r="E7522" s="2"/>
      <c r="F7522" s="2"/>
      <c r="G7522" s="2"/>
      <c r="H7522" s="2"/>
      <c r="I7522" s="2"/>
      <c r="J7522" s="2"/>
      <c r="K7522" s="2"/>
      <c r="L7522" s="2"/>
      <c r="M7522" s="2"/>
      <c r="N7522" s="2"/>
      <c r="O7522" s="2"/>
      <c r="P7522" s="2"/>
      <c r="Q7522" s="2"/>
      <c r="R7522" s="2"/>
      <c r="S7522" s="2"/>
      <c r="T7522" s="2"/>
      <c r="U7522" s="2"/>
      <c r="V7522" s="2"/>
      <c r="W7522" s="2"/>
    </row>
    <row r="7523" spans="1:23" x14ac:dyDescent="0.25">
      <c r="A7523" s="2"/>
      <c r="B7523" s="2"/>
      <c r="C7523" s="1"/>
      <c r="D7523" s="2"/>
      <c r="E7523" s="2"/>
      <c r="F7523" s="2"/>
      <c r="G7523" s="2"/>
      <c r="H7523" s="2"/>
      <c r="I7523" s="2"/>
      <c r="J7523" s="2"/>
      <c r="K7523" s="2"/>
      <c r="L7523" s="2"/>
      <c r="M7523" s="2"/>
      <c r="N7523" s="2"/>
      <c r="O7523" s="2"/>
      <c r="P7523" s="2"/>
      <c r="Q7523" s="2"/>
      <c r="R7523" s="2"/>
      <c r="S7523" s="2"/>
      <c r="T7523" s="2"/>
      <c r="U7523" s="2"/>
      <c r="V7523" s="2"/>
      <c r="W7523" s="2"/>
    </row>
    <row r="7524" spans="1:23" x14ac:dyDescent="0.25">
      <c r="A7524" s="2"/>
      <c r="B7524" s="2"/>
      <c r="C7524" s="1"/>
      <c r="D7524" s="2"/>
      <c r="E7524" s="2"/>
      <c r="F7524" s="2"/>
      <c r="G7524" s="2"/>
      <c r="H7524" s="2"/>
      <c r="I7524" s="2"/>
      <c r="J7524" s="2"/>
      <c r="K7524" s="2"/>
      <c r="L7524" s="2"/>
      <c r="M7524" s="2"/>
      <c r="N7524" s="2"/>
      <c r="O7524" s="2"/>
      <c r="P7524" s="2"/>
      <c r="Q7524" s="2"/>
      <c r="R7524" s="2"/>
      <c r="S7524" s="2"/>
      <c r="T7524" s="2"/>
      <c r="U7524" s="2"/>
      <c r="V7524" s="2"/>
      <c r="W7524" s="2"/>
    </row>
    <row r="7525" spans="1:23" x14ac:dyDescent="0.25">
      <c r="A7525" s="2"/>
      <c r="B7525" s="2"/>
      <c r="C7525" s="1"/>
      <c r="D7525" s="2"/>
      <c r="E7525" s="2"/>
      <c r="F7525" s="2"/>
      <c r="G7525" s="2"/>
      <c r="H7525" s="2"/>
      <c r="I7525" s="2"/>
      <c r="J7525" s="2"/>
      <c r="K7525" s="2"/>
      <c r="L7525" s="2"/>
      <c r="M7525" s="2"/>
      <c r="N7525" s="2"/>
      <c r="O7525" s="2"/>
      <c r="P7525" s="2"/>
      <c r="Q7525" s="2"/>
      <c r="R7525" s="2"/>
      <c r="S7525" s="2"/>
      <c r="T7525" s="2"/>
      <c r="U7525" s="2"/>
      <c r="V7525" s="2"/>
      <c r="W7525" s="2"/>
    </row>
    <row r="7526" spans="1:23" x14ac:dyDescent="0.25">
      <c r="A7526" s="2"/>
      <c r="B7526" s="2"/>
      <c r="C7526" s="1"/>
      <c r="D7526" s="2"/>
      <c r="E7526" s="2"/>
      <c r="F7526" s="2"/>
      <c r="G7526" s="2"/>
      <c r="H7526" s="2"/>
      <c r="I7526" s="2"/>
      <c r="J7526" s="2"/>
      <c r="K7526" s="2"/>
      <c r="L7526" s="2"/>
      <c r="M7526" s="2"/>
      <c r="N7526" s="2"/>
      <c r="O7526" s="2"/>
      <c r="P7526" s="2"/>
      <c r="Q7526" s="2"/>
      <c r="R7526" s="2"/>
      <c r="S7526" s="2"/>
      <c r="T7526" s="2"/>
      <c r="U7526" s="2"/>
      <c r="V7526" s="2"/>
      <c r="W7526" s="2"/>
    </row>
    <row r="7527" spans="1:23" x14ac:dyDescent="0.25">
      <c r="A7527" s="2"/>
      <c r="B7527" s="2"/>
      <c r="C7527" s="1"/>
      <c r="D7527" s="2"/>
      <c r="E7527" s="2"/>
      <c r="F7527" s="2"/>
      <c r="G7527" s="2"/>
      <c r="H7527" s="2"/>
      <c r="I7527" s="2"/>
      <c r="J7527" s="2"/>
      <c r="K7527" s="2"/>
      <c r="L7527" s="2"/>
      <c r="M7527" s="2"/>
      <c r="N7527" s="2"/>
      <c r="O7527" s="2"/>
      <c r="P7527" s="2"/>
      <c r="Q7527" s="2"/>
      <c r="R7527" s="2"/>
      <c r="S7527" s="2"/>
      <c r="T7527" s="2"/>
      <c r="U7527" s="2"/>
      <c r="V7527" s="2"/>
      <c r="W7527" s="2"/>
    </row>
    <row r="7528" spans="1:23" x14ac:dyDescent="0.25">
      <c r="A7528" s="2"/>
      <c r="B7528" s="2"/>
      <c r="C7528" s="1"/>
      <c r="D7528" s="2"/>
      <c r="E7528" s="2"/>
      <c r="F7528" s="2"/>
      <c r="G7528" s="2"/>
      <c r="H7528" s="2"/>
      <c r="I7528" s="2"/>
      <c r="J7528" s="2"/>
      <c r="K7528" s="2"/>
      <c r="L7528" s="2"/>
      <c r="M7528" s="2"/>
      <c r="N7528" s="2"/>
      <c r="O7528" s="2"/>
      <c r="P7528" s="2"/>
      <c r="Q7528" s="2"/>
      <c r="R7528" s="2"/>
      <c r="S7528" s="2"/>
      <c r="T7528" s="2"/>
      <c r="U7528" s="2"/>
      <c r="V7528" s="2"/>
      <c r="W7528" s="2"/>
    </row>
    <row r="7529" spans="1:23" x14ac:dyDescent="0.25">
      <c r="A7529" s="2"/>
      <c r="B7529" s="2"/>
      <c r="C7529" s="1"/>
      <c r="D7529" s="2"/>
      <c r="E7529" s="2"/>
      <c r="F7529" s="2"/>
      <c r="G7529" s="2"/>
      <c r="H7529" s="2"/>
      <c r="I7529" s="2"/>
      <c r="J7529" s="2"/>
      <c r="K7529" s="2"/>
      <c r="L7529" s="2"/>
      <c r="M7529" s="2"/>
      <c r="N7529" s="2"/>
      <c r="O7529" s="2"/>
      <c r="P7529" s="2"/>
      <c r="Q7529" s="2"/>
      <c r="R7529" s="2"/>
      <c r="S7529" s="2"/>
      <c r="T7529" s="2"/>
      <c r="U7529" s="2"/>
      <c r="V7529" s="2"/>
      <c r="W7529" s="2"/>
    </row>
    <row r="7530" spans="1:23" x14ac:dyDescent="0.25">
      <c r="A7530" s="2"/>
      <c r="B7530" s="2"/>
      <c r="C7530" s="1"/>
      <c r="D7530" s="2"/>
      <c r="E7530" s="2"/>
      <c r="F7530" s="2"/>
      <c r="G7530" s="2"/>
      <c r="H7530" s="2"/>
      <c r="I7530" s="2"/>
      <c r="J7530" s="2"/>
      <c r="K7530" s="2"/>
      <c r="L7530" s="2"/>
      <c r="M7530" s="2"/>
      <c r="N7530" s="2"/>
      <c r="O7530" s="2"/>
      <c r="P7530" s="2"/>
      <c r="Q7530" s="2"/>
      <c r="R7530" s="2"/>
      <c r="S7530" s="2"/>
      <c r="T7530" s="2"/>
      <c r="U7530" s="2"/>
      <c r="V7530" s="2"/>
      <c r="W7530" s="2"/>
    </row>
    <row r="7531" spans="1:23" x14ac:dyDescent="0.25">
      <c r="A7531" s="2"/>
      <c r="B7531" s="2"/>
      <c r="C7531" s="1"/>
      <c r="D7531" s="2"/>
      <c r="E7531" s="2"/>
      <c r="F7531" s="2"/>
      <c r="G7531" s="2"/>
      <c r="H7531" s="2"/>
      <c r="I7531" s="2"/>
      <c r="J7531" s="2"/>
      <c r="K7531" s="2"/>
      <c r="L7531" s="2"/>
      <c r="M7531" s="2"/>
      <c r="N7531" s="2"/>
      <c r="O7531" s="2"/>
      <c r="P7531" s="2"/>
      <c r="Q7531" s="2"/>
      <c r="R7531" s="2"/>
      <c r="S7531" s="2"/>
      <c r="T7531" s="2"/>
      <c r="U7531" s="2"/>
      <c r="V7531" s="2"/>
      <c r="W7531" s="2"/>
    </row>
    <row r="7532" spans="1:23" x14ac:dyDescent="0.25">
      <c r="A7532" s="2"/>
      <c r="B7532" s="2"/>
      <c r="C7532" s="1"/>
      <c r="D7532" s="2"/>
      <c r="E7532" s="2"/>
      <c r="F7532" s="2"/>
      <c r="G7532" s="2"/>
      <c r="H7532" s="2"/>
      <c r="I7532" s="2"/>
      <c r="J7532" s="2"/>
      <c r="K7532" s="2"/>
      <c r="L7532" s="2"/>
      <c r="M7532" s="2"/>
      <c r="N7532" s="2"/>
      <c r="O7532" s="2"/>
      <c r="P7532" s="2"/>
      <c r="Q7532" s="2"/>
      <c r="R7532" s="2"/>
      <c r="S7532" s="2"/>
      <c r="T7532" s="2"/>
      <c r="U7532" s="2"/>
      <c r="V7532" s="2"/>
      <c r="W7532" s="2"/>
    </row>
    <row r="7533" spans="1:23" x14ac:dyDescent="0.25">
      <c r="A7533" s="2"/>
      <c r="B7533" s="2"/>
      <c r="C7533" s="1"/>
      <c r="D7533" s="2"/>
      <c r="E7533" s="2"/>
      <c r="F7533" s="2"/>
      <c r="G7533" s="2"/>
      <c r="H7533" s="2"/>
      <c r="I7533" s="2"/>
      <c r="J7533" s="2"/>
      <c r="K7533" s="2"/>
      <c r="L7533" s="2"/>
      <c r="M7533" s="2"/>
      <c r="N7533" s="2"/>
      <c r="O7533" s="2"/>
      <c r="P7533" s="2"/>
      <c r="Q7533" s="2"/>
      <c r="R7533" s="2"/>
      <c r="S7533" s="2"/>
      <c r="T7533" s="2"/>
      <c r="U7533" s="2"/>
      <c r="V7533" s="2"/>
      <c r="W7533" s="2"/>
    </row>
    <row r="7534" spans="1:23" x14ac:dyDescent="0.25">
      <c r="A7534" s="2"/>
      <c r="B7534" s="2"/>
      <c r="C7534" s="1"/>
      <c r="D7534" s="2"/>
      <c r="E7534" s="2"/>
      <c r="F7534" s="2"/>
      <c r="G7534" s="2"/>
      <c r="H7534" s="2"/>
      <c r="I7534" s="2"/>
      <c r="J7534" s="2"/>
      <c r="K7534" s="2"/>
      <c r="L7534" s="2"/>
      <c r="M7534" s="2"/>
      <c r="N7534" s="2"/>
      <c r="O7534" s="2"/>
      <c r="P7534" s="2"/>
      <c r="Q7534" s="2"/>
      <c r="R7534" s="2"/>
      <c r="S7534" s="2"/>
      <c r="T7534" s="2"/>
      <c r="U7534" s="2"/>
      <c r="V7534" s="2"/>
      <c r="W7534" s="2"/>
    </row>
    <row r="7535" spans="1:23" x14ac:dyDescent="0.25">
      <c r="A7535" s="2"/>
      <c r="B7535" s="2"/>
      <c r="C7535" s="1"/>
      <c r="D7535" s="2"/>
      <c r="E7535" s="2"/>
      <c r="F7535" s="2"/>
      <c r="G7535" s="2"/>
      <c r="H7535" s="2"/>
      <c r="I7535" s="2"/>
      <c r="J7535" s="2"/>
      <c r="K7535" s="2"/>
      <c r="L7535" s="2"/>
      <c r="M7535" s="2"/>
      <c r="N7535" s="2"/>
      <c r="O7535" s="2"/>
      <c r="P7535" s="2"/>
      <c r="Q7535" s="2"/>
      <c r="R7535" s="2"/>
      <c r="S7535" s="2"/>
      <c r="T7535" s="2"/>
      <c r="U7535" s="2"/>
      <c r="V7535" s="2"/>
      <c r="W7535" s="2"/>
    </row>
    <row r="7536" spans="1:23" x14ac:dyDescent="0.25">
      <c r="A7536" s="2"/>
      <c r="B7536" s="2"/>
      <c r="C7536" s="1"/>
      <c r="D7536" s="2"/>
      <c r="E7536" s="2"/>
      <c r="F7536" s="2"/>
      <c r="G7536" s="2"/>
      <c r="H7536" s="2"/>
      <c r="I7536" s="2"/>
      <c r="J7536" s="2"/>
      <c r="K7536" s="2"/>
      <c r="L7536" s="2"/>
      <c r="M7536" s="2"/>
      <c r="N7536" s="2"/>
      <c r="O7536" s="2"/>
      <c r="P7536" s="2"/>
      <c r="Q7536" s="2"/>
      <c r="R7536" s="2"/>
      <c r="S7536" s="2"/>
      <c r="T7536" s="2"/>
      <c r="U7536" s="2"/>
      <c r="V7536" s="2"/>
      <c r="W7536" s="2"/>
    </row>
    <row r="7537" spans="1:23" x14ac:dyDescent="0.25">
      <c r="A7537" s="2"/>
      <c r="B7537" s="2"/>
      <c r="C7537" s="1"/>
      <c r="D7537" s="2"/>
      <c r="E7537" s="2"/>
      <c r="F7537" s="2"/>
      <c r="G7537" s="2"/>
      <c r="H7537" s="2"/>
      <c r="I7537" s="2"/>
      <c r="J7537" s="2"/>
      <c r="K7537" s="2"/>
      <c r="L7537" s="2"/>
      <c r="M7537" s="2"/>
      <c r="N7537" s="2"/>
      <c r="O7537" s="2"/>
      <c r="P7537" s="2"/>
      <c r="Q7537" s="2"/>
      <c r="R7537" s="2"/>
      <c r="S7537" s="2"/>
      <c r="T7537" s="2"/>
      <c r="U7537" s="2"/>
      <c r="V7537" s="2"/>
      <c r="W7537" s="2"/>
    </row>
    <row r="7538" spans="1:23" x14ac:dyDescent="0.25">
      <c r="A7538" s="2"/>
      <c r="B7538" s="2"/>
      <c r="C7538" s="1"/>
      <c r="D7538" s="2"/>
      <c r="E7538" s="2"/>
      <c r="F7538" s="2"/>
      <c r="G7538" s="2"/>
      <c r="H7538" s="2"/>
      <c r="I7538" s="2"/>
      <c r="J7538" s="2"/>
      <c r="K7538" s="2"/>
      <c r="L7538" s="2"/>
      <c r="M7538" s="2"/>
      <c r="N7538" s="2"/>
      <c r="O7538" s="2"/>
      <c r="P7538" s="2"/>
      <c r="Q7538" s="2"/>
      <c r="R7538" s="2"/>
      <c r="S7538" s="2"/>
      <c r="T7538" s="2"/>
      <c r="U7538" s="2"/>
      <c r="V7538" s="2"/>
      <c r="W7538" s="2"/>
    </row>
    <row r="7539" spans="1:23" x14ac:dyDescent="0.25">
      <c r="A7539" s="2"/>
      <c r="B7539" s="2"/>
      <c r="C7539" s="1"/>
      <c r="D7539" s="2"/>
      <c r="E7539" s="2"/>
      <c r="F7539" s="2"/>
      <c r="G7539" s="2"/>
      <c r="H7539" s="2"/>
      <c r="I7539" s="2"/>
      <c r="J7539" s="2"/>
      <c r="K7539" s="2"/>
      <c r="L7539" s="2"/>
      <c r="M7539" s="2"/>
      <c r="N7539" s="2"/>
      <c r="O7539" s="2"/>
      <c r="P7539" s="2"/>
      <c r="Q7539" s="2"/>
      <c r="R7539" s="2"/>
      <c r="S7539" s="2"/>
      <c r="T7539" s="2"/>
      <c r="U7539" s="2"/>
      <c r="V7539" s="2"/>
      <c r="W7539" s="2"/>
    </row>
    <row r="7540" spans="1:23" x14ac:dyDescent="0.25">
      <c r="A7540" s="2"/>
      <c r="B7540" s="2"/>
      <c r="C7540" s="1"/>
      <c r="D7540" s="2"/>
      <c r="E7540" s="2"/>
      <c r="F7540" s="2"/>
      <c r="G7540" s="2"/>
      <c r="H7540" s="2"/>
      <c r="I7540" s="2"/>
      <c r="J7540" s="2"/>
      <c r="K7540" s="2"/>
      <c r="L7540" s="2"/>
      <c r="M7540" s="2"/>
      <c r="N7540" s="2"/>
      <c r="O7540" s="2"/>
      <c r="P7540" s="2"/>
      <c r="Q7540" s="2"/>
      <c r="R7540" s="2"/>
      <c r="S7540" s="2"/>
      <c r="T7540" s="2"/>
      <c r="U7540" s="2"/>
      <c r="V7540" s="2"/>
      <c r="W7540" s="2"/>
    </row>
    <row r="7541" spans="1:23" x14ac:dyDescent="0.25">
      <c r="A7541" s="2"/>
      <c r="B7541" s="2"/>
      <c r="C7541" s="1"/>
      <c r="D7541" s="2"/>
      <c r="E7541" s="2"/>
      <c r="F7541" s="2"/>
      <c r="G7541" s="2"/>
      <c r="H7541" s="2"/>
      <c r="I7541" s="2"/>
      <c r="J7541" s="2"/>
      <c r="K7541" s="2"/>
      <c r="L7541" s="2"/>
      <c r="M7541" s="2"/>
      <c r="N7541" s="2"/>
      <c r="O7541" s="2"/>
      <c r="P7541" s="2"/>
      <c r="Q7541" s="2"/>
      <c r="R7541" s="2"/>
      <c r="S7541" s="2"/>
      <c r="T7541" s="2"/>
      <c r="U7541" s="2"/>
      <c r="V7541" s="2"/>
      <c r="W7541" s="2"/>
    </row>
    <row r="7542" spans="1:23" x14ac:dyDescent="0.25">
      <c r="A7542" s="2"/>
      <c r="B7542" s="2"/>
      <c r="C7542" s="1"/>
      <c r="D7542" s="2"/>
      <c r="E7542" s="2"/>
      <c r="F7542" s="2"/>
      <c r="G7542" s="2"/>
      <c r="H7542" s="2"/>
      <c r="I7542" s="2"/>
      <c r="J7542" s="2"/>
      <c r="K7542" s="2"/>
      <c r="L7542" s="2"/>
      <c r="M7542" s="2"/>
      <c r="N7542" s="2"/>
      <c r="O7542" s="2"/>
      <c r="P7542" s="2"/>
      <c r="Q7542" s="2"/>
      <c r="R7542" s="2"/>
      <c r="S7542" s="2"/>
      <c r="T7542" s="2"/>
      <c r="U7542" s="2"/>
      <c r="V7542" s="2"/>
      <c r="W7542" s="2"/>
    </row>
    <row r="7543" spans="1:23" x14ac:dyDescent="0.25">
      <c r="A7543" s="2"/>
      <c r="B7543" s="2"/>
      <c r="C7543" s="1"/>
      <c r="D7543" s="2"/>
      <c r="E7543" s="2"/>
      <c r="F7543" s="2"/>
      <c r="G7543" s="2"/>
      <c r="H7543" s="2"/>
      <c r="I7543" s="2"/>
      <c r="J7543" s="2"/>
      <c r="K7543" s="2"/>
      <c r="L7543" s="2"/>
      <c r="M7543" s="2"/>
      <c r="N7543" s="2"/>
      <c r="O7543" s="2"/>
      <c r="P7543" s="2"/>
      <c r="Q7543" s="2"/>
      <c r="R7543" s="2"/>
      <c r="S7543" s="2"/>
      <c r="T7543" s="2"/>
      <c r="U7543" s="2"/>
      <c r="V7543" s="2"/>
      <c r="W7543" s="2"/>
    </row>
    <row r="7544" spans="1:23" x14ac:dyDescent="0.25">
      <c r="A7544" s="2"/>
      <c r="B7544" s="2"/>
      <c r="C7544" s="1"/>
      <c r="D7544" s="2"/>
      <c r="E7544" s="2"/>
      <c r="F7544" s="2"/>
      <c r="G7544" s="2"/>
      <c r="H7544" s="2"/>
      <c r="I7544" s="2"/>
      <c r="J7544" s="2"/>
      <c r="K7544" s="2"/>
      <c r="L7544" s="2"/>
      <c r="M7544" s="2"/>
      <c r="N7544" s="2"/>
      <c r="O7544" s="2"/>
      <c r="P7544" s="2"/>
      <c r="Q7544" s="2"/>
      <c r="R7544" s="2"/>
      <c r="S7544" s="2"/>
      <c r="T7544" s="2"/>
      <c r="U7544" s="2"/>
      <c r="V7544" s="2"/>
      <c r="W7544" s="2"/>
    </row>
    <row r="7545" spans="1:23" x14ac:dyDescent="0.25">
      <c r="A7545" s="2"/>
      <c r="B7545" s="2"/>
      <c r="C7545" s="1"/>
      <c r="D7545" s="2"/>
      <c r="E7545" s="2"/>
      <c r="F7545" s="2"/>
      <c r="G7545" s="2"/>
      <c r="H7545" s="2"/>
      <c r="I7545" s="2"/>
      <c r="J7545" s="2"/>
      <c r="K7545" s="2"/>
      <c r="L7545" s="2"/>
      <c r="M7545" s="2"/>
      <c r="N7545" s="2"/>
      <c r="O7545" s="2"/>
      <c r="P7545" s="2"/>
      <c r="Q7545" s="2"/>
      <c r="R7545" s="2"/>
      <c r="S7545" s="2"/>
      <c r="T7545" s="2"/>
      <c r="U7545" s="2"/>
      <c r="V7545" s="2"/>
      <c r="W7545" s="2"/>
    </row>
    <row r="7546" spans="1:23" x14ac:dyDescent="0.25">
      <c r="A7546" s="2"/>
      <c r="B7546" s="2"/>
      <c r="C7546" s="1"/>
      <c r="D7546" s="2"/>
      <c r="E7546" s="2"/>
      <c r="F7546" s="2"/>
      <c r="G7546" s="2"/>
      <c r="H7546" s="2"/>
      <c r="I7546" s="2"/>
      <c r="J7546" s="2"/>
      <c r="K7546" s="2"/>
      <c r="L7546" s="2"/>
      <c r="M7546" s="2"/>
      <c r="N7546" s="2"/>
      <c r="O7546" s="2"/>
      <c r="P7546" s="2"/>
      <c r="Q7546" s="2"/>
      <c r="R7546" s="2"/>
      <c r="S7546" s="2"/>
      <c r="T7546" s="2"/>
      <c r="U7546" s="2"/>
      <c r="V7546" s="2"/>
      <c r="W7546" s="2"/>
    </row>
    <row r="7547" spans="1:23" x14ac:dyDescent="0.25">
      <c r="A7547" s="2"/>
      <c r="B7547" s="2"/>
      <c r="C7547" s="1"/>
      <c r="D7547" s="2"/>
      <c r="E7547" s="2"/>
      <c r="F7547" s="2"/>
      <c r="G7547" s="2"/>
      <c r="H7547" s="2"/>
      <c r="I7547" s="2"/>
      <c r="J7547" s="2"/>
      <c r="K7547" s="2"/>
      <c r="L7547" s="2"/>
      <c r="M7547" s="2"/>
      <c r="N7547" s="2"/>
      <c r="O7547" s="2"/>
      <c r="P7547" s="2"/>
      <c r="Q7547" s="2"/>
      <c r="R7547" s="2"/>
      <c r="S7547" s="2"/>
      <c r="T7547" s="2"/>
      <c r="U7547" s="2"/>
      <c r="V7547" s="2"/>
      <c r="W7547" s="2"/>
    </row>
    <row r="7548" spans="1:23" x14ac:dyDescent="0.25">
      <c r="A7548" s="2"/>
      <c r="B7548" s="2"/>
      <c r="C7548" s="1"/>
      <c r="D7548" s="2"/>
      <c r="E7548" s="2"/>
      <c r="F7548" s="2"/>
      <c r="G7548" s="2"/>
      <c r="H7548" s="2"/>
      <c r="I7548" s="2"/>
      <c r="J7548" s="2"/>
      <c r="K7548" s="2"/>
      <c r="L7548" s="2"/>
      <c r="M7548" s="2"/>
      <c r="N7548" s="2"/>
      <c r="O7548" s="2"/>
      <c r="P7548" s="2"/>
      <c r="Q7548" s="2"/>
      <c r="R7548" s="2"/>
      <c r="S7548" s="2"/>
      <c r="T7548" s="2"/>
      <c r="U7548" s="2"/>
      <c r="V7548" s="2"/>
      <c r="W7548" s="2"/>
    </row>
    <row r="7549" spans="1:23" x14ac:dyDescent="0.25">
      <c r="A7549" s="2"/>
      <c r="B7549" s="2"/>
      <c r="C7549" s="1"/>
      <c r="D7549" s="2"/>
      <c r="E7549" s="2"/>
      <c r="F7549" s="2"/>
      <c r="G7549" s="2"/>
      <c r="H7549" s="2"/>
      <c r="I7549" s="2"/>
      <c r="J7549" s="2"/>
      <c r="K7549" s="2"/>
      <c r="L7549" s="2"/>
      <c r="M7549" s="2"/>
      <c r="N7549" s="2"/>
      <c r="O7549" s="2"/>
      <c r="P7549" s="2"/>
      <c r="Q7549" s="2"/>
      <c r="R7549" s="2"/>
      <c r="S7549" s="2"/>
      <c r="T7549" s="2"/>
      <c r="U7549" s="2"/>
      <c r="V7549" s="2"/>
      <c r="W7549" s="2"/>
    </row>
    <row r="7550" spans="1:23" x14ac:dyDescent="0.25">
      <c r="A7550" s="2"/>
      <c r="B7550" s="2"/>
      <c r="C7550" s="1"/>
      <c r="D7550" s="2"/>
      <c r="E7550" s="2"/>
      <c r="F7550" s="2"/>
      <c r="G7550" s="2"/>
      <c r="H7550" s="2"/>
      <c r="I7550" s="2"/>
      <c r="J7550" s="2"/>
      <c r="K7550" s="2"/>
      <c r="L7550" s="2"/>
      <c r="M7550" s="2"/>
      <c r="N7550" s="2"/>
      <c r="O7550" s="2"/>
      <c r="P7550" s="2"/>
      <c r="Q7550" s="2"/>
      <c r="R7550" s="2"/>
      <c r="S7550" s="2"/>
      <c r="T7550" s="2"/>
      <c r="U7550" s="2"/>
      <c r="V7550" s="2"/>
      <c r="W7550" s="2"/>
    </row>
    <row r="7551" spans="1:23" x14ac:dyDescent="0.25">
      <c r="A7551" s="2"/>
      <c r="B7551" s="2"/>
      <c r="C7551" s="1"/>
      <c r="D7551" s="2"/>
      <c r="E7551" s="2"/>
      <c r="F7551" s="2"/>
      <c r="G7551" s="2"/>
      <c r="H7551" s="2"/>
      <c r="I7551" s="2"/>
      <c r="J7551" s="2"/>
      <c r="K7551" s="2"/>
      <c r="L7551" s="2"/>
      <c r="M7551" s="2"/>
      <c r="N7551" s="2"/>
      <c r="O7551" s="2"/>
      <c r="P7551" s="2"/>
      <c r="Q7551" s="2"/>
      <c r="R7551" s="2"/>
      <c r="S7551" s="2"/>
      <c r="T7551" s="2"/>
      <c r="U7551" s="2"/>
      <c r="V7551" s="2"/>
      <c r="W7551" s="2"/>
    </row>
    <row r="7552" spans="1:23" x14ac:dyDescent="0.25">
      <c r="A7552" s="2"/>
      <c r="B7552" s="2"/>
      <c r="C7552" s="1"/>
      <c r="D7552" s="2"/>
      <c r="E7552" s="2"/>
      <c r="F7552" s="2"/>
      <c r="G7552" s="2"/>
      <c r="H7552" s="2"/>
      <c r="I7552" s="2"/>
      <c r="J7552" s="2"/>
      <c r="K7552" s="2"/>
      <c r="L7552" s="2"/>
      <c r="M7552" s="2"/>
      <c r="N7552" s="2"/>
      <c r="O7552" s="2"/>
      <c r="P7552" s="2"/>
      <c r="Q7552" s="2"/>
      <c r="R7552" s="2"/>
      <c r="S7552" s="2"/>
      <c r="T7552" s="2"/>
      <c r="U7552" s="2"/>
      <c r="V7552" s="2"/>
      <c r="W7552" s="2"/>
    </row>
    <row r="7553" spans="1:23" x14ac:dyDescent="0.25">
      <c r="A7553" s="2"/>
      <c r="B7553" s="2"/>
      <c r="C7553" s="1"/>
      <c r="D7553" s="2"/>
      <c r="E7553" s="2"/>
      <c r="F7553" s="2"/>
      <c r="G7553" s="2"/>
      <c r="H7553" s="2"/>
      <c r="I7553" s="2"/>
      <c r="J7553" s="2"/>
      <c r="K7553" s="2"/>
      <c r="L7553" s="2"/>
      <c r="M7553" s="2"/>
      <c r="N7553" s="2"/>
      <c r="O7553" s="2"/>
      <c r="P7553" s="2"/>
      <c r="Q7553" s="2"/>
      <c r="R7553" s="2"/>
      <c r="S7553" s="2"/>
      <c r="T7553" s="2"/>
      <c r="U7553" s="2"/>
      <c r="V7553" s="2"/>
      <c r="W7553" s="2"/>
    </row>
    <row r="7554" spans="1:23" x14ac:dyDescent="0.25">
      <c r="A7554" s="2"/>
      <c r="B7554" s="2"/>
      <c r="C7554" s="1"/>
      <c r="D7554" s="2"/>
      <c r="E7554" s="2"/>
      <c r="F7554" s="2"/>
      <c r="G7554" s="2"/>
      <c r="H7554" s="2"/>
      <c r="I7554" s="2"/>
      <c r="J7554" s="2"/>
      <c r="K7554" s="2"/>
      <c r="L7554" s="2"/>
      <c r="M7554" s="2"/>
      <c r="N7554" s="2"/>
      <c r="O7554" s="2"/>
      <c r="P7554" s="2"/>
      <c r="Q7554" s="2"/>
      <c r="R7554" s="2"/>
      <c r="S7554" s="2"/>
      <c r="T7554" s="2"/>
      <c r="U7554" s="2"/>
      <c r="V7554" s="2"/>
      <c r="W7554" s="2"/>
    </row>
    <row r="7555" spans="1:23" x14ac:dyDescent="0.25">
      <c r="A7555" s="2"/>
      <c r="B7555" s="2"/>
      <c r="C7555" s="1"/>
      <c r="D7555" s="2"/>
      <c r="E7555" s="2"/>
      <c r="F7555" s="2"/>
      <c r="G7555" s="2"/>
      <c r="H7555" s="2"/>
      <c r="I7555" s="2"/>
      <c r="J7555" s="2"/>
      <c r="K7555" s="2"/>
      <c r="L7555" s="2"/>
      <c r="M7555" s="2"/>
      <c r="N7555" s="2"/>
      <c r="O7555" s="2"/>
      <c r="P7555" s="2"/>
      <c r="Q7555" s="2"/>
      <c r="R7555" s="2"/>
      <c r="S7555" s="2"/>
      <c r="T7555" s="2"/>
      <c r="U7555" s="2"/>
      <c r="V7555" s="2"/>
      <c r="W7555" s="2"/>
    </row>
    <row r="7556" spans="1:23" x14ac:dyDescent="0.25">
      <c r="A7556" s="2"/>
      <c r="B7556" s="2"/>
      <c r="C7556" s="1"/>
      <c r="D7556" s="2"/>
      <c r="E7556" s="2"/>
      <c r="F7556" s="2"/>
      <c r="G7556" s="2"/>
      <c r="H7556" s="2"/>
      <c r="I7556" s="2"/>
      <c r="J7556" s="2"/>
      <c r="K7556" s="2"/>
      <c r="L7556" s="2"/>
      <c r="M7556" s="2"/>
      <c r="N7556" s="2"/>
      <c r="O7556" s="2"/>
      <c r="P7556" s="2"/>
      <c r="Q7556" s="2"/>
      <c r="R7556" s="2"/>
      <c r="S7556" s="2"/>
      <c r="T7556" s="2"/>
      <c r="U7556" s="2"/>
      <c r="V7556" s="2"/>
      <c r="W7556" s="2"/>
    </row>
    <row r="7557" spans="1:23" x14ac:dyDescent="0.25">
      <c r="A7557" s="2"/>
      <c r="B7557" s="2"/>
      <c r="C7557" s="1"/>
      <c r="D7557" s="2"/>
      <c r="E7557" s="2"/>
      <c r="F7557" s="2"/>
      <c r="G7557" s="2"/>
      <c r="H7557" s="2"/>
      <c r="I7557" s="2"/>
      <c r="J7557" s="2"/>
      <c r="K7557" s="2"/>
      <c r="L7557" s="2"/>
      <c r="M7557" s="2"/>
      <c r="N7557" s="2"/>
      <c r="O7557" s="2"/>
      <c r="P7557" s="2"/>
      <c r="Q7557" s="2"/>
      <c r="R7557" s="2"/>
      <c r="S7557" s="2"/>
      <c r="T7557" s="2"/>
      <c r="U7557" s="2"/>
      <c r="V7557" s="2"/>
      <c r="W7557" s="2"/>
    </row>
    <row r="7558" spans="1:23" x14ac:dyDescent="0.25">
      <c r="A7558" s="2"/>
      <c r="B7558" s="2"/>
      <c r="C7558" s="1"/>
      <c r="D7558" s="2"/>
      <c r="E7558" s="2"/>
      <c r="F7558" s="2"/>
      <c r="G7558" s="2"/>
      <c r="H7558" s="2"/>
      <c r="I7558" s="2"/>
      <c r="J7558" s="2"/>
      <c r="K7558" s="2"/>
      <c r="L7558" s="2"/>
      <c r="M7558" s="2"/>
      <c r="N7558" s="2"/>
      <c r="O7558" s="2"/>
      <c r="P7558" s="2"/>
      <c r="Q7558" s="2"/>
      <c r="R7558" s="2"/>
      <c r="S7558" s="2"/>
      <c r="T7558" s="2"/>
      <c r="U7558" s="2"/>
      <c r="V7558" s="2"/>
      <c r="W7558" s="2"/>
    </row>
    <row r="7559" spans="1:23" x14ac:dyDescent="0.25">
      <c r="A7559" s="2"/>
      <c r="B7559" s="2"/>
      <c r="C7559" s="1"/>
      <c r="D7559" s="2"/>
      <c r="E7559" s="2"/>
      <c r="F7559" s="2"/>
      <c r="G7559" s="2"/>
      <c r="H7559" s="2"/>
      <c r="I7559" s="2"/>
      <c r="J7559" s="2"/>
      <c r="K7559" s="2"/>
      <c r="L7559" s="2"/>
      <c r="M7559" s="2"/>
      <c r="N7559" s="2"/>
      <c r="O7559" s="2"/>
      <c r="P7559" s="2"/>
      <c r="Q7559" s="2"/>
      <c r="R7559" s="2"/>
      <c r="S7559" s="2"/>
      <c r="T7559" s="2"/>
      <c r="U7559" s="2"/>
      <c r="V7559" s="2"/>
      <c r="W7559" s="2"/>
    </row>
    <row r="7560" spans="1:23" x14ac:dyDescent="0.25">
      <c r="A7560" s="2"/>
      <c r="B7560" s="2"/>
      <c r="C7560" s="1"/>
      <c r="D7560" s="2"/>
      <c r="E7560" s="2"/>
      <c r="F7560" s="2"/>
      <c r="G7560" s="2"/>
      <c r="H7560" s="2"/>
      <c r="I7560" s="2"/>
      <c r="J7560" s="2"/>
      <c r="K7560" s="2"/>
      <c r="L7560" s="2"/>
      <c r="M7560" s="2"/>
      <c r="N7560" s="2"/>
      <c r="O7560" s="2"/>
      <c r="P7560" s="2"/>
      <c r="Q7560" s="2"/>
      <c r="R7560" s="2"/>
      <c r="S7560" s="2"/>
      <c r="T7560" s="2"/>
      <c r="U7560" s="2"/>
      <c r="V7560" s="2"/>
      <c r="W7560" s="2"/>
    </row>
    <row r="7561" spans="1:23" x14ac:dyDescent="0.25">
      <c r="A7561" s="2"/>
      <c r="B7561" s="2"/>
      <c r="C7561" s="1"/>
      <c r="D7561" s="2"/>
      <c r="E7561" s="2"/>
      <c r="F7561" s="2"/>
      <c r="G7561" s="2"/>
      <c r="H7561" s="2"/>
      <c r="I7561" s="2"/>
      <c r="J7561" s="2"/>
      <c r="K7561" s="2"/>
      <c r="L7561" s="2"/>
      <c r="M7561" s="2"/>
      <c r="N7561" s="2"/>
      <c r="O7561" s="2"/>
      <c r="P7561" s="2"/>
      <c r="Q7561" s="2"/>
      <c r="R7561" s="2"/>
      <c r="S7561" s="2"/>
      <c r="T7561" s="2"/>
      <c r="U7561" s="2"/>
      <c r="V7561" s="2"/>
      <c r="W7561" s="2"/>
    </row>
    <row r="7562" spans="1:23" x14ac:dyDescent="0.25">
      <c r="A7562" s="2"/>
      <c r="B7562" s="2"/>
      <c r="C7562" s="1"/>
      <c r="D7562" s="2"/>
      <c r="E7562" s="2"/>
      <c r="F7562" s="2"/>
      <c r="G7562" s="2"/>
      <c r="H7562" s="2"/>
      <c r="I7562" s="2"/>
      <c r="J7562" s="2"/>
      <c r="K7562" s="2"/>
      <c r="L7562" s="2"/>
      <c r="M7562" s="2"/>
      <c r="N7562" s="2"/>
      <c r="O7562" s="2"/>
      <c r="P7562" s="2"/>
      <c r="Q7562" s="2"/>
      <c r="R7562" s="2"/>
      <c r="S7562" s="2"/>
      <c r="T7562" s="2"/>
      <c r="U7562" s="2"/>
      <c r="V7562" s="2"/>
      <c r="W7562" s="2"/>
    </row>
    <row r="7563" spans="1:23" x14ac:dyDescent="0.25">
      <c r="A7563" s="2"/>
      <c r="B7563" s="2"/>
      <c r="C7563" s="1"/>
      <c r="D7563" s="2"/>
      <c r="E7563" s="2"/>
      <c r="F7563" s="2"/>
      <c r="G7563" s="2"/>
      <c r="H7563" s="2"/>
      <c r="I7563" s="2"/>
      <c r="J7563" s="2"/>
      <c r="K7563" s="2"/>
      <c r="L7563" s="2"/>
      <c r="M7563" s="2"/>
      <c r="N7563" s="2"/>
      <c r="O7563" s="2"/>
      <c r="P7563" s="2"/>
      <c r="Q7563" s="2"/>
      <c r="R7563" s="2"/>
      <c r="S7563" s="2"/>
      <c r="T7563" s="2"/>
      <c r="U7563" s="2"/>
      <c r="V7563" s="2"/>
      <c r="W7563" s="2"/>
    </row>
    <row r="7564" spans="1:23" x14ac:dyDescent="0.25">
      <c r="A7564" s="2"/>
      <c r="B7564" s="2"/>
      <c r="C7564" s="1"/>
      <c r="D7564" s="2"/>
      <c r="E7564" s="2"/>
      <c r="F7564" s="2"/>
      <c r="G7564" s="2"/>
      <c r="H7564" s="2"/>
      <c r="I7564" s="2"/>
      <c r="J7564" s="2"/>
      <c r="K7564" s="2"/>
      <c r="L7564" s="2"/>
      <c r="M7564" s="2"/>
      <c r="N7564" s="2"/>
      <c r="O7564" s="2"/>
      <c r="P7564" s="2"/>
      <c r="Q7564" s="2"/>
      <c r="R7564" s="2"/>
      <c r="S7564" s="2"/>
      <c r="T7564" s="2"/>
      <c r="U7564" s="2"/>
      <c r="V7564" s="2"/>
      <c r="W7564" s="2"/>
    </row>
    <row r="7565" spans="1:23" x14ac:dyDescent="0.25">
      <c r="A7565" s="2"/>
      <c r="B7565" s="2"/>
      <c r="C7565" s="1"/>
      <c r="D7565" s="2"/>
      <c r="E7565" s="2"/>
      <c r="F7565" s="2"/>
      <c r="G7565" s="2"/>
      <c r="H7565" s="2"/>
      <c r="I7565" s="2"/>
      <c r="J7565" s="2"/>
      <c r="K7565" s="2"/>
      <c r="L7565" s="2"/>
      <c r="M7565" s="2"/>
      <c r="N7565" s="2"/>
      <c r="O7565" s="2"/>
      <c r="P7565" s="2"/>
      <c r="Q7565" s="2"/>
      <c r="R7565" s="2"/>
      <c r="S7565" s="2"/>
      <c r="T7565" s="2"/>
      <c r="U7565" s="2"/>
      <c r="V7565" s="2"/>
      <c r="W7565" s="2"/>
    </row>
    <row r="7566" spans="1:23" x14ac:dyDescent="0.25">
      <c r="A7566" s="2"/>
      <c r="B7566" s="2"/>
      <c r="C7566" s="1"/>
      <c r="D7566" s="2"/>
      <c r="E7566" s="2"/>
      <c r="F7566" s="2"/>
      <c r="G7566" s="2"/>
      <c r="H7566" s="2"/>
      <c r="I7566" s="2"/>
      <c r="J7566" s="2"/>
      <c r="K7566" s="2"/>
      <c r="L7566" s="2"/>
      <c r="M7566" s="2"/>
      <c r="N7566" s="2"/>
      <c r="O7566" s="2"/>
      <c r="P7566" s="2"/>
      <c r="Q7566" s="2"/>
      <c r="R7566" s="2"/>
      <c r="S7566" s="2"/>
      <c r="T7566" s="2"/>
      <c r="U7566" s="2"/>
      <c r="V7566" s="2"/>
      <c r="W7566" s="2"/>
    </row>
    <row r="7567" spans="1:23" x14ac:dyDescent="0.25">
      <c r="A7567" s="2"/>
      <c r="B7567" s="2"/>
      <c r="C7567" s="1"/>
      <c r="D7567" s="2"/>
      <c r="E7567" s="2"/>
      <c r="F7567" s="2"/>
      <c r="G7567" s="2"/>
      <c r="H7567" s="2"/>
      <c r="I7567" s="2"/>
      <c r="J7567" s="2"/>
      <c r="K7567" s="2"/>
      <c r="L7567" s="2"/>
      <c r="M7567" s="2"/>
      <c r="N7567" s="2"/>
      <c r="O7567" s="2"/>
      <c r="P7567" s="2"/>
      <c r="Q7567" s="2"/>
      <c r="R7567" s="2"/>
      <c r="S7567" s="2"/>
      <c r="T7567" s="2"/>
      <c r="U7567" s="2"/>
      <c r="V7567" s="2"/>
      <c r="W7567" s="2"/>
    </row>
    <row r="7568" spans="1:23" x14ac:dyDescent="0.25">
      <c r="A7568" s="2"/>
      <c r="B7568" s="2"/>
      <c r="C7568" s="1"/>
      <c r="D7568" s="2"/>
      <c r="E7568" s="2"/>
      <c r="F7568" s="2"/>
      <c r="G7568" s="2"/>
      <c r="H7568" s="2"/>
      <c r="I7568" s="2"/>
      <c r="J7568" s="2"/>
      <c r="K7568" s="2"/>
      <c r="L7568" s="2"/>
      <c r="M7568" s="2"/>
      <c r="N7568" s="2"/>
      <c r="O7568" s="2"/>
      <c r="P7568" s="2"/>
      <c r="Q7568" s="2"/>
      <c r="R7568" s="2"/>
      <c r="S7568" s="2"/>
      <c r="T7568" s="2"/>
      <c r="U7568" s="2"/>
      <c r="V7568" s="2"/>
      <c r="W7568" s="2"/>
    </row>
    <row r="7569" spans="1:23" x14ac:dyDescent="0.25">
      <c r="A7569" s="2"/>
      <c r="B7569" s="2"/>
      <c r="C7569" s="1"/>
      <c r="D7569" s="2"/>
      <c r="E7569" s="2"/>
      <c r="F7569" s="2"/>
      <c r="G7569" s="2"/>
      <c r="H7569" s="2"/>
      <c r="I7569" s="2"/>
      <c r="J7569" s="2"/>
      <c r="K7569" s="2"/>
      <c r="L7569" s="2"/>
      <c r="M7569" s="2"/>
      <c r="N7569" s="2"/>
      <c r="O7569" s="2"/>
      <c r="P7569" s="2"/>
      <c r="Q7569" s="2"/>
      <c r="R7569" s="2"/>
      <c r="S7569" s="2"/>
      <c r="T7569" s="2"/>
      <c r="U7569" s="2"/>
      <c r="V7569" s="2"/>
      <c r="W7569" s="2"/>
    </row>
    <row r="7570" spans="1:23" x14ac:dyDescent="0.25">
      <c r="A7570" s="2"/>
      <c r="B7570" s="2"/>
      <c r="C7570" s="1"/>
      <c r="D7570" s="2"/>
      <c r="E7570" s="2"/>
      <c r="F7570" s="2"/>
      <c r="G7570" s="2"/>
      <c r="H7570" s="2"/>
      <c r="I7570" s="2"/>
      <c r="J7570" s="2"/>
      <c r="K7570" s="2"/>
      <c r="L7570" s="2"/>
      <c r="M7570" s="2"/>
      <c r="N7570" s="2"/>
      <c r="O7570" s="2"/>
      <c r="P7570" s="2"/>
      <c r="Q7570" s="2"/>
      <c r="R7570" s="2"/>
      <c r="S7570" s="2"/>
      <c r="T7570" s="2"/>
      <c r="U7570" s="2"/>
      <c r="V7570" s="2"/>
      <c r="W7570" s="2"/>
    </row>
    <row r="7571" spans="1:23" x14ac:dyDescent="0.25">
      <c r="A7571" s="2"/>
      <c r="B7571" s="2"/>
      <c r="C7571" s="1"/>
      <c r="D7571" s="2"/>
      <c r="E7571" s="2"/>
      <c r="F7571" s="2"/>
      <c r="G7571" s="2"/>
      <c r="H7571" s="2"/>
      <c r="I7571" s="2"/>
      <c r="J7571" s="2"/>
      <c r="K7571" s="2"/>
      <c r="L7571" s="2"/>
      <c r="M7571" s="2"/>
      <c r="N7571" s="2"/>
      <c r="O7571" s="2"/>
      <c r="P7571" s="2"/>
      <c r="Q7571" s="2"/>
      <c r="R7571" s="2"/>
      <c r="S7571" s="2"/>
      <c r="T7571" s="2"/>
      <c r="U7571" s="2"/>
      <c r="V7571" s="2"/>
      <c r="W7571" s="2"/>
    </row>
    <row r="7572" spans="1:23" x14ac:dyDescent="0.25">
      <c r="A7572" s="2"/>
      <c r="B7572" s="2"/>
      <c r="C7572" s="1"/>
      <c r="D7572" s="2"/>
      <c r="E7572" s="2"/>
      <c r="F7572" s="2"/>
      <c r="G7572" s="2"/>
      <c r="H7572" s="2"/>
      <c r="I7572" s="2"/>
      <c r="J7572" s="2"/>
      <c r="K7572" s="2"/>
      <c r="L7572" s="2"/>
      <c r="M7572" s="2"/>
      <c r="N7572" s="2"/>
      <c r="O7572" s="2"/>
      <c r="P7572" s="2"/>
      <c r="Q7572" s="2"/>
      <c r="R7572" s="2"/>
      <c r="S7572" s="2"/>
      <c r="T7572" s="2"/>
      <c r="U7572" s="2"/>
      <c r="V7572" s="2"/>
      <c r="W7572" s="2"/>
    </row>
    <row r="7573" spans="1:23" x14ac:dyDescent="0.25">
      <c r="A7573" s="2"/>
      <c r="B7573" s="2"/>
      <c r="C7573" s="1"/>
      <c r="D7573" s="2"/>
      <c r="E7573" s="2"/>
      <c r="F7573" s="2"/>
      <c r="G7573" s="2"/>
      <c r="H7573" s="2"/>
      <c r="I7573" s="2"/>
      <c r="J7573" s="2"/>
      <c r="K7573" s="2"/>
      <c r="L7573" s="2"/>
      <c r="M7573" s="2"/>
      <c r="N7573" s="2"/>
      <c r="O7573" s="2"/>
      <c r="P7573" s="2"/>
      <c r="Q7573" s="2"/>
      <c r="R7573" s="2"/>
      <c r="S7573" s="2"/>
      <c r="T7573" s="2"/>
      <c r="U7573" s="2"/>
      <c r="V7573" s="2"/>
      <c r="W7573" s="2"/>
    </row>
    <row r="7574" spans="1:23" x14ac:dyDescent="0.25">
      <c r="A7574" s="2"/>
      <c r="B7574" s="2"/>
      <c r="C7574" s="1"/>
      <c r="D7574" s="2"/>
      <c r="E7574" s="2"/>
      <c r="F7574" s="2"/>
      <c r="G7574" s="2"/>
      <c r="H7574" s="2"/>
      <c r="I7574" s="2"/>
      <c r="J7574" s="2"/>
      <c r="K7574" s="2"/>
      <c r="L7574" s="2"/>
      <c r="M7574" s="2"/>
      <c r="N7574" s="2"/>
      <c r="O7574" s="2"/>
      <c r="P7574" s="2"/>
      <c r="Q7574" s="2"/>
      <c r="R7574" s="2"/>
      <c r="S7574" s="2"/>
      <c r="T7574" s="2"/>
      <c r="U7574" s="2"/>
      <c r="V7574" s="2"/>
      <c r="W7574" s="2"/>
    </row>
    <row r="7575" spans="1:23" x14ac:dyDescent="0.25">
      <c r="A7575" s="2"/>
      <c r="B7575" s="2"/>
      <c r="C7575" s="1"/>
      <c r="D7575" s="2"/>
      <c r="E7575" s="2"/>
      <c r="F7575" s="2"/>
      <c r="G7575" s="2"/>
      <c r="H7575" s="2"/>
      <c r="I7575" s="2"/>
      <c r="J7575" s="2"/>
      <c r="K7575" s="2"/>
      <c r="L7575" s="2"/>
      <c r="M7575" s="2"/>
      <c r="N7575" s="2"/>
      <c r="O7575" s="2"/>
      <c r="P7575" s="2"/>
      <c r="Q7575" s="2"/>
      <c r="R7575" s="2"/>
      <c r="S7575" s="2"/>
      <c r="T7575" s="2"/>
      <c r="U7575" s="2"/>
      <c r="V7575" s="2"/>
      <c r="W7575" s="2"/>
    </row>
    <row r="7576" spans="1:23" x14ac:dyDescent="0.25">
      <c r="A7576" s="2"/>
      <c r="B7576" s="2"/>
      <c r="C7576" s="1"/>
      <c r="D7576" s="2"/>
      <c r="E7576" s="2"/>
      <c r="F7576" s="2"/>
      <c r="G7576" s="2"/>
      <c r="H7576" s="2"/>
      <c r="I7576" s="2"/>
      <c r="J7576" s="2"/>
      <c r="K7576" s="2"/>
      <c r="L7576" s="2"/>
      <c r="M7576" s="2"/>
      <c r="N7576" s="2"/>
      <c r="O7576" s="2"/>
      <c r="P7576" s="2"/>
      <c r="Q7576" s="2"/>
      <c r="R7576" s="2"/>
      <c r="S7576" s="2"/>
      <c r="T7576" s="2"/>
      <c r="U7576" s="2"/>
      <c r="V7576" s="2"/>
      <c r="W7576" s="2"/>
    </row>
    <row r="7577" spans="1:23" x14ac:dyDescent="0.25">
      <c r="A7577" s="2"/>
      <c r="B7577" s="2"/>
      <c r="C7577" s="1"/>
      <c r="D7577" s="2"/>
      <c r="E7577" s="2"/>
      <c r="F7577" s="2"/>
      <c r="G7577" s="2"/>
      <c r="H7577" s="2"/>
      <c r="I7577" s="2"/>
      <c r="J7577" s="2"/>
      <c r="K7577" s="2"/>
      <c r="L7577" s="2"/>
      <c r="M7577" s="2"/>
      <c r="N7577" s="2"/>
      <c r="O7577" s="2"/>
      <c r="P7577" s="2"/>
      <c r="Q7577" s="2"/>
      <c r="R7577" s="2"/>
      <c r="S7577" s="2"/>
      <c r="T7577" s="2"/>
      <c r="U7577" s="2"/>
      <c r="V7577" s="2"/>
      <c r="W7577" s="2"/>
    </row>
    <row r="7578" spans="1:23" x14ac:dyDescent="0.25">
      <c r="A7578" s="2"/>
      <c r="B7578" s="2"/>
      <c r="C7578" s="1"/>
      <c r="D7578" s="2"/>
      <c r="E7578" s="2"/>
      <c r="F7578" s="2"/>
      <c r="G7578" s="2"/>
      <c r="H7578" s="2"/>
      <c r="I7578" s="2"/>
      <c r="J7578" s="2"/>
      <c r="K7578" s="2"/>
      <c r="L7578" s="2"/>
      <c r="M7578" s="2"/>
      <c r="N7578" s="2"/>
      <c r="O7578" s="2"/>
      <c r="P7578" s="2"/>
      <c r="Q7578" s="2"/>
      <c r="R7578" s="2"/>
      <c r="S7578" s="2"/>
      <c r="T7578" s="2"/>
      <c r="U7578" s="2"/>
      <c r="V7578" s="2"/>
      <c r="W7578" s="2"/>
    </row>
    <row r="7579" spans="1:23" x14ac:dyDescent="0.25">
      <c r="A7579" s="2"/>
      <c r="B7579" s="2"/>
      <c r="C7579" s="1"/>
      <c r="D7579" s="2"/>
      <c r="E7579" s="2"/>
      <c r="F7579" s="2"/>
      <c r="G7579" s="2"/>
      <c r="H7579" s="2"/>
      <c r="I7579" s="2"/>
      <c r="J7579" s="2"/>
      <c r="K7579" s="2"/>
      <c r="L7579" s="2"/>
      <c r="M7579" s="2"/>
      <c r="N7579" s="2"/>
      <c r="O7579" s="2"/>
      <c r="P7579" s="2"/>
      <c r="Q7579" s="2"/>
      <c r="R7579" s="2"/>
      <c r="S7579" s="2"/>
      <c r="T7579" s="2"/>
      <c r="U7579" s="2"/>
      <c r="V7579" s="2"/>
      <c r="W7579" s="2"/>
    </row>
    <row r="7580" spans="1:23" x14ac:dyDescent="0.25">
      <c r="A7580" s="2"/>
      <c r="B7580" s="2"/>
      <c r="C7580" s="1"/>
      <c r="D7580" s="2"/>
      <c r="E7580" s="2"/>
      <c r="F7580" s="2"/>
      <c r="G7580" s="2"/>
      <c r="H7580" s="2"/>
      <c r="I7580" s="2"/>
      <c r="J7580" s="2"/>
      <c r="K7580" s="2"/>
      <c r="L7580" s="2"/>
      <c r="M7580" s="2"/>
      <c r="N7580" s="2"/>
      <c r="O7580" s="2"/>
      <c r="P7580" s="2"/>
      <c r="Q7580" s="2"/>
      <c r="R7580" s="2"/>
      <c r="S7580" s="2"/>
      <c r="T7580" s="2"/>
      <c r="U7580" s="2"/>
      <c r="V7580" s="2"/>
      <c r="W7580" s="2"/>
    </row>
    <row r="7581" spans="1:23" x14ac:dyDescent="0.25">
      <c r="A7581" s="2"/>
      <c r="B7581" s="2"/>
      <c r="C7581" s="1"/>
      <c r="D7581" s="2"/>
      <c r="E7581" s="2"/>
      <c r="F7581" s="2"/>
      <c r="G7581" s="2"/>
      <c r="H7581" s="2"/>
      <c r="I7581" s="2"/>
      <c r="J7581" s="2"/>
      <c r="K7581" s="2"/>
      <c r="L7581" s="2"/>
      <c r="M7581" s="2"/>
      <c r="N7581" s="2"/>
      <c r="O7581" s="2"/>
      <c r="P7581" s="2"/>
      <c r="Q7581" s="2"/>
      <c r="R7581" s="2"/>
      <c r="S7581" s="2"/>
      <c r="T7581" s="2"/>
      <c r="U7581" s="2"/>
      <c r="V7581" s="2"/>
      <c r="W7581" s="2"/>
    </row>
    <row r="7582" spans="1:23" x14ac:dyDescent="0.25">
      <c r="A7582" s="2"/>
      <c r="B7582" s="2"/>
      <c r="C7582" s="1"/>
      <c r="D7582" s="2"/>
      <c r="E7582" s="2"/>
      <c r="F7582" s="2"/>
      <c r="G7582" s="2"/>
      <c r="H7582" s="2"/>
      <c r="I7582" s="2"/>
      <c r="J7582" s="2"/>
      <c r="K7582" s="2"/>
      <c r="L7582" s="2"/>
      <c r="M7582" s="2"/>
      <c r="N7582" s="2"/>
      <c r="O7582" s="2"/>
      <c r="P7582" s="2"/>
      <c r="Q7582" s="2"/>
      <c r="R7582" s="2"/>
      <c r="S7582" s="2"/>
      <c r="T7582" s="2"/>
      <c r="U7582" s="2"/>
      <c r="V7582" s="2"/>
      <c r="W7582" s="2"/>
    </row>
    <row r="7583" spans="1:23" x14ac:dyDescent="0.25">
      <c r="A7583" s="2"/>
      <c r="B7583" s="2"/>
      <c r="C7583" s="1"/>
      <c r="D7583" s="2"/>
      <c r="E7583" s="2"/>
      <c r="F7583" s="2"/>
      <c r="G7583" s="2"/>
      <c r="H7583" s="2"/>
      <c r="I7583" s="2"/>
      <c r="J7583" s="2"/>
      <c r="K7583" s="2"/>
      <c r="L7583" s="2"/>
      <c r="M7583" s="2"/>
      <c r="N7583" s="2"/>
      <c r="O7583" s="2"/>
      <c r="P7583" s="2"/>
      <c r="Q7583" s="2"/>
      <c r="R7583" s="2"/>
      <c r="S7583" s="2"/>
      <c r="T7583" s="2"/>
      <c r="U7583" s="2"/>
      <c r="V7583" s="2"/>
      <c r="W7583" s="2"/>
    </row>
    <row r="7584" spans="1:23" x14ac:dyDescent="0.25">
      <c r="A7584" s="2"/>
      <c r="B7584" s="2"/>
      <c r="C7584" s="1"/>
      <c r="D7584" s="2"/>
      <c r="E7584" s="2"/>
      <c r="F7584" s="2"/>
      <c r="G7584" s="2"/>
      <c r="H7584" s="2"/>
      <c r="I7584" s="2"/>
      <c r="J7584" s="2"/>
      <c r="K7584" s="2"/>
      <c r="L7584" s="2"/>
      <c r="M7584" s="2"/>
      <c r="N7584" s="2"/>
      <c r="O7584" s="2"/>
      <c r="P7584" s="2"/>
      <c r="Q7584" s="2"/>
      <c r="R7584" s="2"/>
      <c r="S7584" s="2"/>
      <c r="T7584" s="2"/>
      <c r="U7584" s="2"/>
      <c r="V7584" s="2"/>
      <c r="W7584" s="2"/>
    </row>
    <row r="7585" spans="1:23" x14ac:dyDescent="0.25">
      <c r="A7585" s="2"/>
      <c r="B7585" s="2"/>
      <c r="C7585" s="1"/>
      <c r="D7585" s="2"/>
      <c r="E7585" s="2"/>
      <c r="F7585" s="2"/>
      <c r="G7585" s="2"/>
      <c r="H7585" s="2"/>
      <c r="I7585" s="2"/>
      <c r="J7585" s="2"/>
      <c r="K7585" s="2"/>
      <c r="L7585" s="2"/>
      <c r="M7585" s="2"/>
      <c r="N7585" s="2"/>
      <c r="O7585" s="2"/>
      <c r="P7585" s="2"/>
      <c r="Q7585" s="2"/>
      <c r="R7585" s="2"/>
      <c r="S7585" s="2"/>
      <c r="T7585" s="2"/>
      <c r="U7585" s="2"/>
      <c r="V7585" s="2"/>
      <c r="W7585" s="2"/>
    </row>
    <row r="7586" spans="1:23" x14ac:dyDescent="0.25">
      <c r="A7586" s="2"/>
      <c r="B7586" s="2"/>
      <c r="C7586" s="1"/>
      <c r="D7586" s="2"/>
      <c r="E7586" s="2"/>
      <c r="F7586" s="2"/>
      <c r="G7586" s="2"/>
      <c r="H7586" s="2"/>
      <c r="I7586" s="2"/>
      <c r="J7586" s="2"/>
      <c r="K7586" s="2"/>
      <c r="L7586" s="2"/>
      <c r="M7586" s="2"/>
      <c r="N7586" s="2"/>
      <c r="O7586" s="2"/>
      <c r="P7586" s="2"/>
      <c r="Q7586" s="2"/>
      <c r="R7586" s="2"/>
      <c r="S7586" s="2"/>
      <c r="T7586" s="2"/>
      <c r="U7586" s="2"/>
      <c r="V7586" s="2"/>
      <c r="W7586" s="2"/>
    </row>
    <row r="7587" spans="1:23" x14ac:dyDescent="0.25">
      <c r="A7587" s="2"/>
      <c r="B7587" s="2"/>
      <c r="C7587" s="1"/>
      <c r="D7587" s="2"/>
      <c r="E7587" s="2"/>
      <c r="F7587" s="2"/>
      <c r="G7587" s="2"/>
      <c r="H7587" s="2"/>
      <c r="I7587" s="2"/>
      <c r="J7587" s="2"/>
      <c r="K7587" s="2"/>
      <c r="L7587" s="2"/>
      <c r="M7587" s="2"/>
      <c r="N7587" s="2"/>
      <c r="O7587" s="2"/>
      <c r="P7587" s="2"/>
      <c r="Q7587" s="2"/>
      <c r="R7587" s="2"/>
      <c r="S7587" s="2"/>
      <c r="T7587" s="2"/>
      <c r="U7587" s="2"/>
      <c r="V7587" s="2"/>
      <c r="W7587" s="2"/>
    </row>
    <row r="7588" spans="1:23" x14ac:dyDescent="0.25">
      <c r="A7588" s="2"/>
      <c r="B7588" s="2"/>
      <c r="C7588" s="1"/>
      <c r="D7588" s="2"/>
      <c r="E7588" s="2"/>
      <c r="F7588" s="2"/>
      <c r="G7588" s="2"/>
      <c r="H7588" s="2"/>
      <c r="I7588" s="2"/>
      <c r="J7588" s="2"/>
      <c r="K7588" s="2"/>
      <c r="L7588" s="2"/>
      <c r="M7588" s="2"/>
      <c r="N7588" s="2"/>
      <c r="O7588" s="2"/>
      <c r="P7588" s="2"/>
      <c r="Q7588" s="2"/>
      <c r="R7588" s="2"/>
      <c r="S7588" s="2"/>
      <c r="T7588" s="2"/>
      <c r="U7588" s="2"/>
      <c r="V7588" s="2"/>
      <c r="W7588" s="2"/>
    </row>
    <row r="7589" spans="1:23" x14ac:dyDescent="0.25">
      <c r="A7589" s="2"/>
      <c r="B7589" s="2"/>
      <c r="C7589" s="1"/>
      <c r="D7589" s="2"/>
      <c r="E7589" s="2"/>
      <c r="F7589" s="2"/>
      <c r="G7589" s="2"/>
      <c r="H7589" s="2"/>
      <c r="I7589" s="2"/>
      <c r="J7589" s="2"/>
      <c r="K7589" s="2"/>
      <c r="L7589" s="2"/>
      <c r="M7589" s="2"/>
      <c r="N7589" s="2"/>
      <c r="O7589" s="2"/>
      <c r="P7589" s="2"/>
      <c r="Q7589" s="2"/>
      <c r="R7589" s="2"/>
      <c r="S7589" s="2"/>
      <c r="T7589" s="2"/>
      <c r="U7589" s="2"/>
      <c r="V7589" s="2"/>
      <c r="W7589" s="2"/>
    </row>
    <row r="7590" spans="1:23" x14ac:dyDescent="0.25">
      <c r="A7590" s="2"/>
      <c r="B7590" s="2"/>
      <c r="C7590" s="1"/>
      <c r="D7590" s="2"/>
      <c r="E7590" s="2"/>
      <c r="F7590" s="2"/>
      <c r="G7590" s="2"/>
      <c r="H7590" s="2"/>
      <c r="I7590" s="2"/>
      <c r="J7590" s="2"/>
      <c r="K7590" s="2"/>
      <c r="L7590" s="2"/>
      <c r="M7590" s="2"/>
      <c r="N7590" s="2"/>
      <c r="O7590" s="2"/>
      <c r="P7590" s="2"/>
      <c r="Q7590" s="2"/>
      <c r="R7590" s="2"/>
      <c r="S7590" s="2"/>
      <c r="T7590" s="2"/>
      <c r="U7590" s="2"/>
      <c r="V7590" s="2"/>
      <c r="W7590" s="2"/>
    </row>
    <row r="7591" spans="1:23" x14ac:dyDescent="0.25">
      <c r="A7591" s="2"/>
      <c r="B7591" s="2"/>
      <c r="C7591" s="1"/>
      <c r="D7591" s="2"/>
      <c r="E7591" s="2"/>
      <c r="F7591" s="2"/>
      <c r="G7591" s="2"/>
      <c r="H7591" s="2"/>
      <c r="I7591" s="2"/>
      <c r="J7591" s="2"/>
      <c r="K7591" s="2"/>
      <c r="L7591" s="2"/>
      <c r="M7591" s="2"/>
      <c r="N7591" s="2"/>
      <c r="O7591" s="2"/>
      <c r="P7591" s="2"/>
      <c r="Q7591" s="2"/>
      <c r="R7591" s="2"/>
      <c r="S7591" s="2"/>
      <c r="T7591" s="2"/>
      <c r="U7591" s="2"/>
      <c r="V7591" s="2"/>
      <c r="W7591" s="2"/>
    </row>
    <row r="7592" spans="1:23" x14ac:dyDescent="0.25">
      <c r="A7592" s="2"/>
      <c r="B7592" s="2"/>
      <c r="C7592" s="1"/>
      <c r="D7592" s="2"/>
      <c r="E7592" s="2"/>
      <c r="F7592" s="2"/>
      <c r="G7592" s="2"/>
      <c r="H7592" s="2"/>
      <c r="I7592" s="2"/>
      <c r="J7592" s="2"/>
      <c r="K7592" s="2"/>
      <c r="L7592" s="2"/>
      <c r="M7592" s="2"/>
      <c r="N7592" s="2"/>
      <c r="O7592" s="2"/>
      <c r="P7592" s="2"/>
      <c r="Q7592" s="2"/>
      <c r="R7592" s="2"/>
      <c r="S7592" s="2"/>
      <c r="T7592" s="2"/>
      <c r="U7592" s="2"/>
      <c r="V7592" s="2"/>
      <c r="W7592" s="2"/>
    </row>
    <row r="7593" spans="1:23" x14ac:dyDescent="0.25">
      <c r="A7593" s="2"/>
      <c r="B7593" s="2"/>
      <c r="C7593" s="1"/>
      <c r="D7593" s="2"/>
      <c r="E7593" s="2"/>
      <c r="F7593" s="2"/>
      <c r="G7593" s="2"/>
      <c r="H7593" s="2"/>
      <c r="I7593" s="2"/>
      <c r="J7593" s="2"/>
      <c r="K7593" s="2"/>
      <c r="L7593" s="2"/>
      <c r="M7593" s="2"/>
      <c r="N7593" s="2"/>
      <c r="O7593" s="2"/>
      <c r="P7593" s="2"/>
      <c r="Q7593" s="2"/>
      <c r="R7593" s="2"/>
      <c r="S7593" s="2"/>
      <c r="T7593" s="2"/>
      <c r="U7593" s="2"/>
      <c r="V7593" s="2"/>
      <c r="W7593" s="2"/>
    </row>
    <row r="7594" spans="1:23" x14ac:dyDescent="0.25">
      <c r="A7594" s="2"/>
      <c r="B7594" s="2"/>
      <c r="C7594" s="1"/>
      <c r="D7594" s="2"/>
      <c r="E7594" s="2"/>
      <c r="F7594" s="2"/>
      <c r="G7594" s="2"/>
      <c r="H7594" s="2"/>
      <c r="I7594" s="2"/>
      <c r="J7594" s="2"/>
      <c r="K7594" s="2"/>
      <c r="L7594" s="2"/>
      <c r="M7594" s="2"/>
      <c r="N7594" s="2"/>
      <c r="O7594" s="2"/>
      <c r="P7594" s="2"/>
      <c r="Q7594" s="2"/>
      <c r="R7594" s="2"/>
      <c r="S7594" s="2"/>
      <c r="T7594" s="2"/>
      <c r="U7594" s="2"/>
      <c r="V7594" s="2"/>
      <c r="W7594" s="2"/>
    </row>
    <row r="7595" spans="1:23" x14ac:dyDescent="0.25">
      <c r="A7595" s="2"/>
      <c r="B7595" s="2"/>
      <c r="C7595" s="1"/>
      <c r="D7595" s="2"/>
      <c r="E7595" s="2"/>
      <c r="F7595" s="2"/>
      <c r="G7595" s="2"/>
      <c r="H7595" s="2"/>
      <c r="I7595" s="2"/>
      <c r="J7595" s="2"/>
      <c r="K7595" s="2"/>
      <c r="L7595" s="2"/>
      <c r="M7595" s="2"/>
      <c r="N7595" s="2"/>
      <c r="O7595" s="2"/>
      <c r="P7595" s="2"/>
      <c r="Q7595" s="2"/>
      <c r="R7595" s="2"/>
      <c r="S7595" s="2"/>
      <c r="T7595" s="2"/>
      <c r="U7595" s="2"/>
      <c r="V7595" s="2"/>
      <c r="W7595" s="2"/>
    </row>
    <row r="7596" spans="1:23" x14ac:dyDescent="0.25">
      <c r="A7596" s="2"/>
      <c r="B7596" s="2"/>
      <c r="C7596" s="1"/>
      <c r="D7596" s="2"/>
      <c r="E7596" s="2"/>
      <c r="F7596" s="2"/>
      <c r="G7596" s="2"/>
      <c r="H7596" s="2"/>
      <c r="I7596" s="2"/>
      <c r="J7596" s="2"/>
      <c r="K7596" s="2"/>
      <c r="L7596" s="2"/>
      <c r="M7596" s="2"/>
      <c r="N7596" s="2"/>
      <c r="O7596" s="2"/>
      <c r="P7596" s="2"/>
      <c r="Q7596" s="2"/>
      <c r="R7596" s="2"/>
      <c r="S7596" s="2"/>
      <c r="T7596" s="2"/>
      <c r="U7596" s="2"/>
      <c r="V7596" s="2"/>
      <c r="W7596" s="2"/>
    </row>
    <row r="7597" spans="1:23" x14ac:dyDescent="0.25">
      <c r="A7597" s="2"/>
      <c r="B7597" s="2"/>
      <c r="C7597" s="1"/>
      <c r="D7597" s="2"/>
      <c r="E7597" s="2"/>
      <c r="F7597" s="2"/>
      <c r="G7597" s="2"/>
      <c r="H7597" s="2"/>
      <c r="I7597" s="2"/>
      <c r="J7597" s="2"/>
      <c r="K7597" s="2"/>
      <c r="L7597" s="2"/>
      <c r="M7597" s="2"/>
      <c r="N7597" s="2"/>
      <c r="O7597" s="2"/>
      <c r="P7597" s="2"/>
      <c r="Q7597" s="2"/>
      <c r="R7597" s="2"/>
      <c r="S7597" s="2"/>
      <c r="T7597" s="2"/>
      <c r="U7597" s="2"/>
      <c r="V7597" s="2"/>
      <c r="W7597" s="2"/>
    </row>
    <row r="7598" spans="1:23" x14ac:dyDescent="0.25">
      <c r="A7598" s="2"/>
      <c r="B7598" s="2"/>
      <c r="C7598" s="1"/>
      <c r="D7598" s="2"/>
      <c r="E7598" s="2"/>
      <c r="F7598" s="2"/>
      <c r="G7598" s="2"/>
      <c r="H7598" s="2"/>
      <c r="I7598" s="2"/>
      <c r="J7598" s="2"/>
      <c r="K7598" s="2"/>
      <c r="L7598" s="2"/>
      <c r="M7598" s="2"/>
      <c r="N7598" s="2"/>
      <c r="O7598" s="2"/>
      <c r="P7598" s="2"/>
      <c r="Q7598" s="2"/>
      <c r="R7598" s="2"/>
      <c r="S7598" s="2"/>
      <c r="T7598" s="2"/>
      <c r="U7598" s="2"/>
      <c r="V7598" s="2"/>
      <c r="W7598" s="2"/>
    </row>
    <row r="7599" spans="1:23" x14ac:dyDescent="0.25">
      <c r="A7599" s="2"/>
      <c r="B7599" s="2"/>
      <c r="C7599" s="1"/>
      <c r="D7599" s="2"/>
      <c r="E7599" s="2"/>
      <c r="F7599" s="2"/>
      <c r="G7599" s="2"/>
      <c r="H7599" s="2"/>
      <c r="I7599" s="2"/>
      <c r="J7599" s="2"/>
      <c r="K7599" s="2"/>
      <c r="L7599" s="2"/>
      <c r="M7599" s="2"/>
      <c r="N7599" s="2"/>
      <c r="O7599" s="2"/>
      <c r="P7599" s="2"/>
      <c r="Q7599" s="2"/>
      <c r="R7599" s="2"/>
      <c r="S7599" s="2"/>
      <c r="T7599" s="2"/>
      <c r="U7599" s="2"/>
      <c r="V7599" s="2"/>
      <c r="W7599" s="2"/>
    </row>
    <row r="7600" spans="1:23" x14ac:dyDescent="0.25">
      <c r="A7600" s="2"/>
      <c r="B7600" s="2"/>
      <c r="C7600" s="1"/>
      <c r="D7600" s="2"/>
      <c r="E7600" s="2"/>
      <c r="F7600" s="2"/>
      <c r="G7600" s="2"/>
      <c r="H7600" s="2"/>
      <c r="I7600" s="2"/>
      <c r="J7600" s="2"/>
      <c r="K7600" s="2"/>
      <c r="L7600" s="2"/>
      <c r="M7600" s="2"/>
      <c r="N7600" s="2"/>
      <c r="O7600" s="2"/>
      <c r="P7600" s="2"/>
      <c r="Q7600" s="2"/>
      <c r="R7600" s="2"/>
      <c r="S7600" s="2"/>
      <c r="T7600" s="2"/>
      <c r="U7600" s="2"/>
      <c r="V7600" s="2"/>
      <c r="W7600" s="2"/>
    </row>
    <row r="7601" spans="1:23" x14ac:dyDescent="0.25">
      <c r="A7601" s="2"/>
      <c r="B7601" s="2"/>
      <c r="C7601" s="1"/>
      <c r="D7601" s="2"/>
      <c r="E7601" s="2"/>
      <c r="F7601" s="2"/>
      <c r="G7601" s="2"/>
      <c r="H7601" s="2"/>
      <c r="I7601" s="2"/>
      <c r="J7601" s="2"/>
      <c r="K7601" s="2"/>
      <c r="L7601" s="2"/>
      <c r="M7601" s="2"/>
      <c r="N7601" s="2"/>
      <c r="O7601" s="2"/>
      <c r="P7601" s="2"/>
      <c r="Q7601" s="2"/>
      <c r="R7601" s="2"/>
      <c r="S7601" s="2"/>
      <c r="T7601" s="2"/>
      <c r="U7601" s="2"/>
      <c r="V7601" s="2"/>
      <c r="W7601" s="2"/>
    </row>
    <row r="7602" spans="1:23" x14ac:dyDescent="0.25">
      <c r="A7602" s="2"/>
      <c r="B7602" s="2"/>
      <c r="C7602" s="1"/>
      <c r="D7602" s="2"/>
      <c r="E7602" s="2"/>
      <c r="F7602" s="2"/>
      <c r="G7602" s="2"/>
      <c r="H7602" s="2"/>
      <c r="I7602" s="2"/>
      <c r="J7602" s="2"/>
      <c r="K7602" s="2"/>
      <c r="L7602" s="2"/>
      <c r="M7602" s="2"/>
      <c r="N7602" s="2"/>
      <c r="O7602" s="2"/>
      <c r="P7602" s="2"/>
      <c r="Q7602" s="2"/>
      <c r="R7602" s="2"/>
      <c r="S7602" s="2"/>
      <c r="T7602" s="2"/>
      <c r="U7602" s="2"/>
      <c r="V7602" s="2"/>
      <c r="W7602" s="2"/>
    </row>
    <row r="7603" spans="1:23" x14ac:dyDescent="0.25">
      <c r="A7603" s="2"/>
      <c r="B7603" s="2"/>
      <c r="C7603" s="1"/>
      <c r="D7603" s="2"/>
      <c r="E7603" s="2"/>
      <c r="F7603" s="2"/>
      <c r="G7603" s="2"/>
      <c r="H7603" s="2"/>
      <c r="I7603" s="2"/>
      <c r="J7603" s="2"/>
      <c r="K7603" s="2"/>
      <c r="L7603" s="2"/>
      <c r="M7603" s="2"/>
      <c r="N7603" s="2"/>
      <c r="O7603" s="2"/>
      <c r="P7603" s="2"/>
      <c r="Q7603" s="2"/>
      <c r="R7603" s="2"/>
      <c r="S7603" s="2"/>
      <c r="T7603" s="2"/>
      <c r="U7603" s="2"/>
      <c r="V7603" s="2"/>
      <c r="W7603" s="2"/>
    </row>
    <row r="7604" spans="1:23" x14ac:dyDescent="0.25">
      <c r="A7604" s="2"/>
      <c r="B7604" s="2"/>
      <c r="C7604" s="1"/>
      <c r="D7604" s="2"/>
      <c r="E7604" s="2"/>
      <c r="F7604" s="2"/>
      <c r="G7604" s="2"/>
      <c r="H7604" s="2"/>
      <c r="I7604" s="2"/>
      <c r="J7604" s="2"/>
      <c r="K7604" s="2"/>
      <c r="L7604" s="2"/>
      <c r="M7604" s="2"/>
      <c r="N7604" s="2"/>
      <c r="O7604" s="2"/>
      <c r="P7604" s="2"/>
      <c r="Q7604" s="2"/>
      <c r="R7604" s="2"/>
      <c r="S7604" s="2"/>
      <c r="T7604" s="2"/>
      <c r="U7604" s="2"/>
      <c r="V7604" s="2"/>
      <c r="W7604" s="2"/>
    </row>
    <row r="7605" spans="1:23" x14ac:dyDescent="0.25">
      <c r="A7605" s="2"/>
      <c r="B7605" s="2"/>
      <c r="C7605" s="1"/>
      <c r="D7605" s="2"/>
      <c r="E7605" s="2"/>
      <c r="F7605" s="2"/>
      <c r="G7605" s="2"/>
      <c r="H7605" s="2"/>
      <c r="I7605" s="2"/>
      <c r="J7605" s="2"/>
      <c r="K7605" s="2"/>
      <c r="L7605" s="2"/>
      <c r="M7605" s="2"/>
      <c r="N7605" s="2"/>
      <c r="O7605" s="2"/>
      <c r="P7605" s="2"/>
      <c r="Q7605" s="2"/>
      <c r="R7605" s="2"/>
      <c r="S7605" s="2"/>
      <c r="T7605" s="2"/>
      <c r="U7605" s="2"/>
      <c r="V7605" s="2"/>
      <c r="W7605" s="2"/>
    </row>
    <row r="7606" spans="1:23" x14ac:dyDescent="0.25">
      <c r="A7606" s="2"/>
      <c r="B7606" s="2"/>
      <c r="C7606" s="1"/>
      <c r="D7606" s="2"/>
      <c r="E7606" s="2"/>
      <c r="F7606" s="2"/>
      <c r="G7606" s="2"/>
      <c r="H7606" s="2"/>
      <c r="I7606" s="2"/>
      <c r="J7606" s="2"/>
      <c r="K7606" s="2"/>
      <c r="L7606" s="2"/>
      <c r="M7606" s="2"/>
      <c r="N7606" s="2"/>
      <c r="O7606" s="2"/>
      <c r="P7606" s="2"/>
      <c r="Q7606" s="2"/>
      <c r="R7606" s="2"/>
      <c r="S7606" s="2"/>
      <c r="T7606" s="2"/>
      <c r="U7606" s="2"/>
      <c r="V7606" s="2"/>
      <c r="W7606" s="2"/>
    </row>
    <row r="7607" spans="1:23" x14ac:dyDescent="0.25">
      <c r="A7607" s="2"/>
      <c r="B7607" s="2"/>
      <c r="C7607" s="1"/>
      <c r="D7607" s="2"/>
      <c r="E7607" s="2"/>
      <c r="F7607" s="2"/>
      <c r="G7607" s="2"/>
      <c r="H7607" s="2"/>
      <c r="I7607" s="2"/>
      <c r="J7607" s="2"/>
      <c r="K7607" s="2"/>
      <c r="L7607" s="2"/>
      <c r="M7607" s="2"/>
      <c r="N7607" s="2"/>
      <c r="O7607" s="2"/>
      <c r="P7607" s="2"/>
      <c r="Q7607" s="2"/>
      <c r="R7607" s="2"/>
      <c r="S7607" s="2"/>
      <c r="T7607" s="2"/>
      <c r="U7607" s="2"/>
      <c r="V7607" s="2"/>
      <c r="W7607" s="2"/>
    </row>
    <row r="7608" spans="1:23" x14ac:dyDescent="0.25">
      <c r="A7608" s="2"/>
      <c r="B7608" s="2"/>
      <c r="C7608" s="1"/>
      <c r="D7608" s="2"/>
      <c r="E7608" s="2"/>
      <c r="F7608" s="2"/>
      <c r="G7608" s="2"/>
      <c r="H7608" s="2"/>
      <c r="I7608" s="2"/>
      <c r="J7608" s="2"/>
      <c r="K7608" s="2"/>
      <c r="L7608" s="2"/>
      <c r="M7608" s="2"/>
      <c r="N7608" s="2"/>
      <c r="O7608" s="2"/>
      <c r="P7608" s="2"/>
      <c r="Q7608" s="2"/>
      <c r="R7608" s="2"/>
      <c r="S7608" s="2"/>
      <c r="T7608" s="2"/>
      <c r="U7608" s="2"/>
      <c r="V7608" s="2"/>
      <c r="W7608" s="2"/>
    </row>
    <row r="7609" spans="1:23" x14ac:dyDescent="0.25">
      <c r="A7609" s="2"/>
      <c r="B7609" s="2"/>
      <c r="C7609" s="1"/>
      <c r="D7609" s="2"/>
      <c r="E7609" s="2"/>
      <c r="F7609" s="2"/>
      <c r="G7609" s="2"/>
      <c r="H7609" s="2"/>
      <c r="I7609" s="2"/>
      <c r="J7609" s="2"/>
      <c r="K7609" s="2"/>
      <c r="L7609" s="2"/>
      <c r="M7609" s="2"/>
      <c r="N7609" s="2"/>
      <c r="O7609" s="2"/>
      <c r="P7609" s="2"/>
      <c r="Q7609" s="2"/>
      <c r="R7609" s="2"/>
      <c r="S7609" s="2"/>
      <c r="T7609" s="2"/>
      <c r="U7609" s="2"/>
      <c r="V7609" s="2"/>
      <c r="W7609" s="2"/>
    </row>
    <row r="7610" spans="1:23" x14ac:dyDescent="0.25">
      <c r="A7610" s="2"/>
      <c r="B7610" s="2"/>
      <c r="C7610" s="1"/>
      <c r="D7610" s="2"/>
      <c r="E7610" s="2"/>
      <c r="F7610" s="2"/>
      <c r="G7610" s="2"/>
      <c r="H7610" s="2"/>
      <c r="I7610" s="2"/>
      <c r="J7610" s="2"/>
      <c r="K7610" s="2"/>
      <c r="L7610" s="2"/>
      <c r="M7610" s="2"/>
      <c r="N7610" s="2"/>
      <c r="O7610" s="2"/>
      <c r="P7610" s="2"/>
      <c r="Q7610" s="2"/>
      <c r="R7610" s="2"/>
      <c r="S7610" s="2"/>
      <c r="T7610" s="2"/>
      <c r="U7610" s="2"/>
      <c r="V7610" s="2"/>
      <c r="W7610" s="2"/>
    </row>
    <row r="7611" spans="1:23" x14ac:dyDescent="0.25">
      <c r="A7611" s="2"/>
      <c r="B7611" s="2"/>
      <c r="C7611" s="1"/>
      <c r="D7611" s="2"/>
      <c r="E7611" s="2"/>
      <c r="F7611" s="2"/>
      <c r="G7611" s="2"/>
      <c r="H7611" s="2"/>
      <c r="I7611" s="2"/>
      <c r="J7611" s="2"/>
      <c r="K7611" s="2"/>
      <c r="L7611" s="2"/>
      <c r="M7611" s="2"/>
      <c r="N7611" s="2"/>
      <c r="O7611" s="2"/>
      <c r="P7611" s="2"/>
      <c r="Q7611" s="2"/>
      <c r="R7611" s="2"/>
      <c r="S7611" s="2"/>
      <c r="T7611" s="2"/>
      <c r="U7611" s="2"/>
      <c r="V7611" s="2"/>
      <c r="W7611" s="2"/>
    </row>
    <row r="7612" spans="1:23" x14ac:dyDescent="0.25">
      <c r="A7612" s="2"/>
      <c r="B7612" s="2"/>
      <c r="C7612" s="1"/>
      <c r="D7612" s="2"/>
      <c r="E7612" s="2"/>
      <c r="F7612" s="2"/>
      <c r="G7612" s="2"/>
      <c r="H7612" s="2"/>
      <c r="I7612" s="2"/>
      <c r="J7612" s="2"/>
      <c r="K7612" s="2"/>
      <c r="L7612" s="2"/>
      <c r="M7612" s="2"/>
      <c r="N7612" s="2"/>
      <c r="O7612" s="2"/>
      <c r="P7612" s="2"/>
      <c r="Q7612" s="2"/>
      <c r="R7612" s="2"/>
      <c r="S7612" s="2"/>
      <c r="T7612" s="2"/>
      <c r="U7612" s="2"/>
      <c r="V7612" s="2"/>
      <c r="W7612" s="2"/>
    </row>
    <row r="7613" spans="1:23" x14ac:dyDescent="0.25">
      <c r="A7613" s="2"/>
      <c r="B7613" s="2"/>
      <c r="C7613" s="1"/>
      <c r="D7613" s="2"/>
      <c r="E7613" s="2"/>
      <c r="F7613" s="2"/>
      <c r="G7613" s="2"/>
      <c r="H7613" s="2"/>
      <c r="I7613" s="2"/>
      <c r="J7613" s="2"/>
      <c r="K7613" s="2"/>
      <c r="L7613" s="2"/>
      <c r="M7613" s="2"/>
      <c r="N7613" s="2"/>
      <c r="O7613" s="2"/>
      <c r="P7613" s="2"/>
      <c r="Q7613" s="2"/>
      <c r="R7613" s="2"/>
      <c r="S7613" s="2"/>
      <c r="T7613" s="2"/>
      <c r="U7613" s="2"/>
      <c r="V7613" s="2"/>
      <c r="W7613" s="2"/>
    </row>
    <row r="7614" spans="1:23" x14ac:dyDescent="0.25">
      <c r="A7614" s="2"/>
      <c r="B7614" s="2"/>
      <c r="C7614" s="1"/>
      <c r="D7614" s="2"/>
      <c r="E7614" s="2"/>
      <c r="F7614" s="2"/>
      <c r="G7614" s="2"/>
      <c r="H7614" s="2"/>
      <c r="I7614" s="2"/>
      <c r="J7614" s="2"/>
      <c r="K7614" s="2"/>
      <c r="L7614" s="2"/>
      <c r="M7614" s="2"/>
      <c r="N7614" s="2"/>
      <c r="O7614" s="2"/>
      <c r="P7614" s="2"/>
      <c r="Q7614" s="2"/>
      <c r="R7614" s="2"/>
      <c r="S7614" s="2"/>
      <c r="T7614" s="2"/>
      <c r="U7614" s="2"/>
      <c r="V7614" s="2"/>
      <c r="W7614" s="2"/>
    </row>
    <row r="7615" spans="1:23" x14ac:dyDescent="0.25">
      <c r="A7615" s="2"/>
      <c r="B7615" s="2"/>
      <c r="C7615" s="1"/>
      <c r="D7615" s="2"/>
      <c r="E7615" s="2"/>
      <c r="F7615" s="2"/>
      <c r="G7615" s="2"/>
      <c r="H7615" s="2"/>
      <c r="I7615" s="2"/>
      <c r="J7615" s="2"/>
      <c r="K7615" s="2"/>
      <c r="L7615" s="2"/>
      <c r="M7615" s="2"/>
      <c r="N7615" s="2"/>
      <c r="O7615" s="2"/>
      <c r="P7615" s="2"/>
      <c r="Q7615" s="2"/>
      <c r="R7615" s="2"/>
      <c r="S7615" s="2"/>
      <c r="T7615" s="2"/>
      <c r="U7615" s="2"/>
      <c r="V7615" s="2"/>
      <c r="W7615" s="2"/>
    </row>
    <row r="7616" spans="1:23" x14ac:dyDescent="0.25">
      <c r="A7616" s="2"/>
      <c r="B7616" s="2"/>
      <c r="C7616" s="1"/>
      <c r="D7616" s="2"/>
      <c r="E7616" s="2"/>
      <c r="F7616" s="2"/>
      <c r="G7616" s="2"/>
      <c r="H7616" s="2"/>
      <c r="I7616" s="2"/>
      <c r="J7616" s="2"/>
      <c r="K7616" s="2"/>
      <c r="L7616" s="2"/>
      <c r="M7616" s="2"/>
      <c r="N7616" s="2"/>
      <c r="O7616" s="2"/>
      <c r="P7616" s="2"/>
      <c r="Q7616" s="2"/>
      <c r="R7616" s="2"/>
      <c r="S7616" s="2"/>
      <c r="T7616" s="2"/>
      <c r="U7616" s="2"/>
      <c r="V7616" s="2"/>
      <c r="W7616" s="2"/>
    </row>
    <row r="7617" spans="1:23" x14ac:dyDescent="0.25">
      <c r="A7617" s="2"/>
      <c r="B7617" s="2"/>
      <c r="C7617" s="1"/>
      <c r="D7617" s="2"/>
      <c r="E7617" s="2"/>
      <c r="F7617" s="2"/>
      <c r="G7617" s="2"/>
      <c r="H7617" s="2"/>
      <c r="I7617" s="2"/>
      <c r="J7617" s="2"/>
      <c r="K7617" s="2"/>
      <c r="L7617" s="2"/>
      <c r="M7617" s="2"/>
      <c r="N7617" s="2"/>
      <c r="O7617" s="2"/>
      <c r="P7617" s="2"/>
      <c r="Q7617" s="2"/>
      <c r="R7617" s="2"/>
      <c r="S7617" s="2"/>
      <c r="T7617" s="2"/>
      <c r="U7617" s="2"/>
      <c r="V7617" s="2"/>
      <c r="W7617" s="2"/>
    </row>
    <row r="7618" spans="1:23" x14ac:dyDescent="0.25">
      <c r="A7618" s="2"/>
      <c r="B7618" s="2"/>
      <c r="C7618" s="1"/>
      <c r="D7618" s="2"/>
      <c r="E7618" s="2"/>
      <c r="F7618" s="2"/>
      <c r="G7618" s="2"/>
      <c r="H7618" s="2"/>
      <c r="I7618" s="2"/>
      <c r="J7618" s="2"/>
      <c r="K7618" s="2"/>
      <c r="L7618" s="2"/>
      <c r="M7618" s="2"/>
      <c r="N7618" s="2"/>
      <c r="O7618" s="2"/>
      <c r="P7618" s="2"/>
      <c r="Q7618" s="2"/>
      <c r="R7618" s="2"/>
      <c r="S7618" s="2"/>
      <c r="T7618" s="2"/>
      <c r="U7618" s="2"/>
      <c r="V7618" s="2"/>
      <c r="W7618" s="2"/>
    </row>
    <row r="7619" spans="1:23" x14ac:dyDescent="0.25">
      <c r="A7619" s="2"/>
      <c r="B7619" s="2"/>
      <c r="C7619" s="1"/>
      <c r="D7619" s="2"/>
      <c r="E7619" s="2"/>
      <c r="F7619" s="2"/>
      <c r="G7619" s="2"/>
      <c r="H7619" s="2"/>
      <c r="I7619" s="2"/>
      <c r="J7619" s="2"/>
      <c r="K7619" s="2"/>
      <c r="L7619" s="2"/>
      <c r="M7619" s="2"/>
      <c r="N7619" s="2"/>
      <c r="O7619" s="2"/>
      <c r="P7619" s="2"/>
      <c r="Q7619" s="2"/>
      <c r="R7619" s="2"/>
      <c r="S7619" s="2"/>
      <c r="T7619" s="2"/>
      <c r="U7619" s="2"/>
      <c r="V7619" s="2"/>
      <c r="W7619" s="2"/>
    </row>
    <row r="7620" spans="1:23" x14ac:dyDescent="0.25">
      <c r="A7620" s="2"/>
      <c r="B7620" s="2"/>
      <c r="C7620" s="1"/>
      <c r="D7620" s="2"/>
      <c r="E7620" s="2"/>
      <c r="F7620" s="2"/>
      <c r="G7620" s="2"/>
      <c r="H7620" s="2"/>
      <c r="I7620" s="2"/>
      <c r="J7620" s="2"/>
      <c r="K7620" s="2"/>
      <c r="L7620" s="2"/>
      <c r="M7620" s="2"/>
      <c r="N7620" s="2"/>
      <c r="O7620" s="2"/>
      <c r="P7620" s="2"/>
      <c r="Q7620" s="2"/>
      <c r="R7620" s="2"/>
      <c r="S7620" s="2"/>
      <c r="T7620" s="2"/>
      <c r="U7620" s="2"/>
      <c r="V7620" s="2"/>
      <c r="W7620" s="2"/>
    </row>
    <row r="7621" spans="1:23" x14ac:dyDescent="0.25">
      <c r="A7621" s="2"/>
      <c r="B7621" s="2"/>
      <c r="C7621" s="1"/>
      <c r="D7621" s="2"/>
      <c r="E7621" s="2"/>
      <c r="F7621" s="2"/>
      <c r="G7621" s="2"/>
      <c r="H7621" s="2"/>
      <c r="I7621" s="2"/>
      <c r="J7621" s="2"/>
      <c r="K7621" s="2"/>
      <c r="L7621" s="2"/>
      <c r="M7621" s="2"/>
      <c r="N7621" s="2"/>
      <c r="O7621" s="2"/>
      <c r="P7621" s="2"/>
      <c r="Q7621" s="2"/>
      <c r="R7621" s="2"/>
      <c r="S7621" s="2"/>
      <c r="T7621" s="2"/>
      <c r="U7621" s="2"/>
      <c r="V7621" s="2"/>
      <c r="W7621" s="2"/>
    </row>
    <row r="7622" spans="1:23" x14ac:dyDescent="0.25">
      <c r="A7622" s="2"/>
      <c r="B7622" s="2"/>
      <c r="C7622" s="1"/>
      <c r="D7622" s="2"/>
      <c r="E7622" s="2"/>
      <c r="F7622" s="2"/>
      <c r="G7622" s="2"/>
      <c r="H7622" s="2"/>
      <c r="I7622" s="2"/>
      <c r="J7622" s="2"/>
      <c r="K7622" s="2"/>
      <c r="L7622" s="2"/>
      <c r="M7622" s="2"/>
      <c r="N7622" s="2"/>
      <c r="O7622" s="2"/>
      <c r="P7622" s="2"/>
      <c r="Q7622" s="2"/>
      <c r="R7622" s="2"/>
      <c r="S7622" s="2"/>
      <c r="T7622" s="2"/>
      <c r="U7622" s="2"/>
      <c r="V7622" s="2"/>
      <c r="W7622" s="2"/>
    </row>
    <row r="7623" spans="1:23" x14ac:dyDescent="0.25">
      <c r="A7623" s="2"/>
      <c r="B7623" s="2"/>
      <c r="C7623" s="1"/>
      <c r="D7623" s="2"/>
      <c r="E7623" s="2"/>
      <c r="F7623" s="2"/>
      <c r="G7623" s="2"/>
      <c r="H7623" s="2"/>
      <c r="I7623" s="2"/>
      <c r="J7623" s="2"/>
      <c r="K7623" s="2"/>
      <c r="L7623" s="2"/>
      <c r="M7623" s="2"/>
      <c r="N7623" s="2"/>
      <c r="O7623" s="2"/>
      <c r="P7623" s="2"/>
      <c r="Q7623" s="2"/>
      <c r="R7623" s="2"/>
      <c r="S7623" s="2"/>
      <c r="T7623" s="2"/>
      <c r="U7623" s="2"/>
      <c r="V7623" s="2"/>
      <c r="W7623" s="2"/>
    </row>
    <row r="7624" spans="1:23" x14ac:dyDescent="0.25">
      <c r="A7624" s="2"/>
      <c r="B7624" s="2"/>
      <c r="C7624" s="1"/>
      <c r="D7624" s="2"/>
      <c r="E7624" s="2"/>
      <c r="F7624" s="2"/>
      <c r="G7624" s="2"/>
      <c r="H7624" s="2"/>
      <c r="I7624" s="2"/>
      <c r="J7624" s="2"/>
      <c r="K7624" s="2"/>
      <c r="L7624" s="2"/>
      <c r="M7624" s="2"/>
      <c r="N7624" s="2"/>
      <c r="O7624" s="2"/>
      <c r="P7624" s="2"/>
      <c r="Q7624" s="2"/>
      <c r="R7624" s="2"/>
      <c r="S7624" s="2"/>
      <c r="T7624" s="2"/>
      <c r="U7624" s="2"/>
      <c r="V7624" s="2"/>
      <c r="W7624" s="2"/>
    </row>
    <row r="7625" spans="1:23" x14ac:dyDescent="0.25">
      <c r="A7625" s="2"/>
      <c r="B7625" s="2"/>
      <c r="C7625" s="1"/>
      <c r="D7625" s="2"/>
      <c r="E7625" s="2"/>
      <c r="F7625" s="2"/>
      <c r="G7625" s="2"/>
      <c r="H7625" s="2"/>
      <c r="I7625" s="2"/>
      <c r="J7625" s="2"/>
      <c r="K7625" s="2"/>
      <c r="L7625" s="2"/>
      <c r="M7625" s="2"/>
      <c r="N7625" s="2"/>
      <c r="O7625" s="2"/>
      <c r="P7625" s="2"/>
      <c r="Q7625" s="2"/>
      <c r="R7625" s="2"/>
      <c r="S7625" s="2"/>
      <c r="T7625" s="2"/>
      <c r="U7625" s="2"/>
      <c r="V7625" s="2"/>
      <c r="W7625" s="2"/>
    </row>
    <row r="7626" spans="1:23" x14ac:dyDescent="0.25">
      <c r="A7626" s="2"/>
      <c r="B7626" s="2"/>
      <c r="C7626" s="1"/>
      <c r="D7626" s="2"/>
      <c r="E7626" s="2"/>
      <c r="F7626" s="2"/>
      <c r="G7626" s="2"/>
      <c r="H7626" s="2"/>
      <c r="I7626" s="2"/>
      <c r="J7626" s="2"/>
      <c r="K7626" s="2"/>
      <c r="L7626" s="2"/>
      <c r="M7626" s="2"/>
      <c r="N7626" s="2"/>
      <c r="O7626" s="2"/>
      <c r="P7626" s="2"/>
      <c r="Q7626" s="2"/>
      <c r="R7626" s="2"/>
      <c r="S7626" s="2"/>
      <c r="T7626" s="2"/>
      <c r="U7626" s="2"/>
      <c r="V7626" s="2"/>
      <c r="W7626" s="2"/>
    </row>
    <row r="7627" spans="1:23" x14ac:dyDescent="0.25">
      <c r="A7627" s="2"/>
      <c r="B7627" s="2"/>
      <c r="C7627" s="1"/>
      <c r="D7627" s="2"/>
      <c r="E7627" s="2"/>
      <c r="F7627" s="2"/>
      <c r="G7627" s="2"/>
      <c r="H7627" s="2"/>
      <c r="I7627" s="2"/>
      <c r="J7627" s="2"/>
      <c r="K7627" s="2"/>
      <c r="L7627" s="2"/>
      <c r="M7627" s="2"/>
      <c r="N7627" s="2"/>
      <c r="O7627" s="2"/>
      <c r="P7627" s="2"/>
      <c r="Q7627" s="2"/>
      <c r="R7627" s="2"/>
      <c r="S7627" s="2"/>
      <c r="T7627" s="2"/>
      <c r="U7627" s="2"/>
      <c r="V7627" s="2"/>
      <c r="W7627" s="2"/>
    </row>
    <row r="7628" spans="1:23" x14ac:dyDescent="0.25">
      <c r="A7628" s="2"/>
      <c r="B7628" s="2"/>
      <c r="C7628" s="1"/>
      <c r="D7628" s="2"/>
      <c r="E7628" s="2"/>
      <c r="F7628" s="2"/>
      <c r="G7628" s="2"/>
      <c r="H7628" s="2"/>
      <c r="I7628" s="2"/>
      <c r="J7628" s="2"/>
      <c r="K7628" s="2"/>
      <c r="L7628" s="2"/>
      <c r="M7628" s="2"/>
      <c r="N7628" s="2"/>
      <c r="O7628" s="2"/>
      <c r="P7628" s="2"/>
      <c r="Q7628" s="2"/>
      <c r="R7628" s="2"/>
      <c r="S7628" s="2"/>
      <c r="T7628" s="2"/>
      <c r="U7628" s="2"/>
      <c r="V7628" s="2"/>
      <c r="W7628" s="2"/>
    </row>
    <row r="7629" spans="1:23" x14ac:dyDescent="0.25">
      <c r="A7629" s="2"/>
      <c r="B7629" s="2"/>
      <c r="C7629" s="1"/>
      <c r="D7629" s="2"/>
      <c r="E7629" s="2"/>
      <c r="F7629" s="2"/>
      <c r="G7629" s="2"/>
      <c r="H7629" s="2"/>
      <c r="I7629" s="2"/>
      <c r="J7629" s="2"/>
      <c r="K7629" s="2"/>
      <c r="L7629" s="2"/>
      <c r="M7629" s="2"/>
      <c r="N7629" s="2"/>
      <c r="O7629" s="2"/>
      <c r="P7629" s="2"/>
      <c r="Q7629" s="2"/>
      <c r="R7629" s="2"/>
      <c r="S7629" s="2"/>
      <c r="T7629" s="2"/>
      <c r="U7629" s="2"/>
      <c r="V7629" s="2"/>
      <c r="W7629" s="2"/>
    </row>
    <row r="7630" spans="1:23" x14ac:dyDescent="0.25">
      <c r="A7630" s="2"/>
      <c r="B7630" s="2"/>
      <c r="C7630" s="1"/>
      <c r="D7630" s="2"/>
      <c r="E7630" s="2"/>
      <c r="F7630" s="2"/>
      <c r="G7630" s="2"/>
      <c r="H7630" s="2"/>
      <c r="I7630" s="2"/>
      <c r="J7630" s="2"/>
      <c r="K7630" s="2"/>
      <c r="L7630" s="2"/>
      <c r="M7630" s="2"/>
      <c r="N7630" s="2"/>
      <c r="O7630" s="2"/>
      <c r="P7630" s="2"/>
      <c r="Q7630" s="2"/>
      <c r="R7630" s="2"/>
      <c r="S7630" s="2"/>
      <c r="T7630" s="2"/>
      <c r="U7630" s="2"/>
      <c r="V7630" s="2"/>
      <c r="W7630" s="2"/>
    </row>
    <row r="7631" spans="1:23" x14ac:dyDescent="0.25">
      <c r="A7631" s="2"/>
      <c r="B7631" s="2"/>
      <c r="C7631" s="1"/>
      <c r="D7631" s="2"/>
      <c r="E7631" s="2"/>
      <c r="F7631" s="2"/>
      <c r="G7631" s="2"/>
      <c r="H7631" s="2"/>
      <c r="I7631" s="2"/>
      <c r="J7631" s="2"/>
      <c r="K7631" s="2"/>
      <c r="L7631" s="2"/>
      <c r="M7631" s="2"/>
      <c r="N7631" s="2"/>
      <c r="O7631" s="2"/>
      <c r="P7631" s="2"/>
      <c r="Q7631" s="2"/>
      <c r="R7631" s="2"/>
      <c r="S7631" s="2"/>
      <c r="T7631" s="2"/>
      <c r="U7631" s="2"/>
      <c r="V7631" s="2"/>
      <c r="W7631" s="2"/>
    </row>
    <row r="7632" spans="1:23" x14ac:dyDescent="0.25">
      <c r="A7632" s="2"/>
      <c r="B7632" s="2"/>
      <c r="C7632" s="1"/>
      <c r="D7632" s="2"/>
      <c r="E7632" s="2"/>
      <c r="F7632" s="2"/>
      <c r="G7632" s="2"/>
      <c r="H7632" s="2"/>
      <c r="I7632" s="2"/>
      <c r="J7632" s="2"/>
      <c r="K7632" s="2"/>
      <c r="L7632" s="2"/>
      <c r="M7632" s="2"/>
      <c r="N7632" s="2"/>
      <c r="O7632" s="2"/>
      <c r="P7632" s="2"/>
      <c r="Q7632" s="2"/>
      <c r="R7632" s="2"/>
      <c r="S7632" s="2"/>
      <c r="T7632" s="2"/>
      <c r="U7632" s="2"/>
      <c r="V7632" s="2"/>
      <c r="W7632" s="2"/>
    </row>
    <row r="7633" spans="1:23" x14ac:dyDescent="0.25">
      <c r="A7633" s="2"/>
      <c r="B7633" s="2"/>
      <c r="C7633" s="1"/>
      <c r="D7633" s="2"/>
      <c r="E7633" s="2"/>
      <c r="F7633" s="2"/>
      <c r="G7633" s="2"/>
      <c r="H7633" s="2"/>
      <c r="I7633" s="2"/>
      <c r="J7633" s="2"/>
      <c r="K7633" s="2"/>
      <c r="L7633" s="2"/>
      <c r="M7633" s="2"/>
      <c r="N7633" s="2"/>
      <c r="O7633" s="2"/>
      <c r="P7633" s="2"/>
      <c r="Q7633" s="2"/>
      <c r="R7633" s="2"/>
      <c r="S7633" s="2"/>
      <c r="T7633" s="2"/>
      <c r="U7633" s="2"/>
      <c r="V7633" s="2"/>
      <c r="W7633" s="2"/>
    </row>
    <row r="7634" spans="1:23" x14ac:dyDescent="0.25">
      <c r="A7634" s="2"/>
      <c r="B7634" s="2"/>
      <c r="C7634" s="1"/>
      <c r="D7634" s="2"/>
      <c r="E7634" s="2"/>
      <c r="F7634" s="2"/>
      <c r="G7634" s="2"/>
      <c r="H7634" s="2"/>
      <c r="I7634" s="2"/>
      <c r="J7634" s="2"/>
      <c r="K7634" s="2"/>
      <c r="L7634" s="2"/>
      <c r="M7634" s="2"/>
      <c r="N7634" s="2"/>
      <c r="O7634" s="2"/>
      <c r="P7634" s="2"/>
      <c r="Q7634" s="2"/>
      <c r="R7634" s="2"/>
      <c r="S7634" s="2"/>
      <c r="T7634" s="2"/>
      <c r="U7634" s="2"/>
      <c r="V7634" s="2"/>
      <c r="W7634" s="2"/>
    </row>
    <row r="7635" spans="1:23" x14ac:dyDescent="0.25">
      <c r="A7635" s="2"/>
      <c r="B7635" s="2"/>
      <c r="C7635" s="1"/>
      <c r="D7635" s="2"/>
      <c r="E7635" s="2"/>
      <c r="F7635" s="2"/>
      <c r="G7635" s="2"/>
      <c r="H7635" s="2"/>
      <c r="I7635" s="2"/>
      <c r="J7635" s="2"/>
      <c r="K7635" s="2"/>
      <c r="L7635" s="2"/>
      <c r="M7635" s="2"/>
      <c r="N7635" s="2"/>
      <c r="O7635" s="2"/>
      <c r="P7635" s="2"/>
      <c r="Q7635" s="2"/>
      <c r="R7635" s="2"/>
      <c r="S7635" s="2"/>
      <c r="T7635" s="2"/>
      <c r="U7635" s="2"/>
      <c r="V7635" s="2"/>
      <c r="W7635" s="2"/>
    </row>
    <row r="7636" spans="1:23" x14ac:dyDescent="0.25">
      <c r="A7636" s="2"/>
      <c r="B7636" s="2"/>
      <c r="C7636" s="1"/>
      <c r="D7636" s="2"/>
      <c r="E7636" s="2"/>
      <c r="F7636" s="2"/>
      <c r="G7636" s="2"/>
      <c r="H7636" s="2"/>
      <c r="I7636" s="2"/>
      <c r="J7636" s="2"/>
      <c r="K7636" s="2"/>
      <c r="L7636" s="2"/>
      <c r="M7636" s="2"/>
      <c r="N7636" s="2"/>
      <c r="O7636" s="2"/>
      <c r="P7636" s="2"/>
      <c r="Q7636" s="2"/>
      <c r="R7636" s="2"/>
      <c r="S7636" s="2"/>
      <c r="T7636" s="2"/>
      <c r="U7636" s="2"/>
      <c r="V7636" s="2"/>
      <c r="W7636" s="2"/>
    </row>
    <row r="7637" spans="1:23" x14ac:dyDescent="0.25">
      <c r="A7637" s="2"/>
      <c r="B7637" s="2"/>
      <c r="C7637" s="1"/>
      <c r="D7637" s="2"/>
      <c r="E7637" s="2"/>
      <c r="F7637" s="2"/>
      <c r="G7637" s="2"/>
      <c r="H7637" s="2"/>
      <c r="I7637" s="2"/>
      <c r="J7637" s="2"/>
      <c r="K7637" s="2"/>
      <c r="L7637" s="2"/>
      <c r="M7637" s="2"/>
      <c r="N7637" s="2"/>
      <c r="O7637" s="2"/>
      <c r="P7637" s="2"/>
      <c r="Q7637" s="2"/>
      <c r="R7637" s="2"/>
      <c r="S7637" s="2"/>
      <c r="T7637" s="2"/>
      <c r="U7637" s="2"/>
      <c r="V7637" s="2"/>
      <c r="W7637" s="2"/>
    </row>
    <row r="7638" spans="1:23" x14ac:dyDescent="0.25">
      <c r="A7638" s="2"/>
      <c r="B7638" s="2"/>
      <c r="C7638" s="1"/>
      <c r="D7638" s="2"/>
      <c r="E7638" s="2"/>
      <c r="F7638" s="2"/>
      <c r="G7638" s="2"/>
      <c r="H7638" s="2"/>
      <c r="I7638" s="2"/>
      <c r="J7638" s="2"/>
      <c r="K7638" s="2"/>
      <c r="L7638" s="2"/>
      <c r="M7638" s="2"/>
      <c r="N7638" s="2"/>
      <c r="O7638" s="2"/>
      <c r="P7638" s="2"/>
      <c r="Q7638" s="2"/>
      <c r="R7638" s="2"/>
      <c r="S7638" s="2"/>
      <c r="T7638" s="2"/>
      <c r="U7638" s="2"/>
      <c r="V7638" s="2"/>
      <c r="W7638" s="2"/>
    </row>
    <row r="7639" spans="1:23" x14ac:dyDescent="0.25">
      <c r="A7639" s="2"/>
      <c r="B7639" s="2"/>
      <c r="C7639" s="1"/>
      <c r="D7639" s="2"/>
      <c r="E7639" s="2"/>
      <c r="F7639" s="2"/>
      <c r="G7639" s="2"/>
      <c r="H7639" s="2"/>
      <c r="I7639" s="2"/>
      <c r="J7639" s="2"/>
      <c r="K7639" s="2"/>
      <c r="L7639" s="2"/>
      <c r="M7639" s="2"/>
      <c r="N7639" s="2"/>
      <c r="O7639" s="2"/>
      <c r="P7639" s="2"/>
      <c r="Q7639" s="2"/>
      <c r="R7639" s="2"/>
      <c r="S7639" s="2"/>
      <c r="T7639" s="2"/>
      <c r="U7639" s="2"/>
      <c r="V7639" s="2"/>
      <c r="W7639" s="2"/>
    </row>
    <row r="7640" spans="1:23" x14ac:dyDescent="0.25">
      <c r="A7640" s="2"/>
      <c r="B7640" s="2"/>
      <c r="C7640" s="1"/>
      <c r="D7640" s="2"/>
      <c r="E7640" s="2"/>
      <c r="F7640" s="2"/>
      <c r="G7640" s="2"/>
      <c r="H7640" s="2"/>
      <c r="I7640" s="2"/>
      <c r="J7640" s="2"/>
      <c r="K7640" s="2"/>
      <c r="L7640" s="2"/>
      <c r="M7640" s="2"/>
      <c r="N7640" s="2"/>
      <c r="O7640" s="2"/>
      <c r="P7640" s="2"/>
      <c r="Q7640" s="2"/>
      <c r="R7640" s="2"/>
      <c r="S7640" s="2"/>
      <c r="T7640" s="2"/>
      <c r="U7640" s="2"/>
      <c r="V7640" s="2"/>
      <c r="W7640" s="2"/>
    </row>
    <row r="7641" spans="1:23" x14ac:dyDescent="0.25">
      <c r="A7641" s="2"/>
      <c r="B7641" s="2"/>
      <c r="C7641" s="1"/>
      <c r="D7641" s="2"/>
      <c r="E7641" s="2"/>
      <c r="F7641" s="2"/>
      <c r="G7641" s="2"/>
      <c r="H7641" s="2"/>
      <c r="I7641" s="2"/>
      <c r="J7641" s="2"/>
      <c r="K7641" s="2"/>
      <c r="L7641" s="2"/>
      <c r="M7641" s="2"/>
      <c r="N7641" s="2"/>
      <c r="O7641" s="2"/>
      <c r="P7641" s="2"/>
      <c r="Q7641" s="2"/>
      <c r="R7641" s="2"/>
      <c r="S7641" s="2"/>
      <c r="T7641" s="2"/>
      <c r="U7641" s="2"/>
      <c r="V7641" s="2"/>
      <c r="W7641" s="2"/>
    </row>
    <row r="7642" spans="1:23" x14ac:dyDescent="0.25">
      <c r="A7642" s="2"/>
      <c r="B7642" s="2"/>
      <c r="C7642" s="1"/>
      <c r="D7642" s="2"/>
      <c r="E7642" s="2"/>
      <c r="F7642" s="2"/>
      <c r="G7642" s="2"/>
      <c r="H7642" s="2"/>
      <c r="I7642" s="2"/>
      <c r="J7642" s="2"/>
      <c r="K7642" s="2"/>
      <c r="L7642" s="2"/>
      <c r="M7642" s="2"/>
      <c r="N7642" s="2"/>
      <c r="O7642" s="2"/>
      <c r="P7642" s="2"/>
      <c r="Q7642" s="2"/>
      <c r="R7642" s="2"/>
      <c r="S7642" s="2"/>
      <c r="T7642" s="2"/>
      <c r="U7642" s="2"/>
      <c r="V7642" s="2"/>
      <c r="W7642" s="2"/>
    </row>
    <row r="7643" spans="1:23" x14ac:dyDescent="0.25">
      <c r="A7643" s="2"/>
      <c r="B7643" s="2"/>
      <c r="C7643" s="1"/>
      <c r="D7643" s="2"/>
      <c r="E7643" s="2"/>
      <c r="F7643" s="2"/>
      <c r="G7643" s="2"/>
      <c r="H7643" s="2"/>
      <c r="I7643" s="2"/>
      <c r="J7643" s="2"/>
      <c r="K7643" s="2"/>
      <c r="L7643" s="2"/>
      <c r="M7643" s="2"/>
      <c r="N7643" s="2"/>
      <c r="O7643" s="2"/>
      <c r="P7643" s="2"/>
      <c r="Q7643" s="2"/>
      <c r="R7643" s="2"/>
      <c r="S7643" s="2"/>
      <c r="T7643" s="2"/>
      <c r="U7643" s="2"/>
      <c r="V7643" s="2"/>
      <c r="W7643" s="2"/>
    </row>
    <row r="7644" spans="1:23" x14ac:dyDescent="0.25">
      <c r="A7644" s="2"/>
      <c r="B7644" s="2"/>
      <c r="C7644" s="1"/>
      <c r="D7644" s="2"/>
      <c r="E7644" s="2"/>
      <c r="F7644" s="2"/>
      <c r="G7644" s="2"/>
      <c r="H7644" s="2"/>
      <c r="I7644" s="2"/>
      <c r="J7644" s="2"/>
      <c r="K7644" s="2"/>
      <c r="L7644" s="2"/>
      <c r="M7644" s="2"/>
      <c r="N7644" s="2"/>
      <c r="O7644" s="2"/>
      <c r="P7644" s="2"/>
      <c r="Q7644" s="2"/>
      <c r="R7644" s="2"/>
      <c r="S7644" s="2"/>
      <c r="T7644" s="2"/>
      <c r="U7644" s="2"/>
      <c r="V7644" s="2"/>
      <c r="W7644" s="2"/>
    </row>
    <row r="7645" spans="1:23" x14ac:dyDescent="0.25">
      <c r="A7645" s="2"/>
      <c r="B7645" s="2"/>
      <c r="C7645" s="1"/>
      <c r="D7645" s="2"/>
      <c r="E7645" s="2"/>
      <c r="F7645" s="2"/>
      <c r="G7645" s="2"/>
      <c r="H7645" s="2"/>
      <c r="I7645" s="2"/>
      <c r="J7645" s="2"/>
      <c r="K7645" s="2"/>
      <c r="L7645" s="2"/>
      <c r="M7645" s="2"/>
      <c r="N7645" s="2"/>
      <c r="O7645" s="2"/>
      <c r="P7645" s="2"/>
      <c r="Q7645" s="2"/>
      <c r="R7645" s="2"/>
      <c r="S7645" s="2"/>
      <c r="T7645" s="2"/>
      <c r="U7645" s="2"/>
      <c r="V7645" s="2"/>
      <c r="W7645" s="2"/>
    </row>
    <row r="7646" spans="1:23" x14ac:dyDescent="0.25">
      <c r="A7646" s="2"/>
      <c r="B7646" s="2"/>
      <c r="C7646" s="1"/>
      <c r="D7646" s="2"/>
      <c r="E7646" s="2"/>
      <c r="F7646" s="2"/>
      <c r="G7646" s="2"/>
      <c r="H7646" s="2"/>
      <c r="I7646" s="2"/>
      <c r="J7646" s="2"/>
      <c r="K7646" s="2"/>
      <c r="L7646" s="2"/>
      <c r="M7646" s="2"/>
      <c r="N7646" s="2"/>
      <c r="O7646" s="2"/>
      <c r="P7646" s="2"/>
      <c r="Q7646" s="2"/>
      <c r="R7646" s="2"/>
      <c r="S7646" s="2"/>
      <c r="T7646" s="2"/>
      <c r="U7646" s="2"/>
      <c r="V7646" s="2"/>
      <c r="W7646" s="2"/>
    </row>
    <row r="7647" spans="1:23" x14ac:dyDescent="0.25">
      <c r="A7647" s="2"/>
      <c r="B7647" s="2"/>
      <c r="C7647" s="1"/>
      <c r="D7647" s="2"/>
      <c r="E7647" s="2"/>
      <c r="F7647" s="2"/>
      <c r="G7647" s="2"/>
      <c r="H7647" s="2"/>
      <c r="I7647" s="2"/>
      <c r="J7647" s="2"/>
      <c r="K7647" s="2"/>
      <c r="L7647" s="2"/>
      <c r="M7647" s="2"/>
      <c r="N7647" s="2"/>
      <c r="O7647" s="2"/>
      <c r="P7647" s="2"/>
      <c r="Q7647" s="2"/>
      <c r="R7647" s="2"/>
      <c r="S7647" s="2"/>
      <c r="T7647" s="2"/>
      <c r="U7647" s="2"/>
      <c r="V7647" s="2"/>
      <c r="W7647" s="2"/>
    </row>
    <row r="7648" spans="1:23" x14ac:dyDescent="0.25">
      <c r="A7648" s="2"/>
      <c r="B7648" s="2"/>
      <c r="C7648" s="1"/>
      <c r="D7648" s="2"/>
      <c r="E7648" s="2"/>
      <c r="F7648" s="2"/>
      <c r="G7648" s="2"/>
      <c r="H7648" s="2"/>
      <c r="I7648" s="2"/>
      <c r="J7648" s="2"/>
      <c r="K7648" s="2"/>
      <c r="L7648" s="2"/>
      <c r="M7648" s="2"/>
      <c r="N7648" s="2"/>
      <c r="O7648" s="2"/>
      <c r="P7648" s="2"/>
      <c r="Q7648" s="2"/>
      <c r="R7648" s="2"/>
      <c r="S7648" s="2"/>
      <c r="T7648" s="2"/>
      <c r="U7648" s="2"/>
      <c r="V7648" s="2"/>
      <c r="W7648" s="2"/>
    </row>
    <row r="7649" spans="1:23" x14ac:dyDescent="0.25">
      <c r="A7649" s="2"/>
      <c r="B7649" s="2"/>
      <c r="C7649" s="1"/>
      <c r="D7649" s="2"/>
      <c r="E7649" s="2"/>
      <c r="F7649" s="2"/>
      <c r="G7649" s="2"/>
      <c r="H7649" s="2"/>
      <c r="I7649" s="2"/>
      <c r="J7649" s="2"/>
      <c r="K7649" s="2"/>
      <c r="L7649" s="2"/>
      <c r="M7649" s="2"/>
      <c r="N7649" s="2"/>
      <c r="O7649" s="2"/>
      <c r="P7649" s="2"/>
      <c r="Q7649" s="2"/>
      <c r="R7649" s="2"/>
      <c r="S7649" s="2"/>
      <c r="T7649" s="2"/>
      <c r="U7649" s="2"/>
      <c r="V7649" s="2"/>
      <c r="W7649" s="2"/>
    </row>
    <row r="7650" spans="1:23" x14ac:dyDescent="0.25">
      <c r="A7650" s="2"/>
      <c r="B7650" s="2"/>
      <c r="C7650" s="1"/>
      <c r="D7650" s="2"/>
      <c r="E7650" s="2"/>
      <c r="F7650" s="2"/>
      <c r="G7650" s="2"/>
      <c r="H7650" s="2"/>
      <c r="I7650" s="2"/>
      <c r="J7650" s="2"/>
      <c r="K7650" s="2"/>
      <c r="L7650" s="2"/>
      <c r="M7650" s="2"/>
      <c r="N7650" s="2"/>
      <c r="O7650" s="2"/>
      <c r="P7650" s="2"/>
      <c r="Q7650" s="2"/>
      <c r="R7650" s="2"/>
      <c r="S7650" s="2"/>
      <c r="T7650" s="2"/>
      <c r="U7650" s="2"/>
      <c r="V7650" s="2"/>
      <c r="W7650" s="2"/>
    </row>
    <row r="7651" spans="1:23" x14ac:dyDescent="0.25">
      <c r="A7651" s="2"/>
      <c r="B7651" s="2"/>
      <c r="C7651" s="1"/>
      <c r="D7651" s="2"/>
      <c r="E7651" s="2"/>
      <c r="F7651" s="2"/>
      <c r="G7651" s="2"/>
      <c r="H7651" s="2"/>
      <c r="I7651" s="2"/>
      <c r="J7651" s="2"/>
      <c r="K7651" s="2"/>
      <c r="L7651" s="2"/>
      <c r="M7651" s="2"/>
      <c r="N7651" s="2"/>
      <c r="O7651" s="2"/>
      <c r="P7651" s="2"/>
      <c r="Q7651" s="2"/>
      <c r="R7651" s="2"/>
      <c r="S7651" s="2"/>
      <c r="T7651" s="2"/>
      <c r="U7651" s="2"/>
      <c r="V7651" s="2"/>
      <c r="W7651" s="2"/>
    </row>
    <row r="7652" spans="1:23" x14ac:dyDescent="0.25">
      <c r="A7652" s="2"/>
      <c r="B7652" s="2"/>
      <c r="C7652" s="1"/>
      <c r="D7652" s="2"/>
      <c r="E7652" s="2"/>
      <c r="F7652" s="2"/>
      <c r="G7652" s="2"/>
      <c r="H7652" s="2"/>
      <c r="I7652" s="2"/>
      <c r="J7652" s="2"/>
      <c r="K7652" s="2"/>
      <c r="L7652" s="2"/>
      <c r="M7652" s="2"/>
      <c r="N7652" s="2"/>
      <c r="O7652" s="2"/>
      <c r="P7652" s="2"/>
      <c r="Q7652" s="2"/>
      <c r="R7652" s="2"/>
      <c r="S7652" s="2"/>
      <c r="T7652" s="2"/>
      <c r="U7652" s="2"/>
      <c r="V7652" s="2"/>
      <c r="W7652" s="2"/>
    </row>
    <row r="7653" spans="1:23" x14ac:dyDescent="0.25">
      <c r="A7653" s="2"/>
      <c r="B7653" s="2"/>
      <c r="C7653" s="1"/>
      <c r="D7653" s="2"/>
      <c r="E7653" s="2"/>
      <c r="F7653" s="2"/>
      <c r="G7653" s="2"/>
      <c r="H7653" s="2"/>
      <c r="I7653" s="2"/>
      <c r="J7653" s="2"/>
      <c r="K7653" s="2"/>
      <c r="L7653" s="2"/>
      <c r="M7653" s="2"/>
      <c r="N7653" s="2"/>
      <c r="O7653" s="2"/>
      <c r="P7653" s="2"/>
      <c r="Q7653" s="2"/>
      <c r="R7653" s="2"/>
      <c r="S7653" s="2"/>
      <c r="T7653" s="2"/>
      <c r="U7653" s="2"/>
      <c r="V7653" s="2"/>
      <c r="W7653" s="2"/>
    </row>
    <row r="7654" spans="1:23" x14ac:dyDescent="0.25">
      <c r="A7654" s="2"/>
      <c r="B7654" s="2"/>
      <c r="C7654" s="1"/>
      <c r="D7654" s="2"/>
      <c r="E7654" s="2"/>
      <c r="F7654" s="2"/>
      <c r="G7654" s="2"/>
      <c r="H7654" s="2"/>
      <c r="I7654" s="2"/>
      <c r="J7654" s="2"/>
      <c r="K7654" s="2"/>
      <c r="L7654" s="2"/>
      <c r="M7654" s="2"/>
      <c r="N7654" s="2"/>
      <c r="O7654" s="2"/>
      <c r="P7654" s="2"/>
      <c r="Q7654" s="2"/>
      <c r="R7654" s="2"/>
      <c r="S7654" s="2"/>
      <c r="T7654" s="2"/>
      <c r="U7654" s="2"/>
      <c r="V7654" s="2"/>
      <c r="W7654" s="2"/>
    </row>
    <row r="7655" spans="1:23" x14ac:dyDescent="0.25">
      <c r="A7655" s="2"/>
      <c r="B7655" s="2"/>
      <c r="C7655" s="1"/>
      <c r="D7655" s="2"/>
      <c r="E7655" s="2"/>
      <c r="F7655" s="2"/>
      <c r="G7655" s="2"/>
      <c r="H7655" s="2"/>
      <c r="I7655" s="2"/>
      <c r="J7655" s="2"/>
      <c r="K7655" s="2"/>
      <c r="L7655" s="2"/>
      <c r="M7655" s="2"/>
      <c r="N7655" s="2"/>
      <c r="O7655" s="2"/>
      <c r="P7655" s="2"/>
      <c r="Q7655" s="2"/>
      <c r="R7655" s="2"/>
      <c r="S7655" s="2"/>
      <c r="T7655" s="2"/>
      <c r="U7655" s="2"/>
      <c r="V7655" s="2"/>
      <c r="W7655" s="2"/>
    </row>
    <row r="7656" spans="1:23" x14ac:dyDescent="0.25">
      <c r="A7656" s="2"/>
      <c r="B7656" s="2"/>
      <c r="C7656" s="1"/>
      <c r="D7656" s="2"/>
      <c r="E7656" s="2"/>
      <c r="F7656" s="2"/>
      <c r="G7656" s="2"/>
      <c r="H7656" s="2"/>
      <c r="I7656" s="2"/>
      <c r="J7656" s="2"/>
      <c r="K7656" s="2"/>
      <c r="L7656" s="2"/>
      <c r="M7656" s="2"/>
      <c r="N7656" s="2"/>
      <c r="O7656" s="2"/>
      <c r="P7656" s="2"/>
      <c r="Q7656" s="2"/>
      <c r="R7656" s="2"/>
      <c r="S7656" s="2"/>
      <c r="T7656" s="2"/>
      <c r="U7656" s="2"/>
      <c r="V7656" s="2"/>
      <c r="W7656" s="2"/>
    </row>
    <row r="7657" spans="1:23" x14ac:dyDescent="0.25">
      <c r="A7657" s="2"/>
      <c r="B7657" s="2"/>
      <c r="C7657" s="1"/>
      <c r="D7657" s="2"/>
      <c r="E7657" s="2"/>
      <c r="F7657" s="2"/>
      <c r="G7657" s="2"/>
      <c r="H7657" s="2"/>
      <c r="I7657" s="2"/>
      <c r="J7657" s="2"/>
      <c r="K7657" s="2"/>
      <c r="L7657" s="2"/>
      <c r="M7657" s="2"/>
      <c r="N7657" s="2"/>
      <c r="O7657" s="2"/>
      <c r="P7657" s="2"/>
      <c r="Q7657" s="2"/>
      <c r="R7657" s="2"/>
      <c r="S7657" s="2"/>
      <c r="T7657" s="2"/>
      <c r="U7657" s="2"/>
      <c r="V7657" s="2"/>
      <c r="W7657" s="2"/>
    </row>
    <row r="7658" spans="1:23" x14ac:dyDescent="0.25">
      <c r="A7658" s="2"/>
      <c r="B7658" s="2"/>
      <c r="C7658" s="1"/>
      <c r="D7658" s="2"/>
      <c r="E7658" s="2"/>
      <c r="F7658" s="2"/>
      <c r="G7658" s="2"/>
      <c r="H7658" s="2"/>
      <c r="I7658" s="2"/>
      <c r="J7658" s="2"/>
      <c r="K7658" s="2"/>
      <c r="L7658" s="2"/>
      <c r="M7658" s="2"/>
      <c r="N7658" s="2"/>
      <c r="O7658" s="2"/>
      <c r="P7658" s="2"/>
      <c r="Q7658" s="2"/>
      <c r="R7658" s="2"/>
      <c r="S7658" s="2"/>
      <c r="T7658" s="2"/>
      <c r="U7658" s="2"/>
      <c r="V7658" s="2"/>
      <c r="W7658" s="2"/>
    </row>
    <row r="7659" spans="1:23" x14ac:dyDescent="0.25">
      <c r="A7659" s="2"/>
      <c r="B7659" s="2"/>
      <c r="C7659" s="1"/>
      <c r="D7659" s="2"/>
      <c r="E7659" s="2"/>
      <c r="F7659" s="2"/>
      <c r="G7659" s="2"/>
      <c r="H7659" s="2"/>
      <c r="I7659" s="2"/>
      <c r="J7659" s="2"/>
      <c r="K7659" s="2"/>
      <c r="L7659" s="2"/>
      <c r="M7659" s="2"/>
      <c r="N7659" s="2"/>
      <c r="O7659" s="2"/>
      <c r="P7659" s="2"/>
      <c r="Q7659" s="2"/>
      <c r="R7659" s="2"/>
      <c r="S7659" s="2"/>
      <c r="T7659" s="2"/>
      <c r="U7659" s="2"/>
      <c r="V7659" s="2"/>
      <c r="W7659" s="2"/>
    </row>
    <row r="7660" spans="1:23" x14ac:dyDescent="0.25">
      <c r="A7660" s="2"/>
      <c r="B7660" s="2"/>
      <c r="C7660" s="1"/>
      <c r="D7660" s="2"/>
      <c r="E7660" s="2"/>
      <c r="F7660" s="2"/>
      <c r="G7660" s="2"/>
      <c r="H7660" s="2"/>
      <c r="I7660" s="2"/>
      <c r="J7660" s="2"/>
      <c r="K7660" s="2"/>
      <c r="L7660" s="2"/>
      <c r="M7660" s="2"/>
      <c r="N7660" s="2"/>
      <c r="O7660" s="2"/>
      <c r="P7660" s="2"/>
      <c r="Q7660" s="2"/>
      <c r="R7660" s="2"/>
      <c r="S7660" s="2"/>
      <c r="T7660" s="2"/>
      <c r="U7660" s="2"/>
      <c r="V7660" s="2"/>
      <c r="W7660" s="2"/>
    </row>
    <row r="7661" spans="1:23" x14ac:dyDescent="0.25">
      <c r="A7661" s="2"/>
      <c r="B7661" s="2"/>
      <c r="C7661" s="1"/>
      <c r="D7661" s="2"/>
      <c r="E7661" s="2"/>
      <c r="F7661" s="2"/>
      <c r="G7661" s="2"/>
      <c r="H7661" s="2"/>
      <c r="I7661" s="2"/>
      <c r="J7661" s="2"/>
      <c r="K7661" s="2"/>
      <c r="L7661" s="2"/>
      <c r="M7661" s="2"/>
      <c r="N7661" s="2"/>
      <c r="O7661" s="2"/>
      <c r="P7661" s="2"/>
      <c r="Q7661" s="2"/>
      <c r="R7661" s="2"/>
      <c r="S7661" s="2"/>
      <c r="T7661" s="2"/>
      <c r="U7661" s="2"/>
      <c r="V7661" s="2"/>
      <c r="W7661" s="2"/>
    </row>
    <row r="7662" spans="1:23" x14ac:dyDescent="0.25">
      <c r="A7662" s="2"/>
      <c r="B7662" s="2"/>
      <c r="C7662" s="1"/>
      <c r="D7662" s="2"/>
      <c r="E7662" s="2"/>
      <c r="F7662" s="2"/>
      <c r="G7662" s="2"/>
      <c r="H7662" s="2"/>
      <c r="I7662" s="2"/>
      <c r="J7662" s="2"/>
      <c r="K7662" s="2"/>
      <c r="L7662" s="2"/>
      <c r="M7662" s="2"/>
      <c r="N7662" s="2"/>
      <c r="O7662" s="2"/>
      <c r="P7662" s="2"/>
      <c r="Q7662" s="2"/>
      <c r="R7662" s="2"/>
      <c r="S7662" s="2"/>
      <c r="T7662" s="2"/>
      <c r="U7662" s="2"/>
      <c r="V7662" s="2"/>
      <c r="W7662" s="2"/>
    </row>
    <row r="7663" spans="1:23" x14ac:dyDescent="0.25">
      <c r="A7663" s="2"/>
      <c r="B7663" s="2"/>
      <c r="C7663" s="1"/>
      <c r="D7663" s="2"/>
      <c r="E7663" s="2"/>
      <c r="F7663" s="2"/>
      <c r="G7663" s="2"/>
      <c r="H7663" s="2"/>
      <c r="I7663" s="2"/>
      <c r="J7663" s="2"/>
      <c r="K7663" s="2"/>
      <c r="L7663" s="2"/>
      <c r="M7663" s="2"/>
      <c r="N7663" s="2"/>
      <c r="O7663" s="2"/>
      <c r="P7663" s="2"/>
      <c r="Q7663" s="2"/>
      <c r="R7663" s="2"/>
      <c r="S7663" s="2"/>
      <c r="T7663" s="2"/>
      <c r="U7663" s="2"/>
      <c r="V7663" s="2"/>
      <c r="W7663" s="2"/>
    </row>
    <row r="7664" spans="1:23" x14ac:dyDescent="0.25">
      <c r="A7664" s="2"/>
      <c r="B7664" s="2"/>
      <c r="C7664" s="1"/>
      <c r="D7664" s="2"/>
      <c r="E7664" s="2"/>
      <c r="F7664" s="2"/>
      <c r="G7664" s="2"/>
      <c r="H7664" s="2"/>
      <c r="I7664" s="2"/>
      <c r="J7664" s="2"/>
      <c r="K7664" s="2"/>
      <c r="L7664" s="2"/>
      <c r="M7664" s="2"/>
      <c r="N7664" s="2"/>
      <c r="O7664" s="2"/>
      <c r="P7664" s="2"/>
      <c r="Q7664" s="2"/>
      <c r="R7664" s="2"/>
      <c r="S7664" s="2"/>
      <c r="T7664" s="2"/>
      <c r="U7664" s="2"/>
      <c r="V7664" s="2"/>
      <c r="W7664" s="2"/>
    </row>
    <row r="7665" spans="1:23" x14ac:dyDescent="0.25">
      <c r="A7665" s="2"/>
      <c r="B7665" s="2"/>
      <c r="C7665" s="1"/>
      <c r="D7665" s="2"/>
      <c r="E7665" s="2"/>
      <c r="F7665" s="2"/>
      <c r="G7665" s="2"/>
      <c r="H7665" s="2"/>
      <c r="I7665" s="2"/>
      <c r="J7665" s="2"/>
      <c r="K7665" s="2"/>
      <c r="L7665" s="2"/>
      <c r="M7665" s="2"/>
      <c r="N7665" s="2"/>
      <c r="O7665" s="2"/>
      <c r="P7665" s="2"/>
      <c r="Q7665" s="2"/>
      <c r="R7665" s="2"/>
      <c r="S7665" s="2"/>
      <c r="T7665" s="2"/>
      <c r="U7665" s="2"/>
      <c r="V7665" s="2"/>
      <c r="W7665" s="2"/>
    </row>
    <row r="7666" spans="1:23" x14ac:dyDescent="0.25">
      <c r="A7666" s="2"/>
      <c r="B7666" s="2"/>
      <c r="C7666" s="1"/>
      <c r="D7666" s="2"/>
      <c r="E7666" s="2"/>
      <c r="F7666" s="2"/>
      <c r="G7666" s="2"/>
      <c r="H7666" s="2"/>
      <c r="I7666" s="2"/>
      <c r="J7666" s="2"/>
      <c r="K7666" s="2"/>
      <c r="L7666" s="2"/>
      <c r="M7666" s="2"/>
      <c r="N7666" s="2"/>
      <c r="O7666" s="2"/>
      <c r="P7666" s="2"/>
      <c r="Q7666" s="2"/>
      <c r="R7666" s="2"/>
      <c r="S7666" s="2"/>
      <c r="T7666" s="2"/>
      <c r="U7666" s="2"/>
      <c r="V7666" s="2"/>
      <c r="W7666" s="2"/>
    </row>
    <row r="7667" spans="1:23" x14ac:dyDescent="0.25">
      <c r="A7667" s="2"/>
      <c r="B7667" s="2"/>
      <c r="C7667" s="1"/>
      <c r="D7667" s="2"/>
      <c r="E7667" s="2"/>
      <c r="F7667" s="2"/>
      <c r="G7667" s="2"/>
      <c r="H7667" s="2"/>
      <c r="I7667" s="2"/>
      <c r="J7667" s="2"/>
      <c r="K7667" s="2"/>
      <c r="L7667" s="2"/>
      <c r="M7667" s="2"/>
      <c r="N7667" s="2"/>
      <c r="O7667" s="2"/>
      <c r="P7667" s="2"/>
      <c r="Q7667" s="2"/>
      <c r="R7667" s="2"/>
      <c r="S7667" s="2"/>
      <c r="T7667" s="2"/>
      <c r="U7667" s="2"/>
      <c r="V7667" s="2"/>
      <c r="W7667" s="2"/>
    </row>
    <row r="7668" spans="1:23" x14ac:dyDescent="0.25">
      <c r="A7668" s="2"/>
      <c r="B7668" s="2"/>
      <c r="C7668" s="1"/>
      <c r="D7668" s="2"/>
      <c r="E7668" s="2"/>
      <c r="F7668" s="2"/>
      <c r="G7668" s="2"/>
      <c r="H7668" s="2"/>
      <c r="I7668" s="2"/>
      <c r="J7668" s="2"/>
      <c r="K7668" s="2"/>
      <c r="L7668" s="2"/>
      <c r="M7668" s="2"/>
      <c r="N7668" s="2"/>
      <c r="O7668" s="2"/>
      <c r="P7668" s="2"/>
      <c r="Q7668" s="2"/>
      <c r="R7668" s="2"/>
      <c r="S7668" s="2"/>
      <c r="T7668" s="2"/>
      <c r="U7668" s="2"/>
      <c r="V7668" s="2"/>
      <c r="W7668" s="2"/>
    </row>
    <row r="7669" spans="1:23" x14ac:dyDescent="0.25">
      <c r="A7669" s="2"/>
      <c r="B7669" s="2"/>
      <c r="C7669" s="1"/>
      <c r="D7669" s="2"/>
      <c r="E7669" s="2"/>
      <c r="F7669" s="2"/>
      <c r="G7669" s="2"/>
      <c r="H7669" s="2"/>
      <c r="I7669" s="2"/>
      <c r="J7669" s="2"/>
      <c r="K7669" s="2"/>
      <c r="L7669" s="2"/>
      <c r="M7669" s="2"/>
      <c r="N7669" s="2"/>
      <c r="O7669" s="2"/>
      <c r="P7669" s="2"/>
      <c r="Q7669" s="2"/>
      <c r="R7669" s="2"/>
      <c r="S7669" s="2"/>
      <c r="T7669" s="2"/>
      <c r="U7669" s="2"/>
      <c r="V7669" s="2"/>
      <c r="W7669" s="2"/>
    </row>
    <row r="7670" spans="1:23" x14ac:dyDescent="0.25">
      <c r="A7670" s="2"/>
      <c r="B7670" s="2"/>
      <c r="C7670" s="1"/>
      <c r="D7670" s="2"/>
      <c r="E7670" s="2"/>
      <c r="F7670" s="2"/>
      <c r="G7670" s="2"/>
      <c r="H7670" s="2"/>
      <c r="I7670" s="2"/>
      <c r="J7670" s="2"/>
      <c r="K7670" s="2"/>
      <c r="L7670" s="2"/>
      <c r="M7670" s="2"/>
      <c r="N7670" s="2"/>
      <c r="O7670" s="2"/>
      <c r="P7670" s="2"/>
      <c r="Q7670" s="2"/>
      <c r="R7670" s="2"/>
      <c r="S7670" s="2"/>
      <c r="T7670" s="2"/>
      <c r="U7670" s="2"/>
      <c r="V7670" s="2"/>
      <c r="W7670" s="2"/>
    </row>
    <row r="7671" spans="1:23" x14ac:dyDescent="0.25">
      <c r="A7671" s="2"/>
      <c r="B7671" s="2"/>
      <c r="C7671" s="1"/>
      <c r="D7671" s="2"/>
      <c r="E7671" s="2"/>
      <c r="F7671" s="2"/>
      <c r="G7671" s="2"/>
      <c r="H7671" s="2"/>
      <c r="I7671" s="2"/>
      <c r="J7671" s="2"/>
      <c r="K7671" s="2"/>
      <c r="L7671" s="2"/>
      <c r="M7671" s="2"/>
      <c r="N7671" s="2"/>
      <c r="O7671" s="2"/>
      <c r="P7671" s="2"/>
      <c r="Q7671" s="2"/>
      <c r="R7671" s="2"/>
      <c r="S7671" s="2"/>
      <c r="T7671" s="2"/>
      <c r="U7671" s="2"/>
      <c r="V7671" s="2"/>
      <c r="W7671" s="2"/>
    </row>
    <row r="7672" spans="1:23" x14ac:dyDescent="0.25">
      <c r="A7672" s="2"/>
      <c r="B7672" s="2"/>
      <c r="C7672" s="1"/>
      <c r="D7672" s="2"/>
      <c r="E7672" s="2"/>
      <c r="F7672" s="2"/>
      <c r="G7672" s="2"/>
      <c r="H7672" s="2"/>
      <c r="I7672" s="2"/>
      <c r="J7672" s="2"/>
      <c r="K7672" s="2"/>
      <c r="L7672" s="2"/>
      <c r="M7672" s="2"/>
      <c r="N7672" s="2"/>
      <c r="O7672" s="2"/>
      <c r="P7672" s="2"/>
      <c r="Q7672" s="2"/>
      <c r="R7672" s="2"/>
      <c r="S7672" s="2"/>
      <c r="T7672" s="2"/>
      <c r="U7672" s="2"/>
      <c r="V7672" s="2"/>
      <c r="W7672" s="2"/>
    </row>
    <row r="7673" spans="1:23" x14ac:dyDescent="0.25">
      <c r="A7673" s="2"/>
      <c r="B7673" s="2"/>
      <c r="C7673" s="1"/>
      <c r="D7673" s="2"/>
      <c r="E7673" s="2"/>
      <c r="F7673" s="2"/>
      <c r="G7673" s="2"/>
      <c r="H7673" s="2"/>
      <c r="I7673" s="2"/>
      <c r="J7673" s="2"/>
      <c r="K7673" s="2"/>
      <c r="L7673" s="2"/>
      <c r="M7673" s="2"/>
      <c r="N7673" s="2"/>
      <c r="O7673" s="2"/>
      <c r="P7673" s="2"/>
      <c r="Q7673" s="2"/>
      <c r="R7673" s="2"/>
      <c r="S7673" s="2"/>
      <c r="T7673" s="2"/>
      <c r="U7673" s="2"/>
      <c r="V7673" s="2"/>
      <c r="W7673" s="2"/>
    </row>
    <row r="7674" spans="1:23" x14ac:dyDescent="0.25">
      <c r="A7674" s="2"/>
      <c r="B7674" s="2"/>
      <c r="C7674" s="1"/>
      <c r="D7674" s="2"/>
      <c r="E7674" s="2"/>
      <c r="F7674" s="2"/>
      <c r="G7674" s="2"/>
      <c r="H7674" s="2"/>
      <c r="I7674" s="2"/>
      <c r="J7674" s="2"/>
      <c r="K7674" s="2"/>
      <c r="L7674" s="2"/>
      <c r="M7674" s="2"/>
      <c r="N7674" s="2"/>
      <c r="O7674" s="2"/>
      <c r="P7674" s="2"/>
      <c r="Q7674" s="2"/>
      <c r="R7674" s="2"/>
      <c r="S7674" s="2"/>
      <c r="T7674" s="2"/>
      <c r="U7674" s="2"/>
      <c r="V7674" s="2"/>
      <c r="W7674" s="2"/>
    </row>
    <row r="7675" spans="1:23" x14ac:dyDescent="0.25">
      <c r="A7675" s="2"/>
      <c r="B7675" s="2"/>
      <c r="C7675" s="1"/>
      <c r="D7675" s="2"/>
      <c r="E7675" s="2"/>
      <c r="F7675" s="2"/>
      <c r="G7675" s="2"/>
      <c r="H7675" s="2"/>
      <c r="I7675" s="2"/>
      <c r="J7675" s="2"/>
      <c r="K7675" s="2"/>
      <c r="L7675" s="2"/>
      <c r="M7675" s="2"/>
      <c r="N7675" s="2"/>
      <c r="O7675" s="2"/>
      <c r="P7675" s="2"/>
      <c r="Q7675" s="2"/>
      <c r="R7675" s="2"/>
      <c r="S7675" s="2"/>
      <c r="T7675" s="2"/>
      <c r="U7675" s="2"/>
      <c r="V7675" s="2"/>
      <c r="W7675" s="2"/>
    </row>
    <row r="7676" spans="1:23" x14ac:dyDescent="0.25">
      <c r="A7676" s="2"/>
      <c r="B7676" s="2"/>
      <c r="C7676" s="1"/>
      <c r="D7676" s="2"/>
      <c r="E7676" s="2"/>
      <c r="F7676" s="2"/>
      <c r="G7676" s="2"/>
      <c r="H7676" s="2"/>
      <c r="I7676" s="2"/>
      <c r="J7676" s="2"/>
      <c r="K7676" s="2"/>
      <c r="L7676" s="2"/>
      <c r="M7676" s="2"/>
      <c r="N7676" s="2"/>
      <c r="O7676" s="2"/>
      <c r="P7676" s="2"/>
      <c r="Q7676" s="2"/>
      <c r="R7676" s="2"/>
      <c r="S7676" s="2"/>
      <c r="T7676" s="2"/>
      <c r="U7676" s="2"/>
      <c r="V7676" s="2"/>
      <c r="W7676" s="2"/>
    </row>
    <row r="7677" spans="1:23" x14ac:dyDescent="0.25">
      <c r="A7677" s="2"/>
      <c r="B7677" s="2"/>
      <c r="C7677" s="1"/>
      <c r="D7677" s="2"/>
      <c r="E7677" s="2"/>
      <c r="F7677" s="2"/>
      <c r="G7677" s="2"/>
      <c r="H7677" s="2"/>
      <c r="I7677" s="2"/>
      <c r="J7677" s="2"/>
      <c r="K7677" s="2"/>
      <c r="L7677" s="2"/>
      <c r="M7677" s="2"/>
      <c r="N7677" s="2"/>
      <c r="O7677" s="2"/>
      <c r="P7677" s="2"/>
      <c r="Q7677" s="2"/>
      <c r="R7677" s="2"/>
      <c r="S7677" s="2"/>
      <c r="T7677" s="2"/>
      <c r="U7677" s="2"/>
      <c r="V7677" s="2"/>
      <c r="W7677" s="2"/>
    </row>
    <row r="7678" spans="1:23" x14ac:dyDescent="0.25">
      <c r="A7678" s="2"/>
      <c r="B7678" s="2"/>
      <c r="C7678" s="1"/>
      <c r="D7678" s="2"/>
      <c r="E7678" s="2"/>
      <c r="F7678" s="2"/>
      <c r="G7678" s="2"/>
      <c r="H7678" s="2"/>
      <c r="I7678" s="2"/>
      <c r="J7678" s="2"/>
      <c r="K7678" s="2"/>
      <c r="L7678" s="2"/>
      <c r="M7678" s="2"/>
      <c r="N7678" s="2"/>
      <c r="O7678" s="2"/>
      <c r="P7678" s="2"/>
      <c r="Q7678" s="2"/>
      <c r="R7678" s="2"/>
      <c r="S7678" s="2"/>
      <c r="T7678" s="2"/>
      <c r="U7678" s="2"/>
      <c r="V7678" s="2"/>
      <c r="W7678" s="2"/>
    </row>
    <row r="7679" spans="1:23" x14ac:dyDescent="0.25">
      <c r="A7679" s="2"/>
      <c r="B7679" s="2"/>
      <c r="C7679" s="1"/>
      <c r="D7679" s="2"/>
      <c r="E7679" s="2"/>
      <c r="F7679" s="2"/>
      <c r="G7679" s="2"/>
      <c r="H7679" s="2"/>
      <c r="I7679" s="2"/>
      <c r="J7679" s="2"/>
      <c r="K7679" s="2"/>
      <c r="L7679" s="2"/>
      <c r="M7679" s="2"/>
      <c r="N7679" s="2"/>
      <c r="O7679" s="2"/>
      <c r="P7679" s="2"/>
      <c r="Q7679" s="2"/>
      <c r="R7679" s="2"/>
      <c r="S7679" s="2"/>
      <c r="T7679" s="2"/>
      <c r="U7679" s="2"/>
      <c r="V7679" s="2"/>
      <c r="W7679" s="2"/>
    </row>
    <row r="7680" spans="1:23" x14ac:dyDescent="0.25">
      <c r="A7680" s="2"/>
      <c r="B7680" s="2"/>
      <c r="C7680" s="1"/>
      <c r="D7680" s="2"/>
      <c r="E7680" s="2"/>
      <c r="F7680" s="2"/>
      <c r="G7680" s="2"/>
      <c r="H7680" s="2"/>
      <c r="I7680" s="2"/>
      <c r="J7680" s="2"/>
      <c r="K7680" s="2"/>
      <c r="L7680" s="2"/>
      <c r="M7680" s="2"/>
      <c r="N7680" s="2"/>
      <c r="O7680" s="2"/>
      <c r="P7680" s="2"/>
      <c r="Q7680" s="2"/>
      <c r="R7680" s="2"/>
      <c r="S7680" s="2"/>
      <c r="T7680" s="2"/>
      <c r="U7680" s="2"/>
      <c r="V7680" s="2"/>
      <c r="W7680" s="2"/>
    </row>
    <row r="7681" spans="1:23" x14ac:dyDescent="0.25">
      <c r="A7681" s="2"/>
      <c r="B7681" s="2"/>
      <c r="C7681" s="1"/>
      <c r="D7681" s="2"/>
      <c r="E7681" s="2"/>
      <c r="F7681" s="2"/>
      <c r="G7681" s="2"/>
      <c r="H7681" s="2"/>
      <c r="I7681" s="2"/>
      <c r="J7681" s="2"/>
      <c r="K7681" s="2"/>
      <c r="L7681" s="2"/>
      <c r="M7681" s="2"/>
      <c r="N7681" s="2"/>
      <c r="O7681" s="2"/>
      <c r="P7681" s="2"/>
      <c r="Q7681" s="2"/>
      <c r="R7681" s="2"/>
      <c r="S7681" s="2"/>
      <c r="T7681" s="2"/>
      <c r="U7681" s="2"/>
      <c r="V7681" s="2"/>
      <c r="W7681" s="2"/>
    </row>
    <row r="7682" spans="1:23" x14ac:dyDescent="0.25">
      <c r="A7682" s="2"/>
      <c r="B7682" s="2"/>
      <c r="C7682" s="1"/>
      <c r="D7682" s="2"/>
      <c r="E7682" s="2"/>
      <c r="F7682" s="2"/>
      <c r="G7682" s="2"/>
      <c r="H7682" s="2"/>
      <c r="I7682" s="2"/>
      <c r="J7682" s="2"/>
      <c r="K7682" s="2"/>
      <c r="L7682" s="2"/>
      <c r="M7682" s="2"/>
      <c r="N7682" s="2"/>
      <c r="O7682" s="2"/>
      <c r="P7682" s="2"/>
      <c r="Q7682" s="2"/>
      <c r="R7682" s="2"/>
      <c r="S7682" s="2"/>
      <c r="T7682" s="2"/>
      <c r="U7682" s="2"/>
      <c r="V7682" s="2"/>
      <c r="W7682" s="2"/>
    </row>
    <row r="7683" spans="1:23" x14ac:dyDescent="0.25">
      <c r="A7683" s="2"/>
      <c r="B7683" s="2"/>
      <c r="C7683" s="1"/>
      <c r="D7683" s="2"/>
      <c r="E7683" s="2"/>
      <c r="F7683" s="2"/>
      <c r="G7683" s="2"/>
      <c r="H7683" s="2"/>
      <c r="I7683" s="2"/>
      <c r="J7683" s="2"/>
      <c r="K7683" s="2"/>
      <c r="L7683" s="2"/>
      <c r="M7683" s="2"/>
      <c r="N7683" s="2"/>
      <c r="O7683" s="2"/>
      <c r="P7683" s="2"/>
      <c r="Q7683" s="2"/>
      <c r="R7683" s="2"/>
      <c r="S7683" s="2"/>
      <c r="T7683" s="2"/>
      <c r="U7683" s="2"/>
      <c r="V7683" s="2"/>
      <c r="W7683" s="2"/>
    </row>
    <row r="7684" spans="1:23" x14ac:dyDescent="0.25">
      <c r="A7684" s="2"/>
      <c r="B7684" s="2"/>
      <c r="C7684" s="1"/>
      <c r="D7684" s="2"/>
      <c r="E7684" s="2"/>
      <c r="F7684" s="2"/>
      <c r="G7684" s="2"/>
      <c r="H7684" s="2"/>
      <c r="I7684" s="2"/>
      <c r="J7684" s="2"/>
      <c r="K7684" s="2"/>
      <c r="L7684" s="2"/>
      <c r="M7684" s="2"/>
      <c r="N7684" s="2"/>
      <c r="O7684" s="2"/>
      <c r="P7684" s="2"/>
      <c r="Q7684" s="2"/>
      <c r="R7684" s="2"/>
      <c r="S7684" s="2"/>
      <c r="T7684" s="2"/>
      <c r="U7684" s="2"/>
      <c r="V7684" s="2"/>
      <c r="W7684" s="2"/>
    </row>
    <row r="7685" spans="1:23" x14ac:dyDescent="0.25">
      <c r="A7685" s="2"/>
      <c r="B7685" s="2"/>
      <c r="C7685" s="1"/>
      <c r="D7685" s="2"/>
      <c r="E7685" s="2"/>
      <c r="F7685" s="2"/>
      <c r="G7685" s="2"/>
      <c r="H7685" s="2"/>
      <c r="I7685" s="2"/>
      <c r="J7685" s="2"/>
      <c r="K7685" s="2"/>
      <c r="L7685" s="2"/>
      <c r="M7685" s="2"/>
      <c r="N7685" s="2"/>
      <c r="O7685" s="2"/>
      <c r="P7685" s="2"/>
      <c r="Q7685" s="2"/>
      <c r="R7685" s="2"/>
      <c r="S7685" s="2"/>
      <c r="T7685" s="2"/>
      <c r="U7685" s="2"/>
      <c r="V7685" s="2"/>
      <c r="W7685" s="2"/>
    </row>
    <row r="7686" spans="1:23" x14ac:dyDescent="0.25">
      <c r="A7686" s="2"/>
      <c r="B7686" s="2"/>
      <c r="C7686" s="1"/>
      <c r="D7686" s="2"/>
      <c r="E7686" s="2"/>
      <c r="F7686" s="2"/>
      <c r="G7686" s="2"/>
      <c r="H7686" s="2"/>
      <c r="I7686" s="2"/>
      <c r="J7686" s="2"/>
      <c r="K7686" s="2"/>
      <c r="L7686" s="2"/>
      <c r="M7686" s="2"/>
      <c r="N7686" s="2"/>
      <c r="O7686" s="2"/>
      <c r="P7686" s="2"/>
      <c r="Q7686" s="2"/>
      <c r="R7686" s="2"/>
      <c r="S7686" s="2"/>
      <c r="T7686" s="2"/>
      <c r="U7686" s="2"/>
      <c r="V7686" s="2"/>
      <c r="W7686" s="2"/>
    </row>
    <row r="7687" spans="1:23" x14ac:dyDescent="0.25">
      <c r="A7687" s="2"/>
      <c r="B7687" s="2"/>
      <c r="C7687" s="1"/>
      <c r="D7687" s="2"/>
      <c r="E7687" s="2"/>
      <c r="F7687" s="2"/>
      <c r="G7687" s="2"/>
      <c r="H7687" s="2"/>
      <c r="I7687" s="2"/>
      <c r="J7687" s="2"/>
      <c r="K7687" s="2"/>
      <c r="L7687" s="2"/>
      <c r="M7687" s="2"/>
      <c r="N7687" s="2"/>
      <c r="O7687" s="2"/>
      <c r="P7687" s="2"/>
      <c r="Q7687" s="2"/>
      <c r="R7687" s="2"/>
      <c r="S7687" s="2"/>
      <c r="T7687" s="2"/>
      <c r="U7687" s="2"/>
      <c r="V7687" s="2"/>
      <c r="W7687" s="2"/>
    </row>
    <row r="7688" spans="1:23" x14ac:dyDescent="0.25">
      <c r="A7688" s="2"/>
      <c r="B7688" s="2"/>
      <c r="C7688" s="1"/>
      <c r="D7688" s="2"/>
      <c r="E7688" s="2"/>
      <c r="F7688" s="2"/>
      <c r="G7688" s="2"/>
      <c r="H7688" s="2"/>
      <c r="I7688" s="2"/>
      <c r="J7688" s="2"/>
      <c r="K7688" s="2"/>
      <c r="L7688" s="2"/>
      <c r="M7688" s="2"/>
      <c r="N7688" s="2"/>
      <c r="O7688" s="2"/>
      <c r="P7688" s="2"/>
      <c r="Q7688" s="2"/>
      <c r="R7688" s="2"/>
      <c r="S7688" s="2"/>
      <c r="T7688" s="2"/>
      <c r="U7688" s="2"/>
      <c r="V7688" s="2"/>
      <c r="W7688" s="2"/>
    </row>
    <row r="7689" spans="1:23" x14ac:dyDescent="0.25">
      <c r="A7689" s="2"/>
      <c r="B7689" s="2"/>
      <c r="C7689" s="1"/>
      <c r="D7689" s="2"/>
      <c r="E7689" s="2"/>
      <c r="F7689" s="2"/>
      <c r="G7689" s="2"/>
      <c r="H7689" s="2"/>
      <c r="I7689" s="2"/>
      <c r="J7689" s="2"/>
      <c r="K7689" s="2"/>
      <c r="L7689" s="2"/>
      <c r="M7689" s="2"/>
      <c r="N7689" s="2"/>
      <c r="O7689" s="2"/>
      <c r="P7689" s="2"/>
      <c r="Q7689" s="2"/>
      <c r="R7689" s="2"/>
      <c r="S7689" s="2"/>
      <c r="T7689" s="2"/>
      <c r="U7689" s="2"/>
      <c r="V7689" s="2"/>
      <c r="W7689" s="2"/>
    </row>
    <row r="7690" spans="1:23" x14ac:dyDescent="0.25">
      <c r="A7690" s="2"/>
      <c r="B7690" s="2"/>
      <c r="C7690" s="1"/>
      <c r="D7690" s="2"/>
      <c r="E7690" s="2"/>
      <c r="F7690" s="2"/>
      <c r="G7690" s="2"/>
      <c r="H7690" s="2"/>
      <c r="I7690" s="2"/>
      <c r="J7690" s="2"/>
      <c r="K7690" s="2"/>
      <c r="L7690" s="2"/>
    </row>
    <row r="7691" spans="1:23" x14ac:dyDescent="0.25">
      <c r="A7691" s="2"/>
      <c r="B7691" s="2"/>
      <c r="C7691" s="1"/>
      <c r="D7691" s="2"/>
      <c r="E7691" s="2"/>
      <c r="F7691" s="2"/>
      <c r="G7691" s="2"/>
      <c r="H7691" s="2"/>
      <c r="I7691" s="2"/>
      <c r="J7691" s="2"/>
      <c r="K7691" s="2"/>
      <c r="L7691" s="2"/>
    </row>
    <row r="7692" spans="1:23" x14ac:dyDescent="0.25">
      <c r="A7692" s="2"/>
      <c r="B7692" s="2"/>
      <c r="C7692" s="1"/>
      <c r="D7692" s="2"/>
      <c r="E7692" s="2"/>
      <c r="F7692" s="2"/>
      <c r="G7692" s="2"/>
      <c r="H7692" s="2"/>
      <c r="I7692" s="2"/>
      <c r="J7692" s="2"/>
      <c r="K7692" s="2"/>
      <c r="L7692" s="2"/>
    </row>
    <row r="7693" spans="1:23" x14ac:dyDescent="0.25">
      <c r="A7693" s="2"/>
      <c r="B7693" s="2"/>
      <c r="C7693" s="1"/>
      <c r="D7693" s="2"/>
      <c r="E7693" s="2"/>
      <c r="F7693" s="2"/>
      <c r="G7693" s="2"/>
      <c r="H7693" s="2"/>
      <c r="I7693" s="2"/>
      <c r="J7693" s="2"/>
      <c r="K7693" s="2"/>
      <c r="L7693" s="2"/>
    </row>
    <row r="7694" spans="1:23" x14ac:dyDescent="0.25">
      <c r="A7694" s="2"/>
      <c r="B7694" s="2"/>
      <c r="C7694" s="1"/>
      <c r="D7694" s="2"/>
      <c r="E7694" s="2"/>
      <c r="F7694" s="2"/>
      <c r="G7694" s="2"/>
      <c r="H7694" s="2"/>
      <c r="I7694" s="2"/>
      <c r="J7694" s="2"/>
      <c r="K7694" s="2"/>
      <c r="L7694" s="2"/>
    </row>
    <row r="7695" spans="1:23" x14ac:dyDescent="0.25">
      <c r="A7695" s="2"/>
      <c r="B7695" s="2"/>
      <c r="C7695" s="1"/>
      <c r="D7695" s="2"/>
      <c r="E7695" s="2"/>
      <c r="F7695" s="2"/>
      <c r="G7695" s="2"/>
      <c r="H7695" s="2"/>
      <c r="I7695" s="2"/>
      <c r="J7695" s="2"/>
      <c r="K7695" s="2"/>
      <c r="L7695" s="2"/>
    </row>
    <row r="7696" spans="1:23" x14ac:dyDescent="0.25">
      <c r="A7696" s="2"/>
      <c r="B7696" s="2"/>
      <c r="C7696" s="1"/>
      <c r="D7696" s="2"/>
      <c r="E7696" s="2"/>
      <c r="F7696" s="2"/>
      <c r="G7696" s="2"/>
      <c r="H7696" s="2"/>
      <c r="I7696" s="2"/>
      <c r="J7696" s="2"/>
      <c r="K7696" s="2"/>
      <c r="L7696" s="2"/>
    </row>
    <row r="7697" spans="1:23" x14ac:dyDescent="0.25">
      <c r="A7697" s="2"/>
      <c r="B7697" s="2"/>
      <c r="C7697" s="1"/>
      <c r="D7697" s="2"/>
      <c r="E7697" s="2"/>
      <c r="F7697" s="2"/>
      <c r="G7697" s="2"/>
      <c r="H7697" s="2"/>
      <c r="I7697" s="2"/>
      <c r="J7697" s="2"/>
      <c r="K7697" s="2"/>
      <c r="L7697" s="2"/>
    </row>
    <row r="7698" spans="1:23" x14ac:dyDescent="0.25">
      <c r="A7698" s="2"/>
      <c r="B7698" s="2"/>
      <c r="C7698" s="1"/>
      <c r="D7698" s="2"/>
      <c r="E7698" s="2"/>
      <c r="F7698" s="2"/>
      <c r="G7698" s="2"/>
      <c r="H7698" s="2"/>
      <c r="I7698" s="2"/>
      <c r="J7698" s="2"/>
      <c r="K7698" s="2"/>
      <c r="L7698" s="2"/>
    </row>
    <row r="7699" spans="1:23" x14ac:dyDescent="0.25">
      <c r="A7699" s="2"/>
      <c r="B7699" s="2"/>
      <c r="C7699" s="1"/>
      <c r="D7699" s="2"/>
      <c r="E7699" s="2"/>
      <c r="F7699" s="2"/>
      <c r="G7699" s="2"/>
      <c r="H7699" s="2"/>
      <c r="I7699" s="2"/>
      <c r="J7699" s="2"/>
      <c r="K7699" s="2"/>
      <c r="L7699" s="2"/>
    </row>
    <row r="7700" spans="1:23" x14ac:dyDescent="0.25">
      <c r="A7700" s="2"/>
      <c r="B7700" s="2"/>
      <c r="C7700" s="1"/>
      <c r="D7700" s="2"/>
      <c r="E7700" s="2"/>
      <c r="F7700" s="2"/>
      <c r="G7700" s="2"/>
      <c r="H7700" s="2"/>
      <c r="I7700" s="2"/>
      <c r="J7700" s="2"/>
      <c r="K7700" s="2"/>
      <c r="L7700" s="2"/>
    </row>
    <row r="7701" spans="1:23" x14ac:dyDescent="0.25">
      <c r="A7701" s="2"/>
      <c r="B7701" s="2"/>
      <c r="C7701" s="1"/>
      <c r="D7701" s="2"/>
      <c r="E7701" s="2"/>
      <c r="F7701" s="2"/>
      <c r="G7701" s="2"/>
      <c r="H7701" s="2"/>
      <c r="I7701" s="2"/>
      <c r="J7701" s="2"/>
      <c r="K7701" s="2"/>
      <c r="L7701" s="2"/>
    </row>
    <row r="7702" spans="1:23" x14ac:dyDescent="0.25">
      <c r="A7702" s="2"/>
      <c r="B7702" s="2"/>
      <c r="C7702" s="1"/>
      <c r="D7702" s="2"/>
      <c r="E7702" s="2"/>
      <c r="F7702" s="2"/>
      <c r="G7702" s="2"/>
      <c r="H7702" s="2"/>
      <c r="I7702" s="2"/>
      <c r="J7702" s="2"/>
      <c r="K7702" s="2"/>
      <c r="L7702" s="2"/>
    </row>
    <row r="7703" spans="1:23" x14ac:dyDescent="0.25">
      <c r="A7703" s="2"/>
      <c r="B7703" s="2"/>
      <c r="C7703" s="1"/>
      <c r="D7703" s="2"/>
      <c r="E7703" s="2"/>
      <c r="F7703" s="2"/>
      <c r="G7703" s="2"/>
      <c r="H7703" s="2"/>
      <c r="I7703" s="2"/>
      <c r="J7703" s="2"/>
      <c r="K7703" s="2"/>
      <c r="L7703" s="2"/>
    </row>
    <row r="7704" spans="1:23" x14ac:dyDescent="0.25">
      <c r="A7704" s="2"/>
      <c r="B7704" s="2"/>
      <c r="C7704" s="1"/>
      <c r="D7704" s="2"/>
      <c r="E7704" s="2"/>
      <c r="F7704" s="2"/>
      <c r="G7704" s="2"/>
      <c r="H7704" s="2"/>
      <c r="I7704" s="2"/>
      <c r="J7704" s="2"/>
      <c r="K7704" s="2"/>
      <c r="L7704" s="2"/>
    </row>
    <row r="7705" spans="1:23" x14ac:dyDescent="0.25">
      <c r="A7705" s="2"/>
      <c r="B7705" s="2"/>
      <c r="C7705" s="1"/>
      <c r="D7705" s="2"/>
      <c r="E7705" s="2"/>
      <c r="F7705" s="2"/>
      <c r="G7705" s="2"/>
      <c r="H7705" s="2"/>
      <c r="I7705" s="2"/>
      <c r="J7705" s="2"/>
      <c r="K7705" s="2"/>
      <c r="L7705" s="2"/>
    </row>
    <row r="7706" spans="1:23" x14ac:dyDescent="0.25">
      <c r="A7706" s="2"/>
      <c r="B7706" s="2"/>
      <c r="C7706" s="1"/>
      <c r="D7706" s="2"/>
      <c r="E7706" s="2"/>
      <c r="F7706" s="2"/>
      <c r="G7706" s="2"/>
      <c r="H7706" s="2"/>
      <c r="I7706" s="2"/>
      <c r="J7706" s="2"/>
      <c r="K7706" s="2"/>
      <c r="L7706" s="2"/>
    </row>
    <row r="7707" spans="1:23" x14ac:dyDescent="0.25">
      <c r="A7707" s="2"/>
      <c r="B7707" s="2"/>
      <c r="C7707" s="1"/>
      <c r="D7707" s="2"/>
      <c r="E7707" s="2"/>
      <c r="F7707" s="2"/>
      <c r="G7707" s="2"/>
      <c r="H7707" s="2"/>
      <c r="I7707" s="2"/>
      <c r="J7707" s="2"/>
      <c r="K7707" s="2"/>
      <c r="L7707" s="2"/>
    </row>
    <row r="7708" spans="1:23" x14ac:dyDescent="0.25">
      <c r="A7708" s="2"/>
      <c r="B7708" s="2"/>
      <c r="C7708" s="1"/>
      <c r="D7708" s="2"/>
      <c r="E7708" s="2"/>
      <c r="F7708" s="2"/>
      <c r="G7708" s="2"/>
      <c r="H7708" s="2"/>
      <c r="I7708" s="2"/>
      <c r="J7708" s="2"/>
      <c r="K7708" s="2"/>
      <c r="L7708" s="2"/>
    </row>
    <row r="7709" spans="1:23" x14ac:dyDescent="0.25">
      <c r="A7709" s="2"/>
      <c r="B7709" s="2"/>
      <c r="C7709" s="1"/>
      <c r="D7709" s="2"/>
      <c r="E7709" s="2"/>
      <c r="F7709" s="2"/>
      <c r="G7709" s="2"/>
      <c r="H7709" s="2"/>
      <c r="I7709" s="2"/>
      <c r="J7709" s="2"/>
      <c r="K7709" s="2"/>
      <c r="L7709" s="2"/>
      <c r="M7709" s="2"/>
      <c r="N7709" s="2"/>
      <c r="O7709" s="2"/>
      <c r="P7709" s="2"/>
      <c r="Q7709" s="2"/>
      <c r="R7709" s="2"/>
      <c r="S7709" s="2"/>
      <c r="T7709" s="2"/>
      <c r="U7709" s="2"/>
      <c r="V7709" s="2"/>
      <c r="W7709" s="2"/>
    </row>
    <row r="7710" spans="1:23" x14ac:dyDescent="0.25">
      <c r="A7710" s="2"/>
      <c r="B7710" s="2"/>
      <c r="C7710" s="1"/>
      <c r="D7710" s="2"/>
      <c r="E7710" s="2"/>
      <c r="F7710" s="2"/>
      <c r="G7710" s="2"/>
      <c r="H7710" s="2"/>
      <c r="I7710" s="2"/>
      <c r="J7710" s="2"/>
      <c r="K7710" s="2"/>
      <c r="L7710" s="2"/>
      <c r="M7710" s="2"/>
      <c r="N7710" s="2"/>
      <c r="O7710" s="2"/>
      <c r="P7710" s="2"/>
      <c r="Q7710" s="2"/>
      <c r="R7710" s="2"/>
      <c r="S7710" s="2"/>
      <c r="T7710" s="2"/>
      <c r="U7710" s="2"/>
      <c r="V7710" s="2"/>
      <c r="W7710" s="2"/>
    </row>
    <row r="7711" spans="1:23" x14ac:dyDescent="0.25">
      <c r="A7711" s="2"/>
      <c r="B7711" s="2"/>
      <c r="C7711" s="1"/>
      <c r="D7711" s="2"/>
      <c r="E7711" s="2"/>
      <c r="F7711" s="2"/>
      <c r="G7711" s="2"/>
      <c r="H7711" s="2"/>
      <c r="I7711" s="2"/>
      <c r="J7711" s="2"/>
      <c r="K7711" s="2"/>
      <c r="L7711" s="2"/>
      <c r="M7711" s="2"/>
      <c r="N7711" s="2"/>
      <c r="O7711" s="2"/>
      <c r="P7711" s="2"/>
      <c r="Q7711" s="2"/>
      <c r="R7711" s="2"/>
      <c r="S7711" s="2"/>
      <c r="T7711" s="2"/>
      <c r="U7711" s="2"/>
      <c r="V7711" s="2"/>
      <c r="W7711" s="2"/>
    </row>
    <row r="7712" spans="1:23" x14ac:dyDescent="0.25">
      <c r="A7712" s="2"/>
      <c r="B7712" s="2"/>
      <c r="C7712" s="1"/>
      <c r="D7712" s="2"/>
      <c r="E7712" s="2"/>
      <c r="F7712" s="2"/>
      <c r="G7712" s="2"/>
      <c r="H7712" s="2"/>
      <c r="I7712" s="2"/>
      <c r="J7712" s="2"/>
      <c r="K7712" s="2"/>
      <c r="L7712" s="2"/>
      <c r="M7712" s="2"/>
      <c r="N7712" s="2"/>
      <c r="O7712" s="2"/>
      <c r="P7712" s="2"/>
      <c r="Q7712" s="2"/>
      <c r="R7712" s="2"/>
      <c r="S7712" s="2"/>
      <c r="T7712" s="2"/>
      <c r="U7712" s="2"/>
      <c r="V7712" s="2"/>
      <c r="W7712" s="2"/>
    </row>
    <row r="7713" spans="1:23" x14ac:dyDescent="0.25">
      <c r="A7713" s="2"/>
      <c r="B7713" s="2"/>
      <c r="C7713" s="1"/>
      <c r="D7713" s="2"/>
      <c r="E7713" s="2"/>
      <c r="F7713" s="2"/>
      <c r="G7713" s="2"/>
      <c r="H7713" s="2"/>
      <c r="I7713" s="2"/>
      <c r="J7713" s="2"/>
      <c r="K7713" s="2"/>
      <c r="L7713" s="2"/>
      <c r="M7713" s="2"/>
      <c r="N7713" s="2"/>
      <c r="O7713" s="2"/>
      <c r="P7713" s="2"/>
      <c r="Q7713" s="2"/>
      <c r="R7713" s="2"/>
      <c r="S7713" s="2"/>
      <c r="T7713" s="2"/>
      <c r="U7713" s="2"/>
      <c r="V7713" s="2"/>
      <c r="W7713" s="2"/>
    </row>
    <row r="7714" spans="1:23" x14ac:dyDescent="0.25">
      <c r="A7714" s="2"/>
      <c r="B7714" s="2"/>
      <c r="C7714" s="1"/>
      <c r="D7714" s="2"/>
      <c r="E7714" s="2"/>
      <c r="F7714" s="2"/>
      <c r="G7714" s="2"/>
      <c r="H7714" s="2"/>
      <c r="I7714" s="2"/>
      <c r="J7714" s="2"/>
      <c r="K7714" s="2"/>
      <c r="L7714" s="2"/>
      <c r="M7714" s="2"/>
      <c r="N7714" s="2"/>
      <c r="O7714" s="2"/>
      <c r="P7714" s="2"/>
      <c r="Q7714" s="2"/>
      <c r="R7714" s="2"/>
      <c r="S7714" s="2"/>
      <c r="T7714" s="2"/>
      <c r="U7714" s="2"/>
      <c r="V7714" s="2"/>
      <c r="W7714" s="2"/>
    </row>
    <row r="7715" spans="1:23" x14ac:dyDescent="0.25">
      <c r="A7715" s="2"/>
      <c r="B7715" s="2"/>
      <c r="C7715" s="1"/>
      <c r="D7715" s="2"/>
      <c r="E7715" s="2"/>
      <c r="F7715" s="2"/>
      <c r="G7715" s="2"/>
      <c r="H7715" s="2"/>
      <c r="I7715" s="2"/>
      <c r="J7715" s="2"/>
      <c r="K7715" s="2"/>
      <c r="L7715" s="2"/>
      <c r="M7715" s="2"/>
      <c r="N7715" s="2"/>
      <c r="O7715" s="2"/>
      <c r="P7715" s="2"/>
      <c r="Q7715" s="2"/>
      <c r="R7715" s="2"/>
      <c r="S7715" s="2"/>
      <c r="T7715" s="2"/>
      <c r="U7715" s="2"/>
      <c r="V7715" s="2"/>
      <c r="W7715" s="2"/>
    </row>
    <row r="7716" spans="1:23" x14ac:dyDescent="0.25">
      <c r="A7716" s="2"/>
      <c r="B7716" s="2"/>
      <c r="C7716" s="1"/>
      <c r="D7716" s="2"/>
      <c r="E7716" s="2"/>
      <c r="F7716" s="2"/>
      <c r="G7716" s="2"/>
      <c r="H7716" s="2"/>
      <c r="I7716" s="2"/>
      <c r="J7716" s="2"/>
      <c r="K7716" s="2"/>
      <c r="L7716" s="2"/>
      <c r="M7716" s="2"/>
      <c r="N7716" s="2"/>
      <c r="O7716" s="2"/>
      <c r="P7716" s="2"/>
      <c r="Q7716" s="2"/>
      <c r="R7716" s="2"/>
      <c r="S7716" s="2"/>
      <c r="T7716" s="2"/>
      <c r="U7716" s="2"/>
      <c r="V7716" s="2"/>
      <c r="W7716" s="2"/>
    </row>
    <row r="7717" spans="1:23" x14ac:dyDescent="0.25">
      <c r="A7717" s="2"/>
      <c r="B7717" s="2"/>
      <c r="C7717" s="1"/>
      <c r="D7717" s="2"/>
      <c r="E7717" s="2"/>
      <c r="F7717" s="2"/>
      <c r="G7717" s="2"/>
      <c r="H7717" s="2"/>
      <c r="I7717" s="2"/>
      <c r="J7717" s="2"/>
      <c r="K7717" s="2"/>
      <c r="L7717" s="2"/>
      <c r="M7717" s="2"/>
      <c r="N7717" s="2"/>
      <c r="O7717" s="2"/>
      <c r="P7717" s="2"/>
      <c r="Q7717" s="2"/>
      <c r="R7717" s="2"/>
      <c r="S7717" s="2"/>
      <c r="T7717" s="2"/>
      <c r="U7717" s="2"/>
      <c r="V7717" s="2"/>
      <c r="W7717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C185"/>
  <sheetViews>
    <sheetView workbookViewId="0">
      <selection sqref="A1:AC185"/>
    </sheetView>
  </sheetViews>
  <sheetFormatPr defaultRowHeight="15" x14ac:dyDescent="0.25"/>
  <cols>
    <col min="1" max="1" width="14" bestFit="1" customWidth="1"/>
    <col min="2" max="3" width="11.140625" bestFit="1" customWidth="1"/>
    <col min="4" max="4" width="11.5703125" bestFit="1" customWidth="1"/>
    <col min="5" max="5" width="16.28515625" bestFit="1" customWidth="1"/>
    <col min="6" max="8" width="11.140625" style="1" bestFit="1" customWidth="1"/>
    <col min="9" max="9" width="20.85546875" bestFit="1" customWidth="1"/>
    <col min="10" max="10" width="23" bestFit="1" customWidth="1"/>
    <col min="11" max="12" width="12.140625" bestFit="1" customWidth="1"/>
    <col min="13" max="13" width="182.7109375" bestFit="1" customWidth="1"/>
    <col min="14" max="14" width="12.140625" bestFit="1" customWidth="1"/>
    <col min="15" max="15" width="23" bestFit="1" customWidth="1"/>
    <col min="16" max="17" width="12.140625" bestFit="1" customWidth="1"/>
    <col min="18" max="18" width="12.85546875" bestFit="1" customWidth="1"/>
    <col min="19" max="20" width="12.140625" bestFit="1" customWidth="1"/>
    <col min="21" max="21" width="17.28515625" bestFit="1" customWidth="1"/>
    <col min="22" max="22" width="43.7109375" bestFit="1" customWidth="1"/>
    <col min="23" max="23" width="12.42578125" bestFit="1" customWidth="1"/>
    <col min="24" max="24" width="12.140625" bestFit="1" customWidth="1"/>
    <col min="25" max="25" width="19.42578125" bestFit="1" customWidth="1"/>
    <col min="26" max="26" width="12.7109375" bestFit="1" customWidth="1"/>
    <col min="27" max="27" width="15.42578125" bestFit="1" customWidth="1"/>
    <col min="28" max="28" width="12.28515625" bestFit="1" customWidth="1"/>
    <col min="29" max="29" width="13.85546875" bestFit="1" customWidth="1"/>
  </cols>
  <sheetData>
    <row r="1" spans="1:29" x14ac:dyDescent="0.25">
      <c r="A1" s="2" t="s">
        <v>431</v>
      </c>
      <c r="B1" s="2" t="s">
        <v>432</v>
      </c>
      <c r="C1" s="2" t="s">
        <v>433</v>
      </c>
      <c r="D1" s="2" t="s">
        <v>434</v>
      </c>
      <c r="E1" s="2" t="s">
        <v>435</v>
      </c>
      <c r="F1" s="1" t="s">
        <v>436</v>
      </c>
      <c r="G1" s="1" t="s">
        <v>437</v>
      </c>
      <c r="H1" s="1" t="s">
        <v>438</v>
      </c>
      <c r="I1" s="2" t="s">
        <v>439</v>
      </c>
      <c r="J1" s="2" t="s">
        <v>440</v>
      </c>
      <c r="K1" s="2" t="s">
        <v>441</v>
      </c>
      <c r="L1" s="2" t="s">
        <v>442</v>
      </c>
      <c r="M1" s="2" t="s">
        <v>443</v>
      </c>
      <c r="N1" s="2" t="s">
        <v>444</v>
      </c>
      <c r="O1" s="2" t="s">
        <v>445</v>
      </c>
      <c r="P1" s="2" t="s">
        <v>446</v>
      </c>
      <c r="Q1" s="2" t="s">
        <v>447</v>
      </c>
      <c r="R1" s="2" t="s">
        <v>448</v>
      </c>
      <c r="S1" s="2" t="s">
        <v>449</v>
      </c>
      <c r="T1" s="2" t="s">
        <v>450</v>
      </c>
      <c r="U1" s="2" t="s">
        <v>451</v>
      </c>
      <c r="V1" s="2" t="s">
        <v>452</v>
      </c>
      <c r="W1" s="2" t="s">
        <v>453</v>
      </c>
      <c r="X1" s="2" t="s">
        <v>454</v>
      </c>
      <c r="Y1" s="2" t="s">
        <v>455</v>
      </c>
      <c r="Z1" s="2" t="s">
        <v>456</v>
      </c>
      <c r="AA1" s="2" t="s">
        <v>457</v>
      </c>
      <c r="AB1" s="2" t="s">
        <v>458</v>
      </c>
      <c r="AC1" s="2" t="s">
        <v>459</v>
      </c>
    </row>
    <row r="2" spans="1:29" x14ac:dyDescent="0.25">
      <c r="A2" s="2" t="s">
        <v>0</v>
      </c>
      <c r="B2" s="2"/>
      <c r="C2" s="2" t="s">
        <v>2</v>
      </c>
      <c r="D2" s="2" t="s">
        <v>3</v>
      </c>
      <c r="E2" s="2" t="s">
        <v>4</v>
      </c>
      <c r="F2" s="1" t="s">
        <v>5</v>
      </c>
      <c r="G2" s="1" t="s">
        <v>571</v>
      </c>
      <c r="H2" s="1" t="s">
        <v>6</v>
      </c>
      <c r="I2" s="2" t="s">
        <v>572</v>
      </c>
      <c r="J2" s="2" t="s">
        <v>7</v>
      </c>
      <c r="K2" s="2" t="s">
        <v>8</v>
      </c>
      <c r="L2" s="2" t="s">
        <v>573</v>
      </c>
      <c r="M2" s="2" t="s">
        <v>9</v>
      </c>
      <c r="N2" s="2" t="s">
        <v>574</v>
      </c>
      <c r="O2" s="2" t="s">
        <v>10</v>
      </c>
      <c r="P2" s="2" t="s">
        <v>575</v>
      </c>
      <c r="Q2" s="2" t="s">
        <v>576</v>
      </c>
      <c r="R2" s="2" t="s">
        <v>577</v>
      </c>
      <c r="S2" s="2" t="s">
        <v>11</v>
      </c>
      <c r="T2" s="2" t="s">
        <v>12</v>
      </c>
      <c r="U2" s="2" t="s">
        <v>13</v>
      </c>
      <c r="V2" s="2" t="s">
        <v>14</v>
      </c>
      <c r="W2" s="2" t="s">
        <v>578</v>
      </c>
      <c r="X2" s="2" t="s">
        <v>579</v>
      </c>
      <c r="Y2" s="2" t="s">
        <v>580</v>
      </c>
      <c r="Z2" s="2" t="s">
        <v>581</v>
      </c>
      <c r="AA2" s="2" t="s">
        <v>582</v>
      </c>
      <c r="AB2" s="2" t="s">
        <v>583</v>
      </c>
      <c r="AC2" s="2" t="s">
        <v>584</v>
      </c>
    </row>
    <row r="3" spans="1:29" x14ac:dyDescent="0.25">
      <c r="A3" s="2" t="s">
        <v>15</v>
      </c>
      <c r="B3" s="2" t="b">
        <v>0</v>
      </c>
      <c r="C3" s="2" t="s">
        <v>3887</v>
      </c>
      <c r="D3" s="2" t="s">
        <v>3888</v>
      </c>
      <c r="E3" s="2" t="s">
        <v>3889</v>
      </c>
      <c r="F3" s="1">
        <v>44291</v>
      </c>
      <c r="G3" s="1">
        <v>0.41666666666666674</v>
      </c>
      <c r="H3" s="1">
        <v>44291</v>
      </c>
      <c r="I3" s="2" t="s">
        <v>3231</v>
      </c>
      <c r="J3" s="2" t="s">
        <v>604</v>
      </c>
      <c r="K3" s="2" t="s">
        <v>24</v>
      </c>
      <c r="L3" s="2" t="s">
        <v>585</v>
      </c>
      <c r="M3" s="2" t="s">
        <v>3890</v>
      </c>
      <c r="N3" s="2" t="s">
        <v>1</v>
      </c>
      <c r="O3" s="2" t="s">
        <v>604</v>
      </c>
      <c r="P3" s="2">
        <v>1</v>
      </c>
      <c r="Q3" s="2" t="s">
        <v>1</v>
      </c>
      <c r="R3" s="2" t="s">
        <v>1</v>
      </c>
      <c r="S3" s="2" t="s">
        <v>1</v>
      </c>
      <c r="T3" s="2" t="s">
        <v>3791</v>
      </c>
      <c r="U3" s="2" t="s">
        <v>3891</v>
      </c>
      <c r="V3" s="2" t="s">
        <v>3892</v>
      </c>
      <c r="W3" s="2" t="s">
        <v>1</v>
      </c>
      <c r="X3" s="2" t="s">
        <v>1</v>
      </c>
      <c r="Y3" s="2" t="s">
        <v>1</v>
      </c>
      <c r="Z3" s="2" t="s">
        <v>1</v>
      </c>
      <c r="AA3" s="2" t="s">
        <v>1</v>
      </c>
      <c r="AB3" s="2" t="s">
        <v>1</v>
      </c>
      <c r="AC3" s="2" t="s">
        <v>1</v>
      </c>
    </row>
    <row r="4" spans="1:29" x14ac:dyDescent="0.25">
      <c r="A4" s="2" t="s">
        <v>15</v>
      </c>
      <c r="B4" s="2" t="b">
        <v>0</v>
      </c>
      <c r="C4" s="2" t="s">
        <v>3887</v>
      </c>
      <c r="D4" s="2" t="s">
        <v>3888</v>
      </c>
      <c r="E4" s="2" t="s">
        <v>3889</v>
      </c>
      <c r="F4" s="1">
        <v>44291</v>
      </c>
      <c r="G4" s="1">
        <v>0.41249999999999998</v>
      </c>
      <c r="H4" s="1">
        <v>44291</v>
      </c>
      <c r="I4" s="2" t="s">
        <v>3893</v>
      </c>
      <c r="J4" s="2" t="s">
        <v>604</v>
      </c>
      <c r="K4" s="2" t="s">
        <v>24</v>
      </c>
      <c r="L4" s="2" t="s">
        <v>585</v>
      </c>
      <c r="M4" s="2" t="s">
        <v>3894</v>
      </c>
      <c r="N4" s="2" t="s">
        <v>1</v>
      </c>
      <c r="O4" s="2" t="s">
        <v>604</v>
      </c>
      <c r="P4" s="2">
        <v>1</v>
      </c>
      <c r="Q4" s="2" t="s">
        <v>1</v>
      </c>
      <c r="R4" s="2" t="s">
        <v>1</v>
      </c>
      <c r="S4" s="2" t="s">
        <v>1</v>
      </c>
      <c r="T4" s="2" t="s">
        <v>3629</v>
      </c>
      <c r="U4" s="2" t="s">
        <v>3891</v>
      </c>
      <c r="V4" s="2" t="s">
        <v>3892</v>
      </c>
      <c r="W4" s="2" t="s">
        <v>1</v>
      </c>
      <c r="X4" s="2" t="s">
        <v>1</v>
      </c>
      <c r="Y4" s="2" t="s">
        <v>1</v>
      </c>
      <c r="Z4" s="2" t="s">
        <v>1</v>
      </c>
      <c r="AA4" s="2" t="s">
        <v>1</v>
      </c>
      <c r="AB4" s="2" t="s">
        <v>1</v>
      </c>
      <c r="AC4" s="2" t="s">
        <v>1</v>
      </c>
    </row>
    <row r="5" spans="1:29" x14ac:dyDescent="0.25">
      <c r="A5" s="2" t="s">
        <v>15</v>
      </c>
      <c r="B5" s="2" t="b">
        <v>0</v>
      </c>
      <c r="C5" s="2" t="s">
        <v>3887</v>
      </c>
      <c r="D5" s="2" t="s">
        <v>3888</v>
      </c>
      <c r="E5" s="2" t="s">
        <v>3889</v>
      </c>
      <c r="F5" s="1">
        <v>44291</v>
      </c>
      <c r="G5" s="1">
        <v>0.20277777777777775</v>
      </c>
      <c r="H5" s="1">
        <v>44291</v>
      </c>
      <c r="I5" s="2" t="s">
        <v>3895</v>
      </c>
      <c r="J5" s="2" t="s">
        <v>587</v>
      </c>
      <c r="K5" s="2" t="s">
        <v>24</v>
      </c>
      <c r="L5" s="2" t="s">
        <v>585</v>
      </c>
      <c r="M5" s="2" t="s">
        <v>3896</v>
      </c>
      <c r="N5" s="2" t="s">
        <v>1</v>
      </c>
      <c r="O5" s="2" t="s">
        <v>587</v>
      </c>
      <c r="P5" s="2">
        <v>1</v>
      </c>
      <c r="Q5" s="2" t="s">
        <v>1</v>
      </c>
      <c r="R5" s="2" t="s">
        <v>1</v>
      </c>
      <c r="S5" s="2" t="s">
        <v>1</v>
      </c>
      <c r="T5" s="2" t="s">
        <v>3521</v>
      </c>
      <c r="U5" s="2" t="s">
        <v>75</v>
      </c>
      <c r="V5" s="2" t="s">
        <v>43</v>
      </c>
      <c r="W5" s="2" t="s">
        <v>1</v>
      </c>
      <c r="X5" s="2" t="s">
        <v>1</v>
      </c>
      <c r="Y5" s="2" t="s">
        <v>1</v>
      </c>
      <c r="Z5" s="2" t="s">
        <v>1</v>
      </c>
      <c r="AA5" s="2" t="s">
        <v>1</v>
      </c>
      <c r="AB5" s="2" t="s">
        <v>1</v>
      </c>
      <c r="AC5" s="2" t="s">
        <v>1</v>
      </c>
    </row>
    <row r="6" spans="1:29" x14ac:dyDescent="0.25">
      <c r="A6" s="2" t="s">
        <v>15</v>
      </c>
      <c r="B6" s="2" t="b">
        <v>0</v>
      </c>
      <c r="C6" s="2" t="s">
        <v>3887</v>
      </c>
      <c r="D6" s="2" t="s">
        <v>3888</v>
      </c>
      <c r="E6" s="2" t="s">
        <v>3889</v>
      </c>
      <c r="F6" s="1">
        <v>44291</v>
      </c>
      <c r="G6" s="1">
        <v>0.20208333333333336</v>
      </c>
      <c r="H6" s="1">
        <v>44291</v>
      </c>
      <c r="I6" s="2" t="s">
        <v>3897</v>
      </c>
      <c r="J6" s="2" t="s">
        <v>587</v>
      </c>
      <c r="K6" s="2" t="s">
        <v>24</v>
      </c>
      <c r="L6" s="2" t="s">
        <v>585</v>
      </c>
      <c r="M6" s="2" t="s">
        <v>3898</v>
      </c>
      <c r="N6" s="2" t="s">
        <v>1</v>
      </c>
      <c r="O6" s="2" t="s">
        <v>587</v>
      </c>
      <c r="P6" s="2">
        <v>1</v>
      </c>
      <c r="Q6" s="2" t="s">
        <v>1</v>
      </c>
      <c r="R6" s="2" t="s">
        <v>1</v>
      </c>
      <c r="S6" s="2" t="s">
        <v>1</v>
      </c>
      <c r="T6" s="2" t="s">
        <v>3458</v>
      </c>
      <c r="U6" s="2" t="s">
        <v>75</v>
      </c>
      <c r="V6" s="2" t="s">
        <v>43</v>
      </c>
      <c r="W6" s="2" t="s">
        <v>1</v>
      </c>
      <c r="X6" s="2" t="s">
        <v>1</v>
      </c>
      <c r="Y6" s="2" t="s">
        <v>1</v>
      </c>
      <c r="Z6" s="2" t="s">
        <v>1</v>
      </c>
      <c r="AA6" s="2" t="s">
        <v>1</v>
      </c>
      <c r="AB6" s="2" t="s">
        <v>1</v>
      </c>
      <c r="AC6" s="2" t="s">
        <v>1</v>
      </c>
    </row>
    <row r="7" spans="1:29" x14ac:dyDescent="0.25">
      <c r="A7" s="2" t="s">
        <v>15</v>
      </c>
      <c r="B7" s="2" t="b">
        <v>0</v>
      </c>
      <c r="C7" s="2" t="s">
        <v>3887</v>
      </c>
      <c r="D7" s="2" t="s">
        <v>3888</v>
      </c>
      <c r="E7" s="2" t="s">
        <v>3889</v>
      </c>
      <c r="F7" s="1">
        <v>44291</v>
      </c>
      <c r="G7" s="1">
        <v>0.2013888888888889</v>
      </c>
      <c r="H7" s="1">
        <v>44291</v>
      </c>
      <c r="I7" s="2" t="s">
        <v>3235</v>
      </c>
      <c r="J7" s="2" t="s">
        <v>587</v>
      </c>
      <c r="K7" s="2" t="s">
        <v>24</v>
      </c>
      <c r="L7" s="2" t="s">
        <v>585</v>
      </c>
      <c r="M7" s="2" t="s">
        <v>3899</v>
      </c>
      <c r="N7" s="2" t="s">
        <v>1</v>
      </c>
      <c r="O7" s="2" t="s">
        <v>587</v>
      </c>
      <c r="P7" s="2">
        <v>1</v>
      </c>
      <c r="Q7" s="2" t="s">
        <v>1</v>
      </c>
      <c r="R7" s="2" t="s">
        <v>1</v>
      </c>
      <c r="S7" s="2" t="s">
        <v>1</v>
      </c>
      <c r="T7" s="2" t="s">
        <v>3456</v>
      </c>
      <c r="U7" s="2" t="s">
        <v>75</v>
      </c>
      <c r="V7" s="2" t="s">
        <v>43</v>
      </c>
      <c r="W7" s="2" t="s">
        <v>1</v>
      </c>
      <c r="X7" s="2" t="s">
        <v>1</v>
      </c>
      <c r="Y7" s="2" t="s">
        <v>1</v>
      </c>
      <c r="Z7" s="2" t="s">
        <v>1</v>
      </c>
      <c r="AA7" s="2" t="s">
        <v>1</v>
      </c>
      <c r="AB7" s="2" t="s">
        <v>1</v>
      </c>
      <c r="AC7" s="2" t="s">
        <v>1</v>
      </c>
    </row>
    <row r="8" spans="1:29" x14ac:dyDescent="0.25">
      <c r="A8" s="2" t="s">
        <v>15</v>
      </c>
      <c r="B8" s="2" t="b">
        <v>0</v>
      </c>
      <c r="C8" s="2" t="s">
        <v>3887</v>
      </c>
      <c r="D8" s="2" t="s">
        <v>3888</v>
      </c>
      <c r="E8" s="2" t="s">
        <v>3889</v>
      </c>
      <c r="F8" s="1">
        <v>44288</v>
      </c>
      <c r="G8" s="1">
        <v>0.36458333333333326</v>
      </c>
      <c r="H8" s="1">
        <v>44288</v>
      </c>
      <c r="I8" s="2" t="s">
        <v>3900</v>
      </c>
      <c r="J8" s="2" t="s">
        <v>586</v>
      </c>
      <c r="K8" s="2" t="s">
        <v>24</v>
      </c>
      <c r="L8" s="2" t="s">
        <v>585</v>
      </c>
      <c r="M8" s="2" t="s">
        <v>3901</v>
      </c>
      <c r="N8" s="2" t="s">
        <v>1</v>
      </c>
      <c r="O8" s="2" t="s">
        <v>586</v>
      </c>
      <c r="P8" s="2">
        <v>1</v>
      </c>
      <c r="Q8" s="2" t="s">
        <v>1</v>
      </c>
      <c r="R8" s="2" t="s">
        <v>1</v>
      </c>
      <c r="S8" s="2" t="s">
        <v>1</v>
      </c>
      <c r="T8" s="2" t="s">
        <v>3753</v>
      </c>
      <c r="U8" s="2" t="s">
        <v>42</v>
      </c>
      <c r="V8" s="2" t="s">
        <v>43</v>
      </c>
      <c r="W8" s="2" t="s">
        <v>1</v>
      </c>
      <c r="X8" s="2" t="s">
        <v>1</v>
      </c>
      <c r="Y8" s="2" t="s">
        <v>1</v>
      </c>
      <c r="Z8" s="2" t="s">
        <v>1</v>
      </c>
      <c r="AA8" s="2" t="s">
        <v>1</v>
      </c>
      <c r="AB8" s="2" t="s">
        <v>1</v>
      </c>
      <c r="AC8" s="2" t="s">
        <v>1</v>
      </c>
    </row>
    <row r="9" spans="1:29" x14ac:dyDescent="0.25">
      <c r="A9" s="2" t="s">
        <v>15</v>
      </c>
      <c r="B9" s="2" t="b">
        <v>0</v>
      </c>
      <c r="C9" s="2" t="s">
        <v>3887</v>
      </c>
      <c r="D9" s="2" t="s">
        <v>3888</v>
      </c>
      <c r="E9" s="2" t="s">
        <v>3889</v>
      </c>
      <c r="F9" s="1">
        <v>44288</v>
      </c>
      <c r="G9" s="1">
        <v>0.2951388888888889</v>
      </c>
      <c r="H9" s="1">
        <v>44288</v>
      </c>
      <c r="I9" s="2" t="s">
        <v>616</v>
      </c>
      <c r="J9" s="2" t="s">
        <v>3902</v>
      </c>
      <c r="K9" s="2" t="s">
        <v>24</v>
      </c>
      <c r="L9" s="2" t="s">
        <v>585</v>
      </c>
      <c r="M9" s="2" t="s">
        <v>3903</v>
      </c>
      <c r="N9" s="2" t="s">
        <v>1</v>
      </c>
      <c r="O9" s="2" t="s">
        <v>3902</v>
      </c>
      <c r="P9" s="2">
        <v>1</v>
      </c>
      <c r="Q9" s="2" t="s">
        <v>1</v>
      </c>
      <c r="R9" s="2" t="s">
        <v>1</v>
      </c>
      <c r="S9" s="2" t="s">
        <v>1</v>
      </c>
      <c r="T9" s="2" t="s">
        <v>3430</v>
      </c>
      <c r="U9" s="2" t="s">
        <v>75</v>
      </c>
      <c r="V9" s="2" t="s">
        <v>43</v>
      </c>
      <c r="W9" s="2" t="s">
        <v>1</v>
      </c>
      <c r="X9" s="2" t="s">
        <v>1</v>
      </c>
      <c r="Y9" s="2" t="s">
        <v>1</v>
      </c>
      <c r="Z9" s="2" t="s">
        <v>1</v>
      </c>
      <c r="AA9" s="2" t="s">
        <v>1</v>
      </c>
      <c r="AB9" s="2" t="s">
        <v>1</v>
      </c>
      <c r="AC9" s="2" t="s">
        <v>1</v>
      </c>
    </row>
    <row r="10" spans="1:29" x14ac:dyDescent="0.25">
      <c r="A10" s="2" t="s">
        <v>15</v>
      </c>
      <c r="B10" s="2" t="b">
        <v>0</v>
      </c>
      <c r="C10" s="2" t="s">
        <v>3887</v>
      </c>
      <c r="D10" s="2" t="s">
        <v>3888</v>
      </c>
      <c r="E10" s="2" t="s">
        <v>3889</v>
      </c>
      <c r="F10" s="1">
        <v>44285</v>
      </c>
      <c r="G10" s="1">
        <v>0.40486111111111112</v>
      </c>
      <c r="H10" s="1">
        <v>44285</v>
      </c>
      <c r="I10" s="2" t="s">
        <v>2676</v>
      </c>
      <c r="J10" s="2" t="s">
        <v>586</v>
      </c>
      <c r="K10" s="2" t="s">
        <v>24</v>
      </c>
      <c r="L10" s="2" t="s">
        <v>585</v>
      </c>
      <c r="M10" s="2" t="s">
        <v>3903</v>
      </c>
      <c r="N10" s="2" t="s">
        <v>1</v>
      </c>
      <c r="O10" s="2" t="s">
        <v>586</v>
      </c>
      <c r="P10" s="2">
        <v>1</v>
      </c>
      <c r="Q10" s="2" t="s">
        <v>1</v>
      </c>
      <c r="R10" s="2" t="s">
        <v>1</v>
      </c>
      <c r="S10" s="2" t="s">
        <v>1</v>
      </c>
      <c r="T10" s="2" t="s">
        <v>3430</v>
      </c>
      <c r="U10" s="2" t="s">
        <v>75</v>
      </c>
      <c r="V10" s="2" t="s">
        <v>43</v>
      </c>
      <c r="W10" s="2" t="s">
        <v>1</v>
      </c>
      <c r="X10" s="2" t="s">
        <v>1</v>
      </c>
      <c r="Y10" s="2" t="s">
        <v>1</v>
      </c>
      <c r="Z10" s="2" t="s">
        <v>1</v>
      </c>
      <c r="AA10" s="2" t="s">
        <v>1</v>
      </c>
      <c r="AB10" s="2" t="s">
        <v>1</v>
      </c>
      <c r="AC10" s="2" t="s">
        <v>1</v>
      </c>
    </row>
    <row r="11" spans="1:29" x14ac:dyDescent="0.25">
      <c r="A11" s="2" t="s">
        <v>15</v>
      </c>
      <c r="B11" s="2" t="b">
        <v>0</v>
      </c>
      <c r="C11" s="2" t="s">
        <v>3887</v>
      </c>
      <c r="D11" s="2" t="s">
        <v>3888</v>
      </c>
      <c r="E11" s="2" t="s">
        <v>3889</v>
      </c>
      <c r="F11" s="1">
        <v>44284</v>
      </c>
      <c r="G11" s="1">
        <v>0.12777777777777777</v>
      </c>
      <c r="H11" s="1">
        <v>44284</v>
      </c>
      <c r="I11" s="2" t="s">
        <v>3904</v>
      </c>
      <c r="J11" s="2" t="s">
        <v>590</v>
      </c>
      <c r="K11" s="2" t="s">
        <v>24</v>
      </c>
      <c r="L11" s="2" t="s">
        <v>585</v>
      </c>
      <c r="M11" s="2" t="s">
        <v>3905</v>
      </c>
      <c r="N11" s="2" t="s">
        <v>1</v>
      </c>
      <c r="O11" s="2" t="s">
        <v>590</v>
      </c>
      <c r="P11" s="2">
        <v>1</v>
      </c>
      <c r="Q11" s="2" t="s">
        <v>1</v>
      </c>
      <c r="R11" s="2" t="s">
        <v>1</v>
      </c>
      <c r="S11" s="2" t="s">
        <v>1</v>
      </c>
      <c r="T11" s="2" t="s">
        <v>3321</v>
      </c>
      <c r="U11" s="2" t="s">
        <v>3891</v>
      </c>
      <c r="V11" s="2" t="s">
        <v>3892</v>
      </c>
      <c r="W11" s="2" t="s">
        <v>1</v>
      </c>
      <c r="X11" s="2" t="s">
        <v>1</v>
      </c>
      <c r="Y11" s="2" t="s">
        <v>1</v>
      </c>
      <c r="Z11" s="2" t="s">
        <v>1</v>
      </c>
      <c r="AA11" s="2" t="s">
        <v>1</v>
      </c>
      <c r="AB11" s="2" t="s">
        <v>1</v>
      </c>
      <c r="AC11" s="2" t="s">
        <v>1</v>
      </c>
    </row>
    <row r="12" spans="1:29" x14ac:dyDescent="0.25">
      <c r="A12" s="2" t="s">
        <v>15</v>
      </c>
      <c r="B12" s="2" t="b">
        <v>0</v>
      </c>
      <c r="C12" s="2" t="s">
        <v>3887</v>
      </c>
      <c r="D12" s="2" t="s">
        <v>3888</v>
      </c>
      <c r="E12" s="2" t="s">
        <v>3889</v>
      </c>
      <c r="F12" s="1">
        <v>44272</v>
      </c>
      <c r="G12" s="1">
        <v>0.13125000000000001</v>
      </c>
      <c r="H12" s="1">
        <v>44272</v>
      </c>
      <c r="I12" s="2" t="s">
        <v>2665</v>
      </c>
      <c r="J12" s="2" t="s">
        <v>604</v>
      </c>
      <c r="K12" s="2" t="s">
        <v>24</v>
      </c>
      <c r="L12" s="2" t="s">
        <v>585</v>
      </c>
      <c r="M12" s="2" t="s">
        <v>3906</v>
      </c>
      <c r="N12" s="2" t="s">
        <v>1</v>
      </c>
      <c r="O12" s="2" t="s">
        <v>604</v>
      </c>
      <c r="P12" s="2">
        <v>1</v>
      </c>
      <c r="Q12" s="2" t="s">
        <v>1</v>
      </c>
      <c r="R12" s="2" t="s">
        <v>1</v>
      </c>
      <c r="S12" s="2" t="s">
        <v>1</v>
      </c>
      <c r="T12" s="2" t="s">
        <v>3031</v>
      </c>
      <c r="U12" s="2" t="s">
        <v>42</v>
      </c>
      <c r="V12" s="2" t="s">
        <v>43</v>
      </c>
      <c r="W12" s="2" t="s">
        <v>1</v>
      </c>
      <c r="X12" s="2" t="s">
        <v>1</v>
      </c>
      <c r="Y12" s="2" t="s">
        <v>1</v>
      </c>
      <c r="Z12" s="2" t="s">
        <v>1</v>
      </c>
      <c r="AA12" s="2" t="s">
        <v>1</v>
      </c>
      <c r="AB12" s="2" t="s">
        <v>1</v>
      </c>
      <c r="AC12" s="2" t="s">
        <v>1</v>
      </c>
    </row>
    <row r="13" spans="1:29" x14ac:dyDescent="0.25">
      <c r="A13" s="2" t="s">
        <v>29</v>
      </c>
      <c r="B13" s="2" t="b">
        <v>0</v>
      </c>
      <c r="C13" s="2" t="s">
        <v>3887</v>
      </c>
      <c r="D13" s="2" t="s">
        <v>3888</v>
      </c>
      <c r="E13" s="2" t="s">
        <v>3889</v>
      </c>
      <c r="F13" s="1">
        <v>44288</v>
      </c>
      <c r="G13" s="1">
        <v>0.4069444444444445</v>
      </c>
      <c r="H13" s="1">
        <v>44288</v>
      </c>
      <c r="I13" s="2" t="s">
        <v>2674</v>
      </c>
      <c r="J13" s="2" t="s">
        <v>586</v>
      </c>
      <c r="K13" s="2" t="s">
        <v>24</v>
      </c>
      <c r="L13" s="2" t="s">
        <v>585</v>
      </c>
      <c r="M13" s="2" t="s">
        <v>3907</v>
      </c>
      <c r="N13" s="2" t="s">
        <v>1</v>
      </c>
      <c r="O13" s="2" t="s">
        <v>586</v>
      </c>
      <c r="P13" s="2">
        <v>1</v>
      </c>
      <c r="Q13" s="2" t="s">
        <v>1</v>
      </c>
      <c r="R13" s="2" t="s">
        <v>1</v>
      </c>
      <c r="S13" s="2" t="s">
        <v>1</v>
      </c>
      <c r="T13" s="2" t="s">
        <v>3506</v>
      </c>
      <c r="U13" s="2" t="s">
        <v>75</v>
      </c>
      <c r="V13" s="2" t="s">
        <v>43</v>
      </c>
      <c r="W13" s="2" t="s">
        <v>1</v>
      </c>
      <c r="X13" s="2" t="s">
        <v>1</v>
      </c>
      <c r="Y13" s="2" t="s">
        <v>1</v>
      </c>
      <c r="Z13" s="2" t="s">
        <v>1</v>
      </c>
      <c r="AA13" s="2" t="s">
        <v>1</v>
      </c>
      <c r="AB13" s="2" t="s">
        <v>1</v>
      </c>
      <c r="AC13" s="2" t="s">
        <v>1</v>
      </c>
    </row>
    <row r="14" spans="1:29" x14ac:dyDescent="0.25">
      <c r="A14" s="2" t="s">
        <v>29</v>
      </c>
      <c r="B14" s="2" t="b">
        <v>0</v>
      </c>
      <c r="C14" s="2" t="s">
        <v>3887</v>
      </c>
      <c r="D14" s="2" t="s">
        <v>3888</v>
      </c>
      <c r="E14" s="2" t="s">
        <v>3889</v>
      </c>
      <c r="F14" s="1">
        <v>44288</v>
      </c>
      <c r="G14" s="1">
        <v>0.4069444444444445</v>
      </c>
      <c r="H14" s="1">
        <v>44288</v>
      </c>
      <c r="I14" s="2" t="s">
        <v>2674</v>
      </c>
      <c r="J14" s="2" t="s">
        <v>586</v>
      </c>
      <c r="K14" s="2" t="s">
        <v>38</v>
      </c>
      <c r="L14" s="2" t="s">
        <v>585</v>
      </c>
      <c r="M14" s="2" t="s">
        <v>3908</v>
      </c>
      <c r="N14" s="2" t="s">
        <v>1</v>
      </c>
      <c r="O14" s="2" t="s">
        <v>586</v>
      </c>
      <c r="P14" s="2">
        <v>1</v>
      </c>
      <c r="Q14" s="2" t="s">
        <v>1</v>
      </c>
      <c r="R14" s="2" t="s">
        <v>1</v>
      </c>
      <c r="S14" s="2" t="s">
        <v>1</v>
      </c>
      <c r="T14" s="2" t="s">
        <v>3506</v>
      </c>
      <c r="U14" s="2" t="s">
        <v>75</v>
      </c>
      <c r="V14" s="2" t="s">
        <v>43</v>
      </c>
      <c r="W14" s="2" t="s">
        <v>1</v>
      </c>
      <c r="X14" s="2" t="s">
        <v>1</v>
      </c>
      <c r="Y14" s="2" t="s">
        <v>1</v>
      </c>
      <c r="Z14" s="2" t="s">
        <v>1</v>
      </c>
      <c r="AA14" s="2" t="s">
        <v>1</v>
      </c>
      <c r="AB14" s="2" t="s">
        <v>1</v>
      </c>
      <c r="AC14" s="2" t="s">
        <v>1</v>
      </c>
    </row>
    <row r="15" spans="1:29" x14ac:dyDescent="0.25">
      <c r="A15" s="2" t="s">
        <v>29</v>
      </c>
      <c r="B15" s="2" t="b">
        <v>0</v>
      </c>
      <c r="C15" s="2" t="s">
        <v>3887</v>
      </c>
      <c r="D15" s="2" t="s">
        <v>3888</v>
      </c>
      <c r="E15" s="2" t="s">
        <v>3889</v>
      </c>
      <c r="F15" s="1">
        <v>44288</v>
      </c>
      <c r="G15" s="1">
        <v>0.3972222222222222</v>
      </c>
      <c r="H15" s="1">
        <v>44288</v>
      </c>
      <c r="I15" s="2" t="s">
        <v>3909</v>
      </c>
      <c r="J15" s="2" t="s">
        <v>586</v>
      </c>
      <c r="K15" s="2" t="s">
        <v>24</v>
      </c>
      <c r="L15" s="2" t="s">
        <v>585</v>
      </c>
      <c r="M15" s="2" t="s">
        <v>3910</v>
      </c>
      <c r="N15" s="2" t="s">
        <v>1</v>
      </c>
      <c r="O15" s="2" t="s">
        <v>586</v>
      </c>
      <c r="P15" s="2">
        <v>1</v>
      </c>
      <c r="Q15" s="2" t="s">
        <v>1</v>
      </c>
      <c r="R15" s="2" t="s">
        <v>1</v>
      </c>
      <c r="S15" s="2" t="s">
        <v>1</v>
      </c>
      <c r="T15" s="2" t="s">
        <v>3488</v>
      </c>
      <c r="U15" s="2" t="s">
        <v>75</v>
      </c>
      <c r="V15" s="2" t="s">
        <v>43</v>
      </c>
      <c r="W15" s="2" t="s">
        <v>1</v>
      </c>
      <c r="X15" s="2" t="s">
        <v>1</v>
      </c>
      <c r="Y15" s="2" t="s">
        <v>1</v>
      </c>
      <c r="Z15" s="2" t="s">
        <v>1</v>
      </c>
      <c r="AA15" s="2" t="s">
        <v>1</v>
      </c>
      <c r="AB15" s="2" t="s">
        <v>1</v>
      </c>
      <c r="AC15" s="2" t="s">
        <v>1</v>
      </c>
    </row>
    <row r="16" spans="1:29" x14ac:dyDescent="0.25">
      <c r="A16" s="2" t="s">
        <v>29</v>
      </c>
      <c r="B16" s="2" t="b">
        <v>0</v>
      </c>
      <c r="C16" s="2" t="s">
        <v>3887</v>
      </c>
      <c r="D16" s="2" t="s">
        <v>3888</v>
      </c>
      <c r="E16" s="2" t="s">
        <v>3889</v>
      </c>
      <c r="F16" s="1">
        <v>44288</v>
      </c>
      <c r="G16" s="1">
        <v>0.39444444444444438</v>
      </c>
      <c r="H16" s="1">
        <v>44288</v>
      </c>
      <c r="I16" s="2" t="s">
        <v>3911</v>
      </c>
      <c r="J16" s="2" t="s">
        <v>586</v>
      </c>
      <c r="K16" s="2" t="s">
        <v>38</v>
      </c>
      <c r="L16" s="2" t="s">
        <v>585</v>
      </c>
      <c r="M16" s="2" t="s">
        <v>3912</v>
      </c>
      <c r="N16" s="2" t="s">
        <v>1</v>
      </c>
      <c r="O16" s="2" t="s">
        <v>586</v>
      </c>
      <c r="P16" s="2">
        <v>1</v>
      </c>
      <c r="Q16" s="2" t="s">
        <v>1</v>
      </c>
      <c r="R16" s="2" t="s">
        <v>1</v>
      </c>
      <c r="S16" s="2" t="s">
        <v>1</v>
      </c>
      <c r="T16" s="2" t="s">
        <v>3488</v>
      </c>
      <c r="U16" s="2" t="s">
        <v>75</v>
      </c>
      <c r="V16" s="2" t="s">
        <v>43</v>
      </c>
      <c r="W16" s="2" t="s">
        <v>1</v>
      </c>
      <c r="X16" s="2" t="s">
        <v>1</v>
      </c>
      <c r="Y16" s="2" t="s">
        <v>1</v>
      </c>
      <c r="Z16" s="2" t="s">
        <v>1</v>
      </c>
      <c r="AA16" s="2" t="s">
        <v>1</v>
      </c>
      <c r="AB16" s="2" t="s">
        <v>1</v>
      </c>
      <c r="AC16" s="2" t="s">
        <v>1</v>
      </c>
    </row>
    <row r="17" spans="1:29" x14ac:dyDescent="0.25">
      <c r="A17" s="2" t="s">
        <v>29</v>
      </c>
      <c r="B17" s="2" t="b">
        <v>0</v>
      </c>
      <c r="C17" s="2" t="s">
        <v>3887</v>
      </c>
      <c r="D17" s="2" t="s">
        <v>3888</v>
      </c>
      <c r="E17" s="2" t="s">
        <v>3889</v>
      </c>
      <c r="F17" s="1">
        <v>44288</v>
      </c>
      <c r="G17" s="1">
        <v>0.3743055555555555</v>
      </c>
      <c r="H17" s="1">
        <v>44288</v>
      </c>
      <c r="I17" s="2" t="s">
        <v>3913</v>
      </c>
      <c r="J17" s="2" t="s">
        <v>586</v>
      </c>
      <c r="K17" s="2" t="s">
        <v>24</v>
      </c>
      <c r="L17" s="2" t="s">
        <v>585</v>
      </c>
      <c r="M17" s="2" t="s">
        <v>3914</v>
      </c>
      <c r="N17" s="2" t="s">
        <v>1</v>
      </c>
      <c r="O17" s="2" t="s">
        <v>586</v>
      </c>
      <c r="P17" s="2">
        <v>1</v>
      </c>
      <c r="Q17" s="2" t="s">
        <v>1</v>
      </c>
      <c r="R17" s="2" t="s">
        <v>1</v>
      </c>
      <c r="S17" s="2" t="s">
        <v>1</v>
      </c>
      <c r="T17" s="2" t="s">
        <v>3481</v>
      </c>
      <c r="U17" s="2" t="s">
        <v>75</v>
      </c>
      <c r="V17" s="2" t="s">
        <v>43</v>
      </c>
      <c r="W17" s="2" t="s">
        <v>1</v>
      </c>
      <c r="X17" s="2" t="s">
        <v>1</v>
      </c>
      <c r="Y17" s="2" t="s">
        <v>1</v>
      </c>
      <c r="Z17" s="2" t="s">
        <v>1</v>
      </c>
      <c r="AA17" s="2" t="s">
        <v>1</v>
      </c>
      <c r="AB17" s="2" t="s">
        <v>1</v>
      </c>
      <c r="AC17" s="2" t="s">
        <v>1</v>
      </c>
    </row>
    <row r="18" spans="1:29" x14ac:dyDescent="0.25">
      <c r="A18" s="2" t="s">
        <v>29</v>
      </c>
      <c r="B18" s="2" t="b">
        <v>0</v>
      </c>
      <c r="C18" s="2" t="s">
        <v>3887</v>
      </c>
      <c r="D18" s="2" t="s">
        <v>3888</v>
      </c>
      <c r="E18" s="2" t="s">
        <v>3889</v>
      </c>
      <c r="F18" s="1">
        <v>44288</v>
      </c>
      <c r="G18" s="1">
        <v>0.37361111111111112</v>
      </c>
      <c r="H18" s="1">
        <v>44288</v>
      </c>
      <c r="I18" s="2" t="s">
        <v>3915</v>
      </c>
      <c r="J18" s="2" t="s">
        <v>586</v>
      </c>
      <c r="K18" s="2" t="s">
        <v>38</v>
      </c>
      <c r="L18" s="2" t="s">
        <v>585</v>
      </c>
      <c r="M18" s="2" t="s">
        <v>3916</v>
      </c>
      <c r="N18" s="2" t="s">
        <v>1</v>
      </c>
      <c r="O18" s="2" t="s">
        <v>586</v>
      </c>
      <c r="P18" s="2">
        <v>1</v>
      </c>
      <c r="Q18" s="2" t="s">
        <v>1</v>
      </c>
      <c r="R18" s="2" t="s">
        <v>1</v>
      </c>
      <c r="S18" s="2" t="s">
        <v>1</v>
      </c>
      <c r="T18" s="2" t="s">
        <v>3481</v>
      </c>
      <c r="U18" s="2" t="s">
        <v>75</v>
      </c>
      <c r="V18" s="2" t="s">
        <v>43</v>
      </c>
      <c r="W18" s="2" t="s">
        <v>1</v>
      </c>
      <c r="X18" s="2" t="s">
        <v>1</v>
      </c>
      <c r="Y18" s="2" t="s">
        <v>1</v>
      </c>
      <c r="Z18" s="2" t="s">
        <v>1</v>
      </c>
      <c r="AA18" s="2" t="s">
        <v>1</v>
      </c>
      <c r="AB18" s="2" t="s">
        <v>1</v>
      </c>
      <c r="AC18" s="2" t="s">
        <v>1</v>
      </c>
    </row>
    <row r="19" spans="1:29" x14ac:dyDescent="0.25">
      <c r="A19" s="2" t="s">
        <v>29</v>
      </c>
      <c r="B19" s="2" t="b">
        <v>0</v>
      </c>
      <c r="C19" s="2" t="s">
        <v>3887</v>
      </c>
      <c r="D19" s="2" t="s">
        <v>3888</v>
      </c>
      <c r="E19" s="2" t="s">
        <v>3889</v>
      </c>
      <c r="F19" s="1">
        <v>44285</v>
      </c>
      <c r="G19" s="1">
        <v>0.23055555555555557</v>
      </c>
      <c r="H19" s="1">
        <v>44285</v>
      </c>
      <c r="I19" s="2" t="s">
        <v>2616</v>
      </c>
      <c r="J19" s="2" t="s">
        <v>604</v>
      </c>
      <c r="K19" s="2" t="s">
        <v>38</v>
      </c>
      <c r="L19" s="2" t="s">
        <v>585</v>
      </c>
      <c r="M19" s="2" t="s">
        <v>3917</v>
      </c>
      <c r="N19" s="2" t="s">
        <v>1</v>
      </c>
      <c r="O19" s="2" t="s">
        <v>604</v>
      </c>
      <c r="P19" s="2">
        <v>1</v>
      </c>
      <c r="Q19" s="2" t="s">
        <v>1</v>
      </c>
      <c r="R19" s="2" t="s">
        <v>1</v>
      </c>
      <c r="S19" s="2" t="s">
        <v>1</v>
      </c>
      <c r="T19" s="2" t="s">
        <v>3369</v>
      </c>
      <c r="U19" s="2" t="s">
        <v>42</v>
      </c>
      <c r="V19" s="2" t="s">
        <v>43</v>
      </c>
      <c r="W19" s="2" t="s">
        <v>1</v>
      </c>
      <c r="X19" s="2" t="s">
        <v>1</v>
      </c>
      <c r="Y19" s="2" t="s">
        <v>1</v>
      </c>
      <c r="Z19" s="2" t="s">
        <v>1</v>
      </c>
      <c r="AA19" s="2" t="s">
        <v>1</v>
      </c>
      <c r="AB19" s="2" t="s">
        <v>1</v>
      </c>
      <c r="AC19" s="2" t="s">
        <v>1</v>
      </c>
    </row>
    <row r="20" spans="1:29" x14ac:dyDescent="0.25">
      <c r="A20" s="2" t="s">
        <v>29</v>
      </c>
      <c r="B20" s="2" t="b">
        <v>0</v>
      </c>
      <c r="C20" s="2" t="s">
        <v>3887</v>
      </c>
      <c r="D20" s="2" t="s">
        <v>3888</v>
      </c>
      <c r="E20" s="2" t="s">
        <v>3889</v>
      </c>
      <c r="F20" s="1">
        <v>44285</v>
      </c>
      <c r="G20" s="1">
        <v>6.458333333333334E-2</v>
      </c>
      <c r="H20" s="1">
        <v>44285</v>
      </c>
      <c r="I20" s="2" t="s">
        <v>2620</v>
      </c>
      <c r="J20" s="2" t="s">
        <v>601</v>
      </c>
      <c r="K20" s="2" t="s">
        <v>24</v>
      </c>
      <c r="L20" s="2" t="s">
        <v>585</v>
      </c>
      <c r="M20" s="2" t="s">
        <v>3918</v>
      </c>
      <c r="N20" s="2" t="s">
        <v>1</v>
      </c>
      <c r="O20" s="2" t="s">
        <v>601</v>
      </c>
      <c r="P20" s="2">
        <v>1</v>
      </c>
      <c r="Q20" s="2" t="s">
        <v>1</v>
      </c>
      <c r="R20" s="2" t="s">
        <v>1</v>
      </c>
      <c r="S20" s="2" t="s">
        <v>1</v>
      </c>
      <c r="T20" s="2" t="s">
        <v>3369</v>
      </c>
      <c r="U20" s="2" t="s">
        <v>42</v>
      </c>
      <c r="V20" s="2" t="s">
        <v>43</v>
      </c>
      <c r="W20" s="2" t="s">
        <v>1</v>
      </c>
      <c r="X20" s="2" t="s">
        <v>1</v>
      </c>
      <c r="Y20" s="2" t="s">
        <v>1</v>
      </c>
      <c r="Z20" s="2" t="s">
        <v>1</v>
      </c>
      <c r="AA20" s="2" t="s">
        <v>1</v>
      </c>
      <c r="AB20" s="2" t="s">
        <v>1</v>
      </c>
      <c r="AC20" s="2" t="s">
        <v>1</v>
      </c>
    </row>
    <row r="21" spans="1:29" x14ac:dyDescent="0.25">
      <c r="A21" s="2" t="s">
        <v>29</v>
      </c>
      <c r="B21" s="2" t="b">
        <v>0</v>
      </c>
      <c r="C21" s="2" t="s">
        <v>3887</v>
      </c>
      <c r="D21" s="2" t="s">
        <v>3888</v>
      </c>
      <c r="E21" s="2" t="s">
        <v>3889</v>
      </c>
      <c r="F21" s="1">
        <v>44284</v>
      </c>
      <c r="G21" s="1">
        <v>0.99166666666666681</v>
      </c>
      <c r="H21" s="1">
        <v>44285</v>
      </c>
      <c r="I21" s="2" t="s">
        <v>3919</v>
      </c>
      <c r="J21" s="2" t="s">
        <v>586</v>
      </c>
      <c r="K21" s="2" t="s">
        <v>24</v>
      </c>
      <c r="L21" s="2" t="s">
        <v>585</v>
      </c>
      <c r="M21" s="2" t="s">
        <v>3920</v>
      </c>
      <c r="N21" s="2" t="s">
        <v>1</v>
      </c>
      <c r="O21" s="2" t="s">
        <v>586</v>
      </c>
      <c r="P21" s="2">
        <v>1</v>
      </c>
      <c r="Q21" s="2" t="s">
        <v>1</v>
      </c>
      <c r="R21" s="2" t="s">
        <v>1</v>
      </c>
      <c r="S21" s="2" t="s">
        <v>1</v>
      </c>
      <c r="T21" s="2" t="s">
        <v>3436</v>
      </c>
      <c r="U21" s="2" t="s">
        <v>42</v>
      </c>
      <c r="V21" s="2" t="s">
        <v>43</v>
      </c>
      <c r="W21" s="2" t="s">
        <v>1</v>
      </c>
      <c r="X21" s="2" t="s">
        <v>1</v>
      </c>
      <c r="Y21" s="2" t="s">
        <v>1</v>
      </c>
      <c r="Z21" s="2" t="s">
        <v>1</v>
      </c>
      <c r="AA21" s="2" t="s">
        <v>1</v>
      </c>
      <c r="AB21" s="2" t="s">
        <v>1</v>
      </c>
      <c r="AC21" s="2" t="s">
        <v>1</v>
      </c>
    </row>
    <row r="22" spans="1:29" x14ac:dyDescent="0.25">
      <c r="A22" s="2" t="s">
        <v>29</v>
      </c>
      <c r="B22" s="2" t="b">
        <v>0</v>
      </c>
      <c r="C22" s="2" t="s">
        <v>3887</v>
      </c>
      <c r="D22" s="2" t="s">
        <v>3888</v>
      </c>
      <c r="E22" s="2" t="s">
        <v>3889</v>
      </c>
      <c r="F22" s="1">
        <v>44284</v>
      </c>
      <c r="G22" s="1">
        <v>0.98402777777777772</v>
      </c>
      <c r="H22" s="1">
        <v>44285</v>
      </c>
      <c r="I22" s="2" t="s">
        <v>3921</v>
      </c>
      <c r="J22" s="2" t="s">
        <v>586</v>
      </c>
      <c r="K22" s="2" t="s">
        <v>24</v>
      </c>
      <c r="L22" s="2" t="s">
        <v>585</v>
      </c>
      <c r="M22" s="2" t="s">
        <v>3922</v>
      </c>
      <c r="N22" s="2" t="s">
        <v>1</v>
      </c>
      <c r="O22" s="2" t="s">
        <v>586</v>
      </c>
      <c r="P22" s="2">
        <v>1</v>
      </c>
      <c r="Q22" s="2" t="s">
        <v>1</v>
      </c>
      <c r="R22" s="2" t="s">
        <v>1</v>
      </c>
      <c r="S22" s="2" t="s">
        <v>1</v>
      </c>
      <c r="T22" s="2" t="s">
        <v>3441</v>
      </c>
      <c r="U22" s="2" t="s">
        <v>42</v>
      </c>
      <c r="V22" s="2" t="s">
        <v>43</v>
      </c>
      <c r="W22" s="2" t="s">
        <v>1</v>
      </c>
      <c r="X22" s="2" t="s">
        <v>1</v>
      </c>
      <c r="Y22" s="2" t="s">
        <v>1</v>
      </c>
      <c r="Z22" s="2" t="s">
        <v>1</v>
      </c>
      <c r="AA22" s="2" t="s">
        <v>1</v>
      </c>
      <c r="AB22" s="2" t="s">
        <v>1</v>
      </c>
      <c r="AC22" s="2" t="s">
        <v>1</v>
      </c>
    </row>
    <row r="23" spans="1:29" x14ac:dyDescent="0.25">
      <c r="A23" s="2" t="s">
        <v>29</v>
      </c>
      <c r="B23" s="2" t="b">
        <v>0</v>
      </c>
      <c r="C23" s="2" t="s">
        <v>3887</v>
      </c>
      <c r="D23" s="2" t="s">
        <v>3888</v>
      </c>
      <c r="E23" s="2" t="s">
        <v>3889</v>
      </c>
      <c r="F23" s="1">
        <v>44284</v>
      </c>
      <c r="G23" s="1">
        <v>0.40972222222222227</v>
      </c>
      <c r="H23" s="1">
        <v>44284</v>
      </c>
      <c r="I23" s="2" t="s">
        <v>3235</v>
      </c>
      <c r="J23" s="2" t="s">
        <v>604</v>
      </c>
      <c r="K23" s="2" t="s">
        <v>24</v>
      </c>
      <c r="L23" s="2" t="s">
        <v>585</v>
      </c>
      <c r="M23" s="2" t="s">
        <v>3918</v>
      </c>
      <c r="N23" s="2" t="s">
        <v>1</v>
      </c>
      <c r="O23" s="2" t="s">
        <v>604</v>
      </c>
      <c r="P23" s="2">
        <v>1</v>
      </c>
      <c r="Q23" s="2" t="s">
        <v>1</v>
      </c>
      <c r="R23" s="2" t="s">
        <v>1</v>
      </c>
      <c r="S23" s="2" t="s">
        <v>1</v>
      </c>
      <c r="T23" s="2" t="s">
        <v>3369</v>
      </c>
      <c r="U23" s="2" t="s">
        <v>42</v>
      </c>
      <c r="V23" s="2" t="s">
        <v>43</v>
      </c>
      <c r="W23" s="2" t="s">
        <v>1</v>
      </c>
      <c r="X23" s="2" t="s">
        <v>1</v>
      </c>
      <c r="Y23" s="2" t="s">
        <v>1</v>
      </c>
      <c r="Z23" s="2" t="s">
        <v>1</v>
      </c>
      <c r="AA23" s="2" t="s">
        <v>1</v>
      </c>
      <c r="AB23" s="2" t="s">
        <v>1</v>
      </c>
      <c r="AC23" s="2" t="s">
        <v>1</v>
      </c>
    </row>
    <row r="24" spans="1:29" x14ac:dyDescent="0.25">
      <c r="A24" s="2" t="s">
        <v>29</v>
      </c>
      <c r="B24" s="2" t="b">
        <v>0</v>
      </c>
      <c r="C24" s="2" t="s">
        <v>3887</v>
      </c>
      <c r="D24" s="2" t="s">
        <v>3888</v>
      </c>
      <c r="E24" s="2" t="s">
        <v>3889</v>
      </c>
      <c r="F24" s="1">
        <v>44284</v>
      </c>
      <c r="G24" s="1">
        <v>0.40833333333333338</v>
      </c>
      <c r="H24" s="1">
        <v>44284</v>
      </c>
      <c r="I24" s="2" t="s">
        <v>2646</v>
      </c>
      <c r="J24" s="2" t="s">
        <v>586</v>
      </c>
      <c r="K24" s="2" t="s">
        <v>38</v>
      </c>
      <c r="L24" s="2" t="s">
        <v>585</v>
      </c>
      <c r="M24" s="2" t="s">
        <v>3923</v>
      </c>
      <c r="N24" s="2" t="s">
        <v>1</v>
      </c>
      <c r="O24" s="2" t="s">
        <v>586</v>
      </c>
      <c r="P24" s="2">
        <v>1</v>
      </c>
      <c r="Q24" s="2" t="s">
        <v>1</v>
      </c>
      <c r="R24" s="2" t="s">
        <v>1</v>
      </c>
      <c r="S24" s="2" t="s">
        <v>1</v>
      </c>
      <c r="T24" s="2" t="s">
        <v>3441</v>
      </c>
      <c r="U24" s="2" t="s">
        <v>42</v>
      </c>
      <c r="V24" s="2" t="s">
        <v>43</v>
      </c>
      <c r="W24" s="2" t="s">
        <v>1</v>
      </c>
      <c r="X24" s="2" t="s">
        <v>1</v>
      </c>
      <c r="Y24" s="2" t="s">
        <v>1</v>
      </c>
      <c r="Z24" s="2" t="s">
        <v>1</v>
      </c>
      <c r="AA24" s="2" t="s">
        <v>1</v>
      </c>
      <c r="AB24" s="2" t="s">
        <v>1</v>
      </c>
      <c r="AC24" s="2" t="s">
        <v>1</v>
      </c>
    </row>
    <row r="25" spans="1:29" x14ac:dyDescent="0.25">
      <c r="A25" s="2" t="s">
        <v>29</v>
      </c>
      <c r="B25" s="2" t="b">
        <v>0</v>
      </c>
      <c r="C25" s="2" t="s">
        <v>3887</v>
      </c>
      <c r="D25" s="2" t="s">
        <v>3888</v>
      </c>
      <c r="E25" s="2" t="s">
        <v>3889</v>
      </c>
      <c r="F25" s="1">
        <v>44284</v>
      </c>
      <c r="G25" s="1">
        <v>0.40763888888888888</v>
      </c>
      <c r="H25" s="1">
        <v>44284</v>
      </c>
      <c r="I25" s="2" t="s">
        <v>615</v>
      </c>
      <c r="J25" s="2" t="s">
        <v>586</v>
      </c>
      <c r="K25" s="2" t="s">
        <v>38</v>
      </c>
      <c r="L25" s="2" t="s">
        <v>585</v>
      </c>
      <c r="M25" s="2" t="s">
        <v>3924</v>
      </c>
      <c r="N25" s="2" t="s">
        <v>1</v>
      </c>
      <c r="O25" s="2" t="s">
        <v>586</v>
      </c>
      <c r="P25" s="2">
        <v>1</v>
      </c>
      <c r="Q25" s="2" t="s">
        <v>1</v>
      </c>
      <c r="R25" s="2" t="s">
        <v>1</v>
      </c>
      <c r="S25" s="2" t="s">
        <v>1</v>
      </c>
      <c r="T25" s="2" t="s">
        <v>3436</v>
      </c>
      <c r="U25" s="2" t="s">
        <v>42</v>
      </c>
      <c r="V25" s="2" t="s">
        <v>43</v>
      </c>
      <c r="W25" s="2" t="s">
        <v>1</v>
      </c>
      <c r="X25" s="2" t="s">
        <v>1</v>
      </c>
      <c r="Y25" s="2" t="s">
        <v>1</v>
      </c>
      <c r="Z25" s="2" t="s">
        <v>1</v>
      </c>
      <c r="AA25" s="2" t="s">
        <v>1</v>
      </c>
      <c r="AB25" s="2" t="s">
        <v>1</v>
      </c>
      <c r="AC25" s="2" t="s">
        <v>1</v>
      </c>
    </row>
    <row r="26" spans="1:29" x14ac:dyDescent="0.25">
      <c r="A26" s="2" t="s">
        <v>29</v>
      </c>
      <c r="B26" s="2" t="b">
        <v>0</v>
      </c>
      <c r="C26" s="2" t="s">
        <v>3887</v>
      </c>
      <c r="D26" s="2" t="s">
        <v>3888</v>
      </c>
      <c r="E26" s="2" t="s">
        <v>3889</v>
      </c>
      <c r="F26" s="1">
        <v>44284</v>
      </c>
      <c r="G26" s="1">
        <v>0.10972222222222222</v>
      </c>
      <c r="H26" s="1">
        <v>44284</v>
      </c>
      <c r="I26" s="2" t="s">
        <v>3925</v>
      </c>
      <c r="J26" s="2" t="s">
        <v>3926</v>
      </c>
      <c r="K26" s="2" t="s">
        <v>24</v>
      </c>
      <c r="L26" s="2" t="s">
        <v>585</v>
      </c>
      <c r="M26" s="2" t="s">
        <v>3907</v>
      </c>
      <c r="N26" s="2" t="s">
        <v>1</v>
      </c>
      <c r="O26" s="2" t="s">
        <v>3926</v>
      </c>
      <c r="P26" s="2">
        <v>1</v>
      </c>
      <c r="Q26" s="2" t="s">
        <v>1</v>
      </c>
      <c r="R26" s="2" t="s">
        <v>1</v>
      </c>
      <c r="S26" s="2" t="s">
        <v>1</v>
      </c>
      <c r="T26" s="2" t="s">
        <v>3506</v>
      </c>
      <c r="U26" s="2" t="s">
        <v>75</v>
      </c>
      <c r="V26" s="2" t="s">
        <v>43</v>
      </c>
      <c r="W26" s="2" t="s">
        <v>1</v>
      </c>
      <c r="X26" s="2" t="s">
        <v>1</v>
      </c>
      <c r="Y26" s="2" t="s">
        <v>1</v>
      </c>
      <c r="Z26" s="2" t="s">
        <v>1</v>
      </c>
      <c r="AA26" s="2" t="s">
        <v>1</v>
      </c>
      <c r="AB26" s="2" t="s">
        <v>1</v>
      </c>
      <c r="AC26" s="2" t="s">
        <v>1</v>
      </c>
    </row>
    <row r="27" spans="1:29" x14ac:dyDescent="0.25">
      <c r="A27" s="2" t="s">
        <v>29</v>
      </c>
      <c r="B27" s="2" t="b">
        <v>0</v>
      </c>
      <c r="C27" s="2" t="s">
        <v>3887</v>
      </c>
      <c r="D27" s="2" t="s">
        <v>3888</v>
      </c>
      <c r="E27" s="2" t="s">
        <v>3889</v>
      </c>
      <c r="F27" s="1">
        <v>44284</v>
      </c>
      <c r="G27" s="1">
        <v>0.10625</v>
      </c>
      <c r="H27" s="1">
        <v>44284</v>
      </c>
      <c r="I27" s="2" t="s">
        <v>3927</v>
      </c>
      <c r="J27" s="2" t="s">
        <v>3926</v>
      </c>
      <c r="K27" s="2" t="s">
        <v>24</v>
      </c>
      <c r="L27" s="2" t="s">
        <v>585</v>
      </c>
      <c r="M27" s="2" t="s">
        <v>3922</v>
      </c>
      <c r="N27" s="2" t="s">
        <v>1</v>
      </c>
      <c r="O27" s="2" t="s">
        <v>3926</v>
      </c>
      <c r="P27" s="2">
        <v>1</v>
      </c>
      <c r="Q27" s="2" t="s">
        <v>1</v>
      </c>
      <c r="R27" s="2" t="s">
        <v>1</v>
      </c>
      <c r="S27" s="2" t="s">
        <v>1</v>
      </c>
      <c r="T27" s="2" t="s">
        <v>3441</v>
      </c>
      <c r="U27" s="2" t="s">
        <v>42</v>
      </c>
      <c r="V27" s="2" t="s">
        <v>43</v>
      </c>
      <c r="W27" s="2" t="s">
        <v>1</v>
      </c>
      <c r="X27" s="2" t="s">
        <v>1</v>
      </c>
      <c r="Y27" s="2" t="s">
        <v>1</v>
      </c>
      <c r="Z27" s="2" t="s">
        <v>1</v>
      </c>
      <c r="AA27" s="2" t="s">
        <v>1</v>
      </c>
      <c r="AB27" s="2" t="s">
        <v>1</v>
      </c>
      <c r="AC27" s="2" t="s">
        <v>1</v>
      </c>
    </row>
    <row r="28" spans="1:29" x14ac:dyDescent="0.25">
      <c r="A28" s="2" t="s">
        <v>29</v>
      </c>
      <c r="B28" s="2" t="b">
        <v>0</v>
      </c>
      <c r="C28" s="2" t="s">
        <v>3887</v>
      </c>
      <c r="D28" s="2" t="s">
        <v>3888</v>
      </c>
      <c r="E28" s="2" t="s">
        <v>3889</v>
      </c>
      <c r="F28" s="1">
        <v>44284</v>
      </c>
      <c r="G28" s="1">
        <v>0.10208333333333332</v>
      </c>
      <c r="H28" s="1">
        <v>44284</v>
      </c>
      <c r="I28" s="2" t="s">
        <v>3244</v>
      </c>
      <c r="J28" s="2" t="s">
        <v>3926</v>
      </c>
      <c r="K28" s="2" t="s">
        <v>24</v>
      </c>
      <c r="L28" s="2" t="s">
        <v>585</v>
      </c>
      <c r="M28" s="2" t="s">
        <v>3920</v>
      </c>
      <c r="N28" s="2" t="s">
        <v>1</v>
      </c>
      <c r="O28" s="2" t="s">
        <v>3926</v>
      </c>
      <c r="P28" s="2">
        <v>1</v>
      </c>
      <c r="Q28" s="2" t="s">
        <v>1</v>
      </c>
      <c r="R28" s="2" t="s">
        <v>1</v>
      </c>
      <c r="S28" s="2" t="s">
        <v>1</v>
      </c>
      <c r="T28" s="2" t="s">
        <v>3436</v>
      </c>
      <c r="U28" s="2" t="s">
        <v>42</v>
      </c>
      <c r="V28" s="2" t="s">
        <v>43</v>
      </c>
      <c r="W28" s="2" t="s">
        <v>1</v>
      </c>
      <c r="X28" s="2" t="s">
        <v>1</v>
      </c>
      <c r="Y28" s="2" t="s">
        <v>1</v>
      </c>
      <c r="Z28" s="2" t="s">
        <v>1</v>
      </c>
      <c r="AA28" s="2" t="s">
        <v>1</v>
      </c>
      <c r="AB28" s="2" t="s">
        <v>1</v>
      </c>
      <c r="AC28" s="2" t="s">
        <v>1</v>
      </c>
    </row>
    <row r="29" spans="1:29" x14ac:dyDescent="0.25">
      <c r="A29" s="2" t="s">
        <v>29</v>
      </c>
      <c r="B29" s="2" t="b">
        <v>0</v>
      </c>
      <c r="C29" s="2" t="s">
        <v>3887</v>
      </c>
      <c r="D29" s="2" t="s">
        <v>3888</v>
      </c>
      <c r="E29" s="2" t="s">
        <v>3889</v>
      </c>
      <c r="F29" s="1">
        <v>44284</v>
      </c>
      <c r="G29" s="1">
        <v>9.8611111111111108E-2</v>
      </c>
      <c r="H29" s="1">
        <v>44284</v>
      </c>
      <c r="I29" s="2" t="s">
        <v>3928</v>
      </c>
      <c r="J29" s="2" t="s">
        <v>3926</v>
      </c>
      <c r="K29" s="2" t="s">
        <v>24</v>
      </c>
      <c r="L29" s="2" t="s">
        <v>585</v>
      </c>
      <c r="M29" s="2" t="s">
        <v>3910</v>
      </c>
      <c r="N29" s="2" t="s">
        <v>1</v>
      </c>
      <c r="O29" s="2" t="s">
        <v>3926</v>
      </c>
      <c r="P29" s="2">
        <v>1</v>
      </c>
      <c r="Q29" s="2" t="s">
        <v>1</v>
      </c>
      <c r="R29" s="2" t="s">
        <v>1</v>
      </c>
      <c r="S29" s="2" t="s">
        <v>1</v>
      </c>
      <c r="T29" s="2" t="s">
        <v>3488</v>
      </c>
      <c r="U29" s="2" t="s">
        <v>75</v>
      </c>
      <c r="V29" s="2" t="s">
        <v>43</v>
      </c>
      <c r="W29" s="2" t="s">
        <v>1</v>
      </c>
      <c r="X29" s="2" t="s">
        <v>1</v>
      </c>
      <c r="Y29" s="2" t="s">
        <v>1</v>
      </c>
      <c r="Z29" s="2" t="s">
        <v>1</v>
      </c>
      <c r="AA29" s="2" t="s">
        <v>1</v>
      </c>
      <c r="AB29" s="2" t="s">
        <v>1</v>
      </c>
      <c r="AC29" s="2" t="s">
        <v>1</v>
      </c>
    </row>
    <row r="30" spans="1:29" x14ac:dyDescent="0.25">
      <c r="A30" s="2" t="s">
        <v>29</v>
      </c>
      <c r="B30" s="2" t="b">
        <v>0</v>
      </c>
      <c r="C30" s="2" t="s">
        <v>3887</v>
      </c>
      <c r="D30" s="2" t="s">
        <v>3888</v>
      </c>
      <c r="E30" s="2" t="s">
        <v>3889</v>
      </c>
      <c r="F30" s="1">
        <v>44284</v>
      </c>
      <c r="G30" s="1">
        <v>9.5138888888888884E-2</v>
      </c>
      <c r="H30" s="1">
        <v>44284</v>
      </c>
      <c r="I30" s="2" t="s">
        <v>3929</v>
      </c>
      <c r="J30" s="2" t="s">
        <v>3926</v>
      </c>
      <c r="K30" s="2" t="s">
        <v>24</v>
      </c>
      <c r="L30" s="2" t="s">
        <v>585</v>
      </c>
      <c r="M30" s="2" t="s">
        <v>3914</v>
      </c>
      <c r="N30" s="2" t="s">
        <v>1</v>
      </c>
      <c r="O30" s="2" t="s">
        <v>3926</v>
      </c>
      <c r="P30" s="2">
        <v>1</v>
      </c>
      <c r="Q30" s="2" t="s">
        <v>1</v>
      </c>
      <c r="R30" s="2" t="s">
        <v>1</v>
      </c>
      <c r="S30" s="2" t="s">
        <v>1</v>
      </c>
      <c r="T30" s="2" t="s">
        <v>3481</v>
      </c>
      <c r="U30" s="2" t="s">
        <v>75</v>
      </c>
      <c r="V30" s="2" t="s">
        <v>43</v>
      </c>
      <c r="W30" s="2" t="s">
        <v>1</v>
      </c>
      <c r="X30" s="2" t="s">
        <v>1</v>
      </c>
      <c r="Y30" s="2" t="s">
        <v>1</v>
      </c>
      <c r="Z30" s="2" t="s">
        <v>1</v>
      </c>
      <c r="AA30" s="2" t="s">
        <v>1</v>
      </c>
      <c r="AB30" s="2" t="s">
        <v>1</v>
      </c>
      <c r="AC30" s="2" t="s">
        <v>1</v>
      </c>
    </row>
    <row r="31" spans="1:29" x14ac:dyDescent="0.25">
      <c r="A31" s="2" t="s">
        <v>29</v>
      </c>
      <c r="B31" s="2" t="b">
        <v>0</v>
      </c>
      <c r="C31" s="2" t="s">
        <v>3887</v>
      </c>
      <c r="D31" s="2" t="s">
        <v>3888</v>
      </c>
      <c r="E31" s="2" t="s">
        <v>3889</v>
      </c>
      <c r="F31" s="1">
        <v>44280</v>
      </c>
      <c r="G31" s="1">
        <v>0.36736111111111114</v>
      </c>
      <c r="H31" s="1">
        <v>44280</v>
      </c>
      <c r="I31" s="2" t="s">
        <v>3930</v>
      </c>
      <c r="J31" s="2" t="s">
        <v>590</v>
      </c>
      <c r="K31" s="2" t="s">
        <v>24</v>
      </c>
      <c r="L31" s="2" t="s">
        <v>585</v>
      </c>
      <c r="M31" s="2" t="s">
        <v>3931</v>
      </c>
      <c r="N31" s="2" t="s">
        <v>1</v>
      </c>
      <c r="O31" s="2" t="s">
        <v>590</v>
      </c>
      <c r="P31" s="2">
        <v>1</v>
      </c>
      <c r="Q31" s="2" t="s">
        <v>1</v>
      </c>
      <c r="R31" s="2" t="s">
        <v>1</v>
      </c>
      <c r="S31" s="2" t="s">
        <v>1</v>
      </c>
      <c r="T31" s="2" t="s">
        <v>3393</v>
      </c>
      <c r="U31" s="2" t="s">
        <v>3932</v>
      </c>
      <c r="V31" s="2" t="s">
        <v>3933</v>
      </c>
      <c r="W31" s="2" t="s">
        <v>1</v>
      </c>
      <c r="X31" s="2" t="s">
        <v>1</v>
      </c>
      <c r="Y31" s="2" t="s">
        <v>1</v>
      </c>
      <c r="Z31" s="2" t="s">
        <v>1</v>
      </c>
      <c r="AA31" s="2" t="s">
        <v>1</v>
      </c>
      <c r="AB31" s="2" t="s">
        <v>1</v>
      </c>
      <c r="AC31" s="2" t="s">
        <v>1</v>
      </c>
    </row>
    <row r="32" spans="1:29" x14ac:dyDescent="0.25">
      <c r="A32" s="2" t="s">
        <v>29</v>
      </c>
      <c r="B32" s="2" t="b">
        <v>0</v>
      </c>
      <c r="C32" s="2" t="s">
        <v>3887</v>
      </c>
      <c r="D32" s="2" t="s">
        <v>3888</v>
      </c>
      <c r="E32" s="2" t="s">
        <v>3889</v>
      </c>
      <c r="F32" s="1">
        <v>44280</v>
      </c>
      <c r="G32" s="1">
        <v>0.31041666666666667</v>
      </c>
      <c r="H32" s="1">
        <v>44280</v>
      </c>
      <c r="I32" s="2" t="s">
        <v>3934</v>
      </c>
      <c r="J32" s="2" t="s">
        <v>3935</v>
      </c>
      <c r="K32" s="2" t="s">
        <v>24</v>
      </c>
      <c r="L32" s="2" t="s">
        <v>585</v>
      </c>
      <c r="M32" s="2" t="s">
        <v>3936</v>
      </c>
      <c r="N32" s="2" t="s">
        <v>1</v>
      </c>
      <c r="O32" s="2" t="s">
        <v>3935</v>
      </c>
      <c r="P32" s="2">
        <v>1</v>
      </c>
      <c r="Q32" s="2" t="s">
        <v>1</v>
      </c>
      <c r="R32" s="2" t="s">
        <v>1</v>
      </c>
      <c r="S32" s="2" t="s">
        <v>1</v>
      </c>
      <c r="T32" s="2" t="s">
        <v>3470</v>
      </c>
      <c r="U32" s="2" t="s">
        <v>3932</v>
      </c>
      <c r="V32" s="2" t="s">
        <v>3933</v>
      </c>
      <c r="W32" s="2" t="s">
        <v>1</v>
      </c>
      <c r="X32" s="2" t="s">
        <v>1</v>
      </c>
      <c r="Y32" s="2" t="s">
        <v>1</v>
      </c>
      <c r="Z32" s="2" t="s">
        <v>1</v>
      </c>
      <c r="AA32" s="2" t="s">
        <v>1</v>
      </c>
      <c r="AB32" s="2" t="s">
        <v>1</v>
      </c>
      <c r="AC32" s="2" t="s">
        <v>1</v>
      </c>
    </row>
    <row r="33" spans="1:29" x14ac:dyDescent="0.25">
      <c r="A33" s="2" t="s">
        <v>29</v>
      </c>
      <c r="B33" s="2" t="b">
        <v>0</v>
      </c>
      <c r="C33" s="2" t="s">
        <v>3887</v>
      </c>
      <c r="D33" s="2" t="s">
        <v>3888</v>
      </c>
      <c r="E33" s="2" t="s">
        <v>3889</v>
      </c>
      <c r="F33" s="1">
        <v>44277</v>
      </c>
      <c r="G33" s="1">
        <v>0.43888888888888888</v>
      </c>
      <c r="H33" s="1">
        <v>44277</v>
      </c>
      <c r="I33" s="2" t="s">
        <v>3937</v>
      </c>
      <c r="J33" s="2" t="s">
        <v>609</v>
      </c>
      <c r="K33" s="2" t="s">
        <v>24</v>
      </c>
      <c r="L33" s="2" t="s">
        <v>585</v>
      </c>
      <c r="M33" s="2" t="s">
        <v>3938</v>
      </c>
      <c r="N33" s="2" t="s">
        <v>1</v>
      </c>
      <c r="O33" s="2" t="s">
        <v>609</v>
      </c>
      <c r="P33" s="2">
        <v>1</v>
      </c>
      <c r="Q33" s="2" t="s">
        <v>1</v>
      </c>
      <c r="R33" s="2" t="s">
        <v>1</v>
      </c>
      <c r="S33" s="2" t="s">
        <v>1</v>
      </c>
      <c r="T33" s="2" t="s">
        <v>3315</v>
      </c>
      <c r="U33" s="2" t="s">
        <v>3939</v>
      </c>
      <c r="V33" s="2" t="s">
        <v>3940</v>
      </c>
      <c r="W33" s="2" t="s">
        <v>1</v>
      </c>
      <c r="X33" s="2" t="s">
        <v>1</v>
      </c>
      <c r="Y33" s="2" t="s">
        <v>1</v>
      </c>
      <c r="Z33" s="2" t="s">
        <v>1</v>
      </c>
      <c r="AA33" s="2" t="s">
        <v>1</v>
      </c>
      <c r="AB33" s="2" t="s">
        <v>1</v>
      </c>
      <c r="AC33" s="2" t="s">
        <v>1</v>
      </c>
    </row>
    <row r="34" spans="1:29" x14ac:dyDescent="0.25">
      <c r="A34" s="2" t="s">
        <v>29</v>
      </c>
      <c r="B34" s="2" t="b">
        <v>0</v>
      </c>
      <c r="C34" s="2" t="s">
        <v>3887</v>
      </c>
      <c r="D34" s="2" t="s">
        <v>3888</v>
      </c>
      <c r="E34" s="2" t="s">
        <v>3889</v>
      </c>
      <c r="F34" s="1">
        <v>44277</v>
      </c>
      <c r="G34" s="1">
        <v>0.4381944444444445</v>
      </c>
      <c r="H34" s="1">
        <v>44277</v>
      </c>
      <c r="I34" s="2" t="s">
        <v>3242</v>
      </c>
      <c r="J34" s="2" t="s">
        <v>609</v>
      </c>
      <c r="K34" s="2" t="s">
        <v>24</v>
      </c>
      <c r="L34" s="2" t="s">
        <v>585</v>
      </c>
      <c r="M34" s="2" t="s">
        <v>3941</v>
      </c>
      <c r="N34" s="2" t="s">
        <v>1</v>
      </c>
      <c r="O34" s="2" t="s">
        <v>609</v>
      </c>
      <c r="P34" s="2">
        <v>1</v>
      </c>
      <c r="Q34" s="2" t="s">
        <v>1</v>
      </c>
      <c r="R34" s="2" t="s">
        <v>1</v>
      </c>
      <c r="S34" s="2" t="s">
        <v>1</v>
      </c>
      <c r="T34" s="2" t="s">
        <v>3313</v>
      </c>
      <c r="U34" s="2" t="s">
        <v>3939</v>
      </c>
      <c r="V34" s="2" t="s">
        <v>3940</v>
      </c>
      <c r="W34" s="2" t="s">
        <v>1</v>
      </c>
      <c r="X34" s="2" t="s">
        <v>1</v>
      </c>
      <c r="Y34" s="2" t="s">
        <v>1</v>
      </c>
      <c r="Z34" s="2" t="s">
        <v>1</v>
      </c>
      <c r="AA34" s="2" t="s">
        <v>1</v>
      </c>
      <c r="AB34" s="2" t="s">
        <v>1</v>
      </c>
      <c r="AC34" s="2" t="s">
        <v>1</v>
      </c>
    </row>
    <row r="35" spans="1:29" x14ac:dyDescent="0.25">
      <c r="A35" s="2" t="s">
        <v>29</v>
      </c>
      <c r="B35" s="2" t="b">
        <v>0</v>
      </c>
      <c r="C35" s="2" t="s">
        <v>3887</v>
      </c>
      <c r="D35" s="2" t="s">
        <v>3888</v>
      </c>
      <c r="E35" s="2" t="s">
        <v>3889</v>
      </c>
      <c r="F35" s="1">
        <v>44277</v>
      </c>
      <c r="G35" s="1">
        <v>0.4375</v>
      </c>
      <c r="H35" s="1">
        <v>44277</v>
      </c>
      <c r="I35" s="2" t="s">
        <v>3231</v>
      </c>
      <c r="J35" s="2" t="s">
        <v>609</v>
      </c>
      <c r="K35" s="2" t="s">
        <v>24</v>
      </c>
      <c r="L35" s="2" t="s">
        <v>585</v>
      </c>
      <c r="M35" s="2" t="s">
        <v>3942</v>
      </c>
      <c r="N35" s="2" t="s">
        <v>1</v>
      </c>
      <c r="O35" s="2" t="s">
        <v>609</v>
      </c>
      <c r="P35" s="2">
        <v>1</v>
      </c>
      <c r="Q35" s="2" t="s">
        <v>1</v>
      </c>
      <c r="R35" s="2" t="s">
        <v>1</v>
      </c>
      <c r="S35" s="2" t="s">
        <v>1</v>
      </c>
      <c r="T35" s="2" t="s">
        <v>3137</v>
      </c>
      <c r="U35" s="2" t="s">
        <v>3939</v>
      </c>
      <c r="V35" s="2" t="s">
        <v>3940</v>
      </c>
      <c r="W35" s="2" t="s">
        <v>1</v>
      </c>
      <c r="X35" s="2" t="s">
        <v>1</v>
      </c>
      <c r="Y35" s="2" t="s">
        <v>1</v>
      </c>
      <c r="Z35" s="2" t="s">
        <v>1</v>
      </c>
      <c r="AA35" s="2" t="s">
        <v>1</v>
      </c>
      <c r="AB35" s="2" t="s">
        <v>1</v>
      </c>
      <c r="AC35" s="2" t="s">
        <v>1</v>
      </c>
    </row>
    <row r="36" spans="1:29" x14ac:dyDescent="0.25">
      <c r="A36" s="2" t="s">
        <v>29</v>
      </c>
      <c r="B36" s="2" t="b">
        <v>0</v>
      </c>
      <c r="C36" s="2" t="s">
        <v>3887</v>
      </c>
      <c r="D36" s="2" t="s">
        <v>3888</v>
      </c>
      <c r="E36" s="2" t="s">
        <v>3889</v>
      </c>
      <c r="F36" s="1">
        <v>44277</v>
      </c>
      <c r="G36" s="1">
        <v>0.4368055555555555</v>
      </c>
      <c r="H36" s="1">
        <v>44277</v>
      </c>
      <c r="I36" s="2" t="s">
        <v>3913</v>
      </c>
      <c r="J36" s="2" t="s">
        <v>609</v>
      </c>
      <c r="K36" s="2" t="s">
        <v>24</v>
      </c>
      <c r="L36" s="2" t="s">
        <v>585</v>
      </c>
      <c r="M36" s="2" t="s">
        <v>3943</v>
      </c>
      <c r="N36" s="2" t="s">
        <v>1</v>
      </c>
      <c r="O36" s="2" t="s">
        <v>609</v>
      </c>
      <c r="P36" s="2">
        <v>1</v>
      </c>
      <c r="Q36" s="2" t="s">
        <v>1</v>
      </c>
      <c r="R36" s="2" t="s">
        <v>1</v>
      </c>
      <c r="S36" s="2" t="s">
        <v>1</v>
      </c>
      <c r="T36" s="2" t="s">
        <v>3123</v>
      </c>
      <c r="U36" s="2" t="s">
        <v>3939</v>
      </c>
      <c r="V36" s="2" t="s">
        <v>3940</v>
      </c>
      <c r="W36" s="2" t="s">
        <v>1</v>
      </c>
      <c r="X36" s="2" t="s">
        <v>1</v>
      </c>
      <c r="Y36" s="2" t="s">
        <v>1</v>
      </c>
      <c r="Z36" s="2" t="s">
        <v>1</v>
      </c>
      <c r="AA36" s="2" t="s">
        <v>1</v>
      </c>
      <c r="AB36" s="2" t="s">
        <v>1</v>
      </c>
      <c r="AC36" s="2" t="s">
        <v>1</v>
      </c>
    </row>
    <row r="37" spans="1:29" x14ac:dyDescent="0.25">
      <c r="A37" s="2" t="s">
        <v>29</v>
      </c>
      <c r="B37" s="2" t="b">
        <v>0</v>
      </c>
      <c r="C37" s="2" t="s">
        <v>3887</v>
      </c>
      <c r="D37" s="2" t="s">
        <v>3888</v>
      </c>
      <c r="E37" s="2" t="s">
        <v>3889</v>
      </c>
      <c r="F37" s="1">
        <v>44277</v>
      </c>
      <c r="G37" s="1">
        <v>0.43541666666666662</v>
      </c>
      <c r="H37" s="1">
        <v>44277</v>
      </c>
      <c r="I37" s="2" t="s">
        <v>3944</v>
      </c>
      <c r="J37" s="2" t="s">
        <v>609</v>
      </c>
      <c r="K37" s="2" t="s">
        <v>24</v>
      </c>
      <c r="L37" s="2" t="s">
        <v>585</v>
      </c>
      <c r="M37" s="2" t="s">
        <v>3945</v>
      </c>
      <c r="N37" s="2" t="s">
        <v>1</v>
      </c>
      <c r="O37" s="2" t="s">
        <v>609</v>
      </c>
      <c r="P37" s="2">
        <v>1</v>
      </c>
      <c r="Q37" s="2" t="s">
        <v>1</v>
      </c>
      <c r="R37" s="2" t="s">
        <v>1</v>
      </c>
      <c r="S37" s="2" t="s">
        <v>1</v>
      </c>
      <c r="T37" s="2" t="s">
        <v>3103</v>
      </c>
      <c r="U37" s="2" t="s">
        <v>3939</v>
      </c>
      <c r="V37" s="2" t="s">
        <v>3940</v>
      </c>
      <c r="W37" s="2" t="s">
        <v>1</v>
      </c>
      <c r="X37" s="2" t="s">
        <v>1</v>
      </c>
      <c r="Y37" s="2" t="s">
        <v>1</v>
      </c>
      <c r="Z37" s="2" t="s">
        <v>1</v>
      </c>
      <c r="AA37" s="2" t="s">
        <v>1</v>
      </c>
      <c r="AB37" s="2" t="s">
        <v>1</v>
      </c>
      <c r="AC37" s="2" t="s">
        <v>1</v>
      </c>
    </row>
    <row r="38" spans="1:29" x14ac:dyDescent="0.25">
      <c r="A38" s="2" t="s">
        <v>29</v>
      </c>
      <c r="B38" s="2" t="b">
        <v>0</v>
      </c>
      <c r="C38" s="2" t="s">
        <v>3887</v>
      </c>
      <c r="D38" s="2" t="s">
        <v>3888</v>
      </c>
      <c r="E38" s="2" t="s">
        <v>3889</v>
      </c>
      <c r="F38" s="1">
        <v>44277</v>
      </c>
      <c r="G38" s="1">
        <v>0.43541666666666662</v>
      </c>
      <c r="H38" s="1">
        <v>44277</v>
      </c>
      <c r="I38" s="2" t="s">
        <v>3944</v>
      </c>
      <c r="J38" s="2" t="s">
        <v>609</v>
      </c>
      <c r="K38" s="2" t="s">
        <v>24</v>
      </c>
      <c r="L38" s="2" t="s">
        <v>585</v>
      </c>
      <c r="M38" s="2" t="s">
        <v>3946</v>
      </c>
      <c r="N38" s="2" t="s">
        <v>1</v>
      </c>
      <c r="O38" s="2" t="s">
        <v>609</v>
      </c>
      <c r="P38" s="2">
        <v>1</v>
      </c>
      <c r="Q38" s="2" t="s">
        <v>1</v>
      </c>
      <c r="R38" s="2" t="s">
        <v>1</v>
      </c>
      <c r="S38" s="2" t="s">
        <v>1</v>
      </c>
      <c r="T38" s="2" t="s">
        <v>3105</v>
      </c>
      <c r="U38" s="2" t="s">
        <v>3939</v>
      </c>
      <c r="V38" s="2" t="s">
        <v>3940</v>
      </c>
      <c r="W38" s="2" t="s">
        <v>1</v>
      </c>
      <c r="X38" s="2" t="s">
        <v>1</v>
      </c>
      <c r="Y38" s="2" t="s">
        <v>1</v>
      </c>
      <c r="Z38" s="2" t="s">
        <v>1</v>
      </c>
      <c r="AA38" s="2" t="s">
        <v>1</v>
      </c>
      <c r="AB38" s="2" t="s">
        <v>1</v>
      </c>
      <c r="AC38" s="2" t="s">
        <v>1</v>
      </c>
    </row>
    <row r="39" spans="1:29" x14ac:dyDescent="0.25">
      <c r="A39" s="2" t="s">
        <v>29</v>
      </c>
      <c r="B39" s="2" t="b">
        <v>0</v>
      </c>
      <c r="C39" s="2" t="s">
        <v>3887</v>
      </c>
      <c r="D39" s="2" t="s">
        <v>3888</v>
      </c>
      <c r="E39" s="2" t="s">
        <v>3889</v>
      </c>
      <c r="F39" s="1">
        <v>44277</v>
      </c>
      <c r="G39" s="1">
        <v>0.34791666666666665</v>
      </c>
      <c r="H39" s="1">
        <v>44277</v>
      </c>
      <c r="I39" s="2" t="s">
        <v>3947</v>
      </c>
      <c r="J39" s="2" t="s">
        <v>609</v>
      </c>
      <c r="K39" s="2" t="s">
        <v>38</v>
      </c>
      <c r="L39" s="2" t="s">
        <v>585</v>
      </c>
      <c r="M39" s="2" t="s">
        <v>3948</v>
      </c>
      <c r="N39" s="2" t="s">
        <v>1</v>
      </c>
      <c r="O39" s="2" t="s">
        <v>609</v>
      </c>
      <c r="P39" s="2">
        <v>1</v>
      </c>
      <c r="Q39" s="2" t="s">
        <v>1</v>
      </c>
      <c r="R39" s="2" t="s">
        <v>1</v>
      </c>
      <c r="S39" s="2" t="s">
        <v>1</v>
      </c>
      <c r="T39" s="2" t="s">
        <v>3002</v>
      </c>
      <c r="U39" s="2" t="s">
        <v>3891</v>
      </c>
      <c r="V39" s="2" t="s">
        <v>3892</v>
      </c>
      <c r="W39" s="2" t="s">
        <v>1</v>
      </c>
      <c r="X39" s="2" t="s">
        <v>1</v>
      </c>
      <c r="Y39" s="2" t="s">
        <v>1</v>
      </c>
      <c r="Z39" s="2" t="s">
        <v>1</v>
      </c>
      <c r="AA39" s="2" t="s">
        <v>1</v>
      </c>
      <c r="AB39" s="2" t="s">
        <v>1</v>
      </c>
      <c r="AC39" s="2" t="s">
        <v>1</v>
      </c>
    </row>
    <row r="40" spans="1:29" x14ac:dyDescent="0.25">
      <c r="A40" s="2" t="s">
        <v>29</v>
      </c>
      <c r="B40" s="2" t="b">
        <v>0</v>
      </c>
      <c r="C40" s="2" t="s">
        <v>3887</v>
      </c>
      <c r="D40" s="2" t="s">
        <v>3888</v>
      </c>
      <c r="E40" s="2" t="s">
        <v>3889</v>
      </c>
      <c r="F40" s="1">
        <v>44277</v>
      </c>
      <c r="G40" s="1">
        <v>0.31388888888888888</v>
      </c>
      <c r="H40" s="1">
        <v>44277</v>
      </c>
      <c r="I40" s="2" t="s">
        <v>3238</v>
      </c>
      <c r="J40" s="2" t="s">
        <v>609</v>
      </c>
      <c r="K40" s="2" t="s">
        <v>38</v>
      </c>
      <c r="L40" s="2" t="s">
        <v>585</v>
      </c>
      <c r="M40" s="2" t="s">
        <v>3949</v>
      </c>
      <c r="N40" s="2" t="s">
        <v>1</v>
      </c>
      <c r="O40" s="2" t="s">
        <v>609</v>
      </c>
      <c r="P40" s="2">
        <v>1</v>
      </c>
      <c r="Q40" s="2" t="s">
        <v>1</v>
      </c>
      <c r="R40" s="2" t="s">
        <v>1</v>
      </c>
      <c r="S40" s="2" t="s">
        <v>1</v>
      </c>
      <c r="T40" s="2" t="s">
        <v>2999</v>
      </c>
      <c r="U40" s="2" t="s">
        <v>3891</v>
      </c>
      <c r="V40" s="2" t="s">
        <v>3892</v>
      </c>
      <c r="W40" s="2" t="s">
        <v>1</v>
      </c>
      <c r="X40" s="2" t="s">
        <v>1</v>
      </c>
      <c r="Y40" s="2" t="s">
        <v>1</v>
      </c>
      <c r="Z40" s="2" t="s">
        <v>1</v>
      </c>
      <c r="AA40" s="2" t="s">
        <v>1</v>
      </c>
      <c r="AB40" s="2" t="s">
        <v>1</v>
      </c>
      <c r="AC40" s="2" t="s">
        <v>1</v>
      </c>
    </row>
    <row r="41" spans="1:29" x14ac:dyDescent="0.25">
      <c r="A41" s="2" t="s">
        <v>29</v>
      </c>
      <c r="B41" s="2" t="b">
        <v>0</v>
      </c>
      <c r="C41" s="2" t="s">
        <v>3887</v>
      </c>
      <c r="D41" s="2" t="s">
        <v>3888</v>
      </c>
      <c r="E41" s="2" t="s">
        <v>3889</v>
      </c>
      <c r="F41" s="1">
        <v>44277</v>
      </c>
      <c r="G41" s="1">
        <v>0.2638888888888889</v>
      </c>
      <c r="H41" s="1">
        <v>44277</v>
      </c>
      <c r="I41" s="2" t="s">
        <v>2582</v>
      </c>
      <c r="J41" s="2" t="s">
        <v>3950</v>
      </c>
      <c r="K41" s="2" t="s">
        <v>24</v>
      </c>
      <c r="L41" s="2" t="s">
        <v>585</v>
      </c>
      <c r="M41" s="2" t="s">
        <v>3951</v>
      </c>
      <c r="N41" s="2" t="s">
        <v>1</v>
      </c>
      <c r="O41" s="2" t="s">
        <v>3950</v>
      </c>
      <c r="P41" s="2">
        <v>1</v>
      </c>
      <c r="Q41" s="2" t="s">
        <v>1</v>
      </c>
      <c r="R41" s="2" t="s">
        <v>1</v>
      </c>
      <c r="S41" s="2" t="s">
        <v>1</v>
      </c>
      <c r="T41" s="2" t="s">
        <v>3002</v>
      </c>
      <c r="U41" s="2" t="s">
        <v>3891</v>
      </c>
      <c r="V41" s="2" t="s">
        <v>3892</v>
      </c>
      <c r="W41" s="2" t="s">
        <v>1</v>
      </c>
      <c r="X41" s="2" t="s">
        <v>1</v>
      </c>
      <c r="Y41" s="2" t="s">
        <v>1</v>
      </c>
      <c r="Z41" s="2" t="s">
        <v>1</v>
      </c>
      <c r="AA41" s="2" t="s">
        <v>1</v>
      </c>
      <c r="AB41" s="2" t="s">
        <v>1</v>
      </c>
      <c r="AC41" s="2" t="s">
        <v>1</v>
      </c>
    </row>
    <row r="42" spans="1:29" x14ac:dyDescent="0.25">
      <c r="A42" s="2" t="s">
        <v>29</v>
      </c>
      <c r="B42" s="2" t="b">
        <v>0</v>
      </c>
      <c r="C42" s="2" t="s">
        <v>3887</v>
      </c>
      <c r="D42" s="2" t="s">
        <v>3888</v>
      </c>
      <c r="E42" s="2" t="s">
        <v>3889</v>
      </c>
      <c r="F42" s="1">
        <v>44277</v>
      </c>
      <c r="G42" s="1">
        <v>0.24166666666666667</v>
      </c>
      <c r="H42" s="1">
        <v>44277</v>
      </c>
      <c r="I42" s="2" t="s">
        <v>3952</v>
      </c>
      <c r="J42" s="2" t="s">
        <v>3950</v>
      </c>
      <c r="K42" s="2" t="s">
        <v>24</v>
      </c>
      <c r="L42" s="2" t="s">
        <v>585</v>
      </c>
      <c r="M42" s="2" t="s">
        <v>3953</v>
      </c>
      <c r="N42" s="2" t="s">
        <v>1</v>
      </c>
      <c r="O42" s="2" t="s">
        <v>3950</v>
      </c>
      <c r="P42" s="2">
        <v>1</v>
      </c>
      <c r="Q42" s="2" t="s">
        <v>1</v>
      </c>
      <c r="R42" s="2" t="s">
        <v>1</v>
      </c>
      <c r="S42" s="2" t="s">
        <v>1</v>
      </c>
      <c r="T42" s="2" t="s">
        <v>2999</v>
      </c>
      <c r="U42" s="2" t="s">
        <v>3891</v>
      </c>
      <c r="V42" s="2" t="s">
        <v>3892</v>
      </c>
      <c r="W42" s="2" t="s">
        <v>1</v>
      </c>
      <c r="X42" s="2" t="s">
        <v>1</v>
      </c>
      <c r="Y42" s="2" t="s">
        <v>1</v>
      </c>
      <c r="Z42" s="2" t="s">
        <v>1</v>
      </c>
      <c r="AA42" s="2" t="s">
        <v>1</v>
      </c>
      <c r="AB42" s="2" t="s">
        <v>1</v>
      </c>
      <c r="AC42" s="2" t="s">
        <v>1</v>
      </c>
    </row>
    <row r="43" spans="1:29" x14ac:dyDescent="0.25">
      <c r="A43" s="2" t="s">
        <v>29</v>
      </c>
      <c r="B43" s="2" t="b">
        <v>0</v>
      </c>
      <c r="C43" s="2" t="s">
        <v>3887</v>
      </c>
      <c r="D43" s="2" t="s">
        <v>3888</v>
      </c>
      <c r="E43" s="2" t="s">
        <v>3889</v>
      </c>
      <c r="F43" s="1">
        <v>44277</v>
      </c>
      <c r="G43" s="1">
        <v>0.13333333333333333</v>
      </c>
      <c r="H43" s="1">
        <v>44277</v>
      </c>
      <c r="I43" s="2" t="s">
        <v>3954</v>
      </c>
      <c r="J43" s="2" t="s">
        <v>3926</v>
      </c>
      <c r="K43" s="2" t="s">
        <v>24</v>
      </c>
      <c r="L43" s="2" t="s">
        <v>585</v>
      </c>
      <c r="M43" s="2" t="s">
        <v>3955</v>
      </c>
      <c r="N43" s="2" t="s">
        <v>1</v>
      </c>
      <c r="O43" s="2" t="s">
        <v>3926</v>
      </c>
      <c r="P43" s="2">
        <v>1</v>
      </c>
      <c r="Q43" s="2" t="s">
        <v>1</v>
      </c>
      <c r="R43" s="2" t="s">
        <v>1</v>
      </c>
      <c r="S43" s="2" t="s">
        <v>1</v>
      </c>
      <c r="T43" s="2" t="s">
        <v>3332</v>
      </c>
      <c r="U43" s="2" t="s">
        <v>75</v>
      </c>
      <c r="V43" s="2" t="s">
        <v>43</v>
      </c>
      <c r="W43" s="2" t="s">
        <v>1</v>
      </c>
      <c r="X43" s="2" t="s">
        <v>1</v>
      </c>
      <c r="Y43" s="2" t="s">
        <v>1</v>
      </c>
      <c r="Z43" s="2" t="s">
        <v>1</v>
      </c>
      <c r="AA43" s="2" t="s">
        <v>1</v>
      </c>
      <c r="AB43" s="2" t="s">
        <v>1</v>
      </c>
      <c r="AC43" s="2" t="s">
        <v>1</v>
      </c>
    </row>
    <row r="44" spans="1:29" x14ac:dyDescent="0.25">
      <c r="A44" s="2" t="s">
        <v>29</v>
      </c>
      <c r="B44" s="2" t="b">
        <v>0</v>
      </c>
      <c r="C44" s="2" t="s">
        <v>3887</v>
      </c>
      <c r="D44" s="2" t="s">
        <v>3888</v>
      </c>
      <c r="E44" s="2" t="s">
        <v>3889</v>
      </c>
      <c r="F44" s="1">
        <v>44277</v>
      </c>
      <c r="G44" s="1">
        <v>3.2638888888888891E-2</v>
      </c>
      <c r="H44" s="1">
        <v>44277</v>
      </c>
      <c r="I44" s="2" t="s">
        <v>3956</v>
      </c>
      <c r="J44" s="2" t="s">
        <v>609</v>
      </c>
      <c r="K44" s="2" t="s">
        <v>38</v>
      </c>
      <c r="L44" s="2" t="s">
        <v>585</v>
      </c>
      <c r="M44" s="2" t="s">
        <v>3957</v>
      </c>
      <c r="N44" s="2" t="s">
        <v>1</v>
      </c>
      <c r="O44" s="2" t="s">
        <v>609</v>
      </c>
      <c r="P44" s="2">
        <v>1</v>
      </c>
      <c r="Q44" s="2" t="s">
        <v>1</v>
      </c>
      <c r="R44" s="2" t="s">
        <v>1</v>
      </c>
      <c r="S44" s="2" t="s">
        <v>1</v>
      </c>
      <c r="T44" s="2" t="s">
        <v>3356</v>
      </c>
      <c r="U44" s="2" t="s">
        <v>3958</v>
      </c>
      <c r="V44" s="2" t="s">
        <v>3933</v>
      </c>
      <c r="W44" s="2" t="s">
        <v>1</v>
      </c>
      <c r="X44" s="2" t="s">
        <v>1</v>
      </c>
      <c r="Y44" s="2" t="s">
        <v>1</v>
      </c>
      <c r="Z44" s="2" t="s">
        <v>1</v>
      </c>
      <c r="AA44" s="2" t="s">
        <v>1</v>
      </c>
      <c r="AB44" s="2" t="s">
        <v>1</v>
      </c>
      <c r="AC44" s="2" t="s">
        <v>1</v>
      </c>
    </row>
    <row r="45" spans="1:29" x14ac:dyDescent="0.25">
      <c r="A45" s="2" t="s">
        <v>29</v>
      </c>
      <c r="B45" s="2" t="b">
        <v>0</v>
      </c>
      <c r="C45" s="2" t="s">
        <v>3887</v>
      </c>
      <c r="D45" s="2" t="s">
        <v>3888</v>
      </c>
      <c r="E45" s="2" t="s">
        <v>3889</v>
      </c>
      <c r="F45" s="1">
        <v>44276</v>
      </c>
      <c r="G45" s="1">
        <v>0.88263888888888875</v>
      </c>
      <c r="H45" s="1">
        <v>44277</v>
      </c>
      <c r="I45" s="2" t="s">
        <v>3956</v>
      </c>
      <c r="J45" s="2" t="s">
        <v>3959</v>
      </c>
      <c r="K45" s="2" t="s">
        <v>24</v>
      </c>
      <c r="L45" s="2" t="s">
        <v>585</v>
      </c>
      <c r="M45" s="2" t="s">
        <v>3960</v>
      </c>
      <c r="N45" s="2" t="s">
        <v>1</v>
      </c>
      <c r="O45" s="2" t="s">
        <v>3959</v>
      </c>
      <c r="P45" s="2">
        <v>1</v>
      </c>
      <c r="Q45" s="2" t="s">
        <v>1</v>
      </c>
      <c r="R45" s="2" t="s">
        <v>1</v>
      </c>
      <c r="S45" s="2" t="s">
        <v>1</v>
      </c>
      <c r="T45" s="2" t="s">
        <v>3356</v>
      </c>
      <c r="U45" s="2" t="s">
        <v>3958</v>
      </c>
      <c r="V45" s="2" t="s">
        <v>3933</v>
      </c>
      <c r="W45" s="2" t="s">
        <v>1</v>
      </c>
      <c r="X45" s="2" t="s">
        <v>1</v>
      </c>
      <c r="Y45" s="2" t="s">
        <v>1</v>
      </c>
      <c r="Z45" s="2" t="s">
        <v>1</v>
      </c>
      <c r="AA45" s="2" t="s">
        <v>1</v>
      </c>
      <c r="AB45" s="2" t="s">
        <v>1</v>
      </c>
      <c r="AC45" s="2" t="s">
        <v>1</v>
      </c>
    </row>
    <row r="46" spans="1:29" x14ac:dyDescent="0.25">
      <c r="A46" s="2" t="s">
        <v>29</v>
      </c>
      <c r="B46" s="2" t="b">
        <v>0</v>
      </c>
      <c r="C46" s="2" t="s">
        <v>3887</v>
      </c>
      <c r="D46" s="2" t="s">
        <v>3888</v>
      </c>
      <c r="E46" s="2" t="s">
        <v>3889</v>
      </c>
      <c r="F46" s="1">
        <v>44276</v>
      </c>
      <c r="G46" s="1">
        <v>0.47361111111111109</v>
      </c>
      <c r="H46" s="1">
        <v>44276</v>
      </c>
      <c r="I46" s="2" t="s">
        <v>3961</v>
      </c>
      <c r="J46" s="2" t="s">
        <v>604</v>
      </c>
      <c r="K46" s="2" t="s">
        <v>24</v>
      </c>
      <c r="L46" s="2" t="s">
        <v>585</v>
      </c>
      <c r="M46" s="2" t="s">
        <v>3960</v>
      </c>
      <c r="N46" s="2" t="s">
        <v>1</v>
      </c>
      <c r="O46" s="2" t="s">
        <v>604</v>
      </c>
      <c r="P46" s="2">
        <v>1</v>
      </c>
      <c r="Q46" s="2" t="s">
        <v>1</v>
      </c>
      <c r="R46" s="2" t="s">
        <v>1</v>
      </c>
      <c r="S46" s="2" t="s">
        <v>1</v>
      </c>
      <c r="T46" s="2" t="s">
        <v>3356</v>
      </c>
      <c r="U46" s="2" t="s">
        <v>3958</v>
      </c>
      <c r="V46" s="2" t="s">
        <v>3933</v>
      </c>
      <c r="W46" s="2" t="s">
        <v>1</v>
      </c>
      <c r="X46" s="2" t="s">
        <v>1</v>
      </c>
      <c r="Y46" s="2" t="s">
        <v>1</v>
      </c>
      <c r="Z46" s="2" t="s">
        <v>1</v>
      </c>
      <c r="AA46" s="2" t="s">
        <v>1</v>
      </c>
      <c r="AB46" s="2" t="s">
        <v>1</v>
      </c>
      <c r="AC46" s="2" t="s">
        <v>1</v>
      </c>
    </row>
    <row r="47" spans="1:29" x14ac:dyDescent="0.25">
      <c r="A47" s="2" t="s">
        <v>29</v>
      </c>
      <c r="B47" s="2" t="b">
        <v>0</v>
      </c>
      <c r="C47" s="2" t="s">
        <v>3887</v>
      </c>
      <c r="D47" s="2" t="s">
        <v>3888</v>
      </c>
      <c r="E47" s="2" t="s">
        <v>3889</v>
      </c>
      <c r="F47" s="1">
        <v>44276</v>
      </c>
      <c r="G47" s="1">
        <v>0.38611111111111113</v>
      </c>
      <c r="H47" s="1">
        <v>44276</v>
      </c>
      <c r="I47" s="2" t="s">
        <v>3962</v>
      </c>
      <c r="J47" s="2" t="s">
        <v>609</v>
      </c>
      <c r="K47" s="2" t="s">
        <v>38</v>
      </c>
      <c r="L47" s="2" t="s">
        <v>585</v>
      </c>
      <c r="M47" s="2" t="s">
        <v>3963</v>
      </c>
      <c r="N47" s="2" t="s">
        <v>1</v>
      </c>
      <c r="O47" s="2" t="s">
        <v>609</v>
      </c>
      <c r="P47" s="2">
        <v>1</v>
      </c>
      <c r="Q47" s="2" t="s">
        <v>1</v>
      </c>
      <c r="R47" s="2" t="s">
        <v>1</v>
      </c>
      <c r="S47" s="2" t="s">
        <v>1</v>
      </c>
      <c r="T47" s="2" t="s">
        <v>3354</v>
      </c>
      <c r="U47" s="2" t="s">
        <v>3964</v>
      </c>
      <c r="V47" s="2" t="s">
        <v>3965</v>
      </c>
      <c r="W47" s="2" t="s">
        <v>1</v>
      </c>
      <c r="X47" s="2" t="s">
        <v>1</v>
      </c>
      <c r="Y47" s="2" t="s">
        <v>1</v>
      </c>
      <c r="Z47" s="2" t="s">
        <v>1</v>
      </c>
      <c r="AA47" s="2" t="s">
        <v>1</v>
      </c>
      <c r="AB47" s="2" t="s">
        <v>1</v>
      </c>
      <c r="AC47" s="2" t="s">
        <v>1</v>
      </c>
    </row>
    <row r="48" spans="1:29" x14ac:dyDescent="0.25">
      <c r="A48" s="2" t="s">
        <v>29</v>
      </c>
      <c r="B48" s="2" t="b">
        <v>0</v>
      </c>
      <c r="C48" s="2" t="s">
        <v>3887</v>
      </c>
      <c r="D48" s="2" t="s">
        <v>3888</v>
      </c>
      <c r="E48" s="2" t="s">
        <v>3889</v>
      </c>
      <c r="F48" s="1">
        <v>44276</v>
      </c>
      <c r="G48" s="1">
        <v>0.34166666666666667</v>
      </c>
      <c r="H48" s="1">
        <v>44276</v>
      </c>
      <c r="I48" s="2" t="s">
        <v>3239</v>
      </c>
      <c r="J48" s="2" t="s">
        <v>586</v>
      </c>
      <c r="K48" s="2" t="s">
        <v>38</v>
      </c>
      <c r="L48" s="2" t="s">
        <v>585</v>
      </c>
      <c r="M48" s="2" t="s">
        <v>3966</v>
      </c>
      <c r="N48" s="2" t="s">
        <v>1</v>
      </c>
      <c r="O48" s="2" t="s">
        <v>586</v>
      </c>
      <c r="P48" s="2">
        <v>1</v>
      </c>
      <c r="Q48" s="2" t="s">
        <v>1</v>
      </c>
      <c r="R48" s="2" t="s">
        <v>1</v>
      </c>
      <c r="S48" s="2" t="s">
        <v>1</v>
      </c>
      <c r="T48" s="2" t="s">
        <v>2752</v>
      </c>
      <c r="U48" s="2" t="s">
        <v>3932</v>
      </c>
      <c r="V48" s="2" t="s">
        <v>3933</v>
      </c>
      <c r="W48" s="2" t="s">
        <v>1</v>
      </c>
      <c r="X48" s="2" t="s">
        <v>1</v>
      </c>
      <c r="Y48" s="2" t="s">
        <v>1</v>
      </c>
      <c r="Z48" s="2" t="s">
        <v>1</v>
      </c>
      <c r="AA48" s="2" t="s">
        <v>1</v>
      </c>
      <c r="AB48" s="2" t="s">
        <v>1</v>
      </c>
      <c r="AC48" s="2" t="s">
        <v>1</v>
      </c>
    </row>
    <row r="49" spans="1:29" x14ac:dyDescent="0.25">
      <c r="A49" s="2" t="s">
        <v>29</v>
      </c>
      <c r="B49" s="2" t="b">
        <v>0</v>
      </c>
      <c r="C49" s="2" t="s">
        <v>3887</v>
      </c>
      <c r="D49" s="2" t="s">
        <v>3888</v>
      </c>
      <c r="E49" s="2" t="s">
        <v>3889</v>
      </c>
      <c r="F49" s="1">
        <v>44276</v>
      </c>
      <c r="G49" s="1">
        <v>0.33819444444444446</v>
      </c>
      <c r="H49" s="1">
        <v>44276</v>
      </c>
      <c r="I49" s="2" t="s">
        <v>3967</v>
      </c>
      <c r="J49" s="2" t="s">
        <v>3968</v>
      </c>
      <c r="K49" s="2" t="s">
        <v>24</v>
      </c>
      <c r="L49" s="2" t="s">
        <v>585</v>
      </c>
      <c r="M49" s="2" t="s">
        <v>3969</v>
      </c>
      <c r="N49" s="2" t="s">
        <v>1</v>
      </c>
      <c r="O49" s="2" t="s">
        <v>3968</v>
      </c>
      <c r="P49" s="2">
        <v>1</v>
      </c>
      <c r="Q49" s="2" t="s">
        <v>1</v>
      </c>
      <c r="R49" s="2" t="s">
        <v>1</v>
      </c>
      <c r="S49" s="2" t="s">
        <v>1</v>
      </c>
      <c r="T49" s="2" t="s">
        <v>2752</v>
      </c>
      <c r="U49" s="2" t="s">
        <v>3932</v>
      </c>
      <c r="V49" s="2" t="s">
        <v>3933</v>
      </c>
      <c r="W49" s="2" t="s">
        <v>1</v>
      </c>
      <c r="X49" s="2" t="s">
        <v>1</v>
      </c>
      <c r="Y49" s="2" t="s">
        <v>1</v>
      </c>
      <c r="Z49" s="2" t="s">
        <v>1</v>
      </c>
      <c r="AA49" s="2" t="s">
        <v>1</v>
      </c>
      <c r="AB49" s="2" t="s">
        <v>1</v>
      </c>
      <c r="AC49" s="2" t="s">
        <v>1</v>
      </c>
    </row>
    <row r="50" spans="1:29" x14ac:dyDescent="0.25">
      <c r="A50" s="2" t="s">
        <v>29</v>
      </c>
      <c r="B50" s="2" t="b">
        <v>0</v>
      </c>
      <c r="C50" s="2" t="s">
        <v>3887</v>
      </c>
      <c r="D50" s="2" t="s">
        <v>3888</v>
      </c>
      <c r="E50" s="2" t="s">
        <v>3889</v>
      </c>
      <c r="F50" s="1">
        <v>44276</v>
      </c>
      <c r="G50" s="1">
        <v>0.14444444444444443</v>
      </c>
      <c r="H50" s="1">
        <v>44276</v>
      </c>
      <c r="I50" s="2" t="s">
        <v>3962</v>
      </c>
      <c r="J50" s="2" t="s">
        <v>3243</v>
      </c>
      <c r="K50" s="2" t="s">
        <v>24</v>
      </c>
      <c r="L50" s="2" t="s">
        <v>585</v>
      </c>
      <c r="M50" s="2" t="s">
        <v>3970</v>
      </c>
      <c r="N50" s="2" t="s">
        <v>1</v>
      </c>
      <c r="O50" s="2" t="s">
        <v>3243</v>
      </c>
      <c r="P50" s="2">
        <v>1</v>
      </c>
      <c r="Q50" s="2" t="s">
        <v>1</v>
      </c>
      <c r="R50" s="2" t="s">
        <v>1</v>
      </c>
      <c r="S50" s="2" t="s">
        <v>1</v>
      </c>
      <c r="T50" s="2" t="s">
        <v>3354</v>
      </c>
      <c r="U50" s="2" t="s">
        <v>3964</v>
      </c>
      <c r="V50" s="2" t="s">
        <v>3965</v>
      </c>
      <c r="W50" s="2" t="s">
        <v>1</v>
      </c>
      <c r="X50" s="2" t="s">
        <v>1</v>
      </c>
      <c r="Y50" s="2" t="s">
        <v>1</v>
      </c>
      <c r="Z50" s="2" t="s">
        <v>1</v>
      </c>
      <c r="AA50" s="2" t="s">
        <v>1</v>
      </c>
      <c r="AB50" s="2" t="s">
        <v>1</v>
      </c>
      <c r="AC50" s="2" t="s">
        <v>1</v>
      </c>
    </row>
    <row r="51" spans="1:29" x14ac:dyDescent="0.25">
      <c r="A51" s="2" t="s">
        <v>29</v>
      </c>
      <c r="B51" s="2" t="b">
        <v>0</v>
      </c>
      <c r="C51" s="2" t="s">
        <v>3887</v>
      </c>
      <c r="D51" s="2" t="s">
        <v>3888</v>
      </c>
      <c r="E51" s="2" t="s">
        <v>3889</v>
      </c>
      <c r="F51" s="1">
        <v>44273</v>
      </c>
      <c r="G51" s="1">
        <v>0.51388888888888884</v>
      </c>
      <c r="H51" s="1">
        <v>44273</v>
      </c>
      <c r="I51" s="2" t="s">
        <v>3971</v>
      </c>
      <c r="J51" s="2" t="s">
        <v>2623</v>
      </c>
      <c r="K51" s="2" t="s">
        <v>2624</v>
      </c>
      <c r="L51" s="2" t="s">
        <v>585</v>
      </c>
      <c r="M51" s="2" t="s">
        <v>3972</v>
      </c>
      <c r="N51" s="2" t="s">
        <v>1</v>
      </c>
      <c r="O51" s="2" t="s">
        <v>2623</v>
      </c>
      <c r="P51" s="2">
        <v>1</v>
      </c>
      <c r="Q51" s="2" t="s">
        <v>1</v>
      </c>
      <c r="R51" s="2" t="s">
        <v>1</v>
      </c>
      <c r="S51" s="2" t="s">
        <v>1</v>
      </c>
      <c r="T51" s="2" t="s">
        <v>3225</v>
      </c>
      <c r="U51" s="2" t="s">
        <v>27</v>
      </c>
      <c r="V51" s="2" t="s">
        <v>28</v>
      </c>
      <c r="W51" s="2" t="s">
        <v>1</v>
      </c>
      <c r="X51" s="2" t="s">
        <v>1</v>
      </c>
      <c r="Y51" s="2" t="s">
        <v>1</v>
      </c>
      <c r="Z51" s="2" t="s">
        <v>1</v>
      </c>
      <c r="AA51" s="2" t="s">
        <v>1</v>
      </c>
      <c r="AB51" s="2" t="s">
        <v>1</v>
      </c>
      <c r="AC51" s="2" t="s">
        <v>1</v>
      </c>
    </row>
    <row r="52" spans="1:29" x14ac:dyDescent="0.25">
      <c r="A52" s="2" t="s">
        <v>29</v>
      </c>
      <c r="B52" s="2" t="b">
        <v>0</v>
      </c>
      <c r="C52" s="2" t="s">
        <v>3887</v>
      </c>
      <c r="D52" s="2" t="s">
        <v>3888</v>
      </c>
      <c r="E52" s="2" t="s">
        <v>3889</v>
      </c>
      <c r="F52" s="1">
        <v>44273</v>
      </c>
      <c r="G52" s="1">
        <v>0.5083333333333333</v>
      </c>
      <c r="H52" s="1">
        <v>44273</v>
      </c>
      <c r="I52" s="2" t="s">
        <v>3961</v>
      </c>
      <c r="J52" s="2" t="s">
        <v>2662</v>
      </c>
      <c r="K52" s="2" t="s">
        <v>606</v>
      </c>
      <c r="L52" s="2" t="s">
        <v>585</v>
      </c>
      <c r="M52" s="2" t="s">
        <v>3973</v>
      </c>
      <c r="N52" s="2" t="s">
        <v>1</v>
      </c>
      <c r="O52" s="2" t="s">
        <v>2662</v>
      </c>
      <c r="P52" s="2">
        <v>1</v>
      </c>
      <c r="Q52" s="2" t="s">
        <v>1</v>
      </c>
      <c r="R52" s="2" t="s">
        <v>1</v>
      </c>
      <c r="S52" s="2" t="s">
        <v>1</v>
      </c>
      <c r="T52" s="2" t="s">
        <v>3225</v>
      </c>
      <c r="U52" s="2" t="s">
        <v>27</v>
      </c>
      <c r="V52" s="2" t="s">
        <v>28</v>
      </c>
      <c r="W52" s="2" t="s">
        <v>1</v>
      </c>
      <c r="X52" s="2" t="s">
        <v>1</v>
      </c>
      <c r="Y52" s="2" t="s">
        <v>1</v>
      </c>
      <c r="Z52" s="2" t="s">
        <v>1</v>
      </c>
      <c r="AA52" s="2" t="s">
        <v>1</v>
      </c>
      <c r="AB52" s="2" t="s">
        <v>1</v>
      </c>
      <c r="AC52" s="2" t="s">
        <v>1</v>
      </c>
    </row>
    <row r="53" spans="1:29" x14ac:dyDescent="0.25">
      <c r="A53" s="2" t="s">
        <v>29</v>
      </c>
      <c r="B53" s="2" t="b">
        <v>0</v>
      </c>
      <c r="C53" s="2" t="s">
        <v>3887</v>
      </c>
      <c r="D53" s="2" t="s">
        <v>3888</v>
      </c>
      <c r="E53" s="2" t="s">
        <v>3889</v>
      </c>
      <c r="F53" s="1">
        <v>44273</v>
      </c>
      <c r="G53" s="1">
        <v>0.50208333333333333</v>
      </c>
      <c r="H53" s="1">
        <v>44273</v>
      </c>
      <c r="I53" s="2" t="s">
        <v>3974</v>
      </c>
      <c r="J53" s="2" t="s">
        <v>2623</v>
      </c>
      <c r="K53" s="2" t="s">
        <v>2624</v>
      </c>
      <c r="L53" s="2" t="s">
        <v>585</v>
      </c>
      <c r="M53" s="2" t="s">
        <v>3975</v>
      </c>
      <c r="N53" s="2" t="s">
        <v>1</v>
      </c>
      <c r="O53" s="2" t="s">
        <v>2623</v>
      </c>
      <c r="P53" s="2">
        <v>1</v>
      </c>
      <c r="Q53" s="2" t="s">
        <v>1</v>
      </c>
      <c r="R53" s="2" t="s">
        <v>1</v>
      </c>
      <c r="S53" s="2" t="s">
        <v>1</v>
      </c>
      <c r="T53" s="2" t="s">
        <v>3224</v>
      </c>
      <c r="U53" s="2" t="s">
        <v>27</v>
      </c>
      <c r="V53" s="2" t="s">
        <v>28</v>
      </c>
      <c r="W53" s="2" t="s">
        <v>1</v>
      </c>
      <c r="X53" s="2" t="s">
        <v>1</v>
      </c>
      <c r="Y53" s="2" t="s">
        <v>1</v>
      </c>
      <c r="Z53" s="2" t="s">
        <v>1</v>
      </c>
      <c r="AA53" s="2" t="s">
        <v>1</v>
      </c>
      <c r="AB53" s="2" t="s">
        <v>1</v>
      </c>
      <c r="AC53" s="2" t="s">
        <v>1</v>
      </c>
    </row>
    <row r="54" spans="1:29" x14ac:dyDescent="0.25">
      <c r="A54" s="2" t="s">
        <v>29</v>
      </c>
      <c r="B54" s="2" t="b">
        <v>0</v>
      </c>
      <c r="C54" s="2" t="s">
        <v>3887</v>
      </c>
      <c r="D54" s="2" t="s">
        <v>3888</v>
      </c>
      <c r="E54" s="2" t="s">
        <v>3889</v>
      </c>
      <c r="F54" s="1">
        <v>44273</v>
      </c>
      <c r="G54" s="1">
        <v>0.4861111111111111</v>
      </c>
      <c r="H54" s="1">
        <v>44273</v>
      </c>
      <c r="I54" s="2" t="s">
        <v>2641</v>
      </c>
      <c r="J54" s="2" t="s">
        <v>609</v>
      </c>
      <c r="K54" s="2" t="s">
        <v>606</v>
      </c>
      <c r="L54" s="2" t="s">
        <v>585</v>
      </c>
      <c r="M54" s="2" t="s">
        <v>3976</v>
      </c>
      <c r="N54" s="2" t="s">
        <v>1</v>
      </c>
      <c r="O54" s="2" t="s">
        <v>609</v>
      </c>
      <c r="P54" s="2">
        <v>1</v>
      </c>
      <c r="Q54" s="2" t="s">
        <v>1</v>
      </c>
      <c r="R54" s="2" t="s">
        <v>1</v>
      </c>
      <c r="S54" s="2" t="s">
        <v>1</v>
      </c>
      <c r="T54" s="2" t="s">
        <v>3224</v>
      </c>
      <c r="U54" s="2" t="s">
        <v>27</v>
      </c>
      <c r="V54" s="2" t="s">
        <v>28</v>
      </c>
      <c r="W54" s="2" t="s">
        <v>1</v>
      </c>
      <c r="X54" s="2" t="s">
        <v>1</v>
      </c>
      <c r="Y54" s="2" t="s">
        <v>1</v>
      </c>
      <c r="Z54" s="2" t="s">
        <v>1</v>
      </c>
      <c r="AA54" s="2" t="s">
        <v>1</v>
      </c>
      <c r="AB54" s="2" t="s">
        <v>1</v>
      </c>
      <c r="AC54" s="2" t="s">
        <v>1</v>
      </c>
    </row>
    <row r="55" spans="1:29" x14ac:dyDescent="0.25">
      <c r="A55" s="2" t="s">
        <v>29</v>
      </c>
      <c r="B55" s="2" t="b">
        <v>0</v>
      </c>
      <c r="C55" s="2" t="s">
        <v>3887</v>
      </c>
      <c r="D55" s="2" t="s">
        <v>3888</v>
      </c>
      <c r="E55" s="2" t="s">
        <v>3889</v>
      </c>
      <c r="F55" s="1">
        <v>44273</v>
      </c>
      <c r="G55" s="1">
        <v>0.4381944444444445</v>
      </c>
      <c r="H55" s="1">
        <v>44273</v>
      </c>
      <c r="I55" s="2" t="s">
        <v>3977</v>
      </c>
      <c r="J55" s="2" t="s">
        <v>3978</v>
      </c>
      <c r="K55" s="2" t="s">
        <v>24</v>
      </c>
      <c r="L55" s="2" t="s">
        <v>585</v>
      </c>
      <c r="M55" s="2" t="s">
        <v>3979</v>
      </c>
      <c r="N55" s="2" t="s">
        <v>1</v>
      </c>
      <c r="O55" s="2" t="s">
        <v>3978</v>
      </c>
      <c r="P55" s="2">
        <v>1</v>
      </c>
      <c r="Q55" s="2" t="s">
        <v>1</v>
      </c>
      <c r="R55" s="2" t="s">
        <v>1</v>
      </c>
      <c r="S55" s="2" t="s">
        <v>1</v>
      </c>
      <c r="T55" s="2" t="s">
        <v>3148</v>
      </c>
      <c r="U55" s="2" t="s">
        <v>3958</v>
      </c>
      <c r="V55" s="2" t="s">
        <v>3933</v>
      </c>
      <c r="W55" s="2" t="s">
        <v>1</v>
      </c>
      <c r="X55" s="2" t="s">
        <v>1</v>
      </c>
      <c r="Y55" s="2" t="s">
        <v>1</v>
      </c>
      <c r="Z55" s="2" t="s">
        <v>1</v>
      </c>
      <c r="AA55" s="2" t="s">
        <v>1</v>
      </c>
      <c r="AB55" s="2" t="s">
        <v>1</v>
      </c>
      <c r="AC55" s="2" t="s">
        <v>1</v>
      </c>
    </row>
    <row r="56" spans="1:29" x14ac:dyDescent="0.25">
      <c r="A56" s="2" t="s">
        <v>29</v>
      </c>
      <c r="B56" s="2" t="b">
        <v>0</v>
      </c>
      <c r="C56" s="2" t="s">
        <v>3887</v>
      </c>
      <c r="D56" s="2" t="s">
        <v>3888</v>
      </c>
      <c r="E56" s="2" t="s">
        <v>3889</v>
      </c>
      <c r="F56" s="1">
        <v>44273</v>
      </c>
      <c r="G56" s="1">
        <v>0.39930555555555558</v>
      </c>
      <c r="H56" s="1">
        <v>44273</v>
      </c>
      <c r="I56" s="2" t="s">
        <v>2598</v>
      </c>
      <c r="J56" s="2" t="s">
        <v>586</v>
      </c>
      <c r="K56" s="2" t="s">
        <v>38</v>
      </c>
      <c r="L56" s="2" t="s">
        <v>585</v>
      </c>
      <c r="M56" s="2" t="s">
        <v>3980</v>
      </c>
      <c r="N56" s="2" t="s">
        <v>1</v>
      </c>
      <c r="O56" s="2" t="s">
        <v>586</v>
      </c>
      <c r="P56" s="2">
        <v>1</v>
      </c>
      <c r="Q56" s="2" t="s">
        <v>1</v>
      </c>
      <c r="R56" s="2" t="s">
        <v>1</v>
      </c>
      <c r="S56" s="2" t="s">
        <v>1</v>
      </c>
      <c r="T56" s="2" t="s">
        <v>3148</v>
      </c>
      <c r="U56" s="2" t="s">
        <v>3958</v>
      </c>
      <c r="V56" s="2" t="s">
        <v>3933</v>
      </c>
      <c r="W56" s="2" t="s">
        <v>1</v>
      </c>
      <c r="X56" s="2" t="s">
        <v>1</v>
      </c>
      <c r="Y56" s="2" t="s">
        <v>1</v>
      </c>
      <c r="Z56" s="2" t="s">
        <v>1</v>
      </c>
      <c r="AA56" s="2" t="s">
        <v>1</v>
      </c>
      <c r="AB56" s="2" t="s">
        <v>1</v>
      </c>
      <c r="AC56" s="2" t="s">
        <v>1</v>
      </c>
    </row>
    <row r="57" spans="1:29" x14ac:dyDescent="0.25">
      <c r="A57" s="2" t="s">
        <v>29</v>
      </c>
      <c r="B57" s="2" t="b">
        <v>0</v>
      </c>
      <c r="C57" s="2" t="s">
        <v>3887</v>
      </c>
      <c r="D57" s="2" t="s">
        <v>3888</v>
      </c>
      <c r="E57" s="2" t="s">
        <v>3889</v>
      </c>
      <c r="F57" s="1">
        <v>44273</v>
      </c>
      <c r="G57" s="1">
        <v>0.25624999999999998</v>
      </c>
      <c r="H57" s="1">
        <v>44273</v>
      </c>
      <c r="I57" s="2" t="s">
        <v>3981</v>
      </c>
      <c r="J57" s="2" t="s">
        <v>3950</v>
      </c>
      <c r="K57" s="2" t="s">
        <v>24</v>
      </c>
      <c r="L57" s="2" t="s">
        <v>585</v>
      </c>
      <c r="M57" s="2" t="s">
        <v>3982</v>
      </c>
      <c r="N57" s="2" t="s">
        <v>1</v>
      </c>
      <c r="O57" s="2" t="s">
        <v>3950</v>
      </c>
      <c r="P57" s="2">
        <v>1</v>
      </c>
      <c r="Q57" s="2" t="s">
        <v>1</v>
      </c>
      <c r="R57" s="2" t="s">
        <v>1</v>
      </c>
      <c r="S57" s="2" t="s">
        <v>1</v>
      </c>
      <c r="T57" s="2" t="s">
        <v>3008</v>
      </c>
      <c r="U57" s="2" t="s">
        <v>3891</v>
      </c>
      <c r="V57" s="2" t="s">
        <v>3892</v>
      </c>
      <c r="W57" s="2" t="s">
        <v>1</v>
      </c>
      <c r="X57" s="2" t="s">
        <v>1</v>
      </c>
      <c r="Y57" s="2" t="s">
        <v>1</v>
      </c>
      <c r="Z57" s="2" t="s">
        <v>1</v>
      </c>
      <c r="AA57" s="2" t="s">
        <v>1</v>
      </c>
      <c r="AB57" s="2" t="s">
        <v>1</v>
      </c>
      <c r="AC57" s="2" t="s">
        <v>1</v>
      </c>
    </row>
    <row r="58" spans="1:29" x14ac:dyDescent="0.25">
      <c r="A58" s="2" t="s">
        <v>29</v>
      </c>
      <c r="B58" s="2" t="b">
        <v>0</v>
      </c>
      <c r="C58" s="2" t="s">
        <v>3887</v>
      </c>
      <c r="D58" s="2" t="s">
        <v>3888</v>
      </c>
      <c r="E58" s="2" t="s">
        <v>3889</v>
      </c>
      <c r="F58" s="1">
        <v>44273</v>
      </c>
      <c r="G58" s="1">
        <v>0.23958333333333337</v>
      </c>
      <c r="H58" s="1">
        <v>44273</v>
      </c>
      <c r="I58" s="2" t="s">
        <v>3983</v>
      </c>
      <c r="J58" s="2" t="s">
        <v>3926</v>
      </c>
      <c r="K58" s="2" t="s">
        <v>38</v>
      </c>
      <c r="L58" s="2" t="s">
        <v>585</v>
      </c>
      <c r="M58" s="2" t="s">
        <v>3984</v>
      </c>
      <c r="N58" s="2" t="s">
        <v>1</v>
      </c>
      <c r="O58" s="2" t="s">
        <v>3926</v>
      </c>
      <c r="P58" s="2">
        <v>1</v>
      </c>
      <c r="Q58" s="2" t="s">
        <v>1</v>
      </c>
      <c r="R58" s="2" t="s">
        <v>1</v>
      </c>
      <c r="S58" s="2" t="s">
        <v>1</v>
      </c>
      <c r="T58" s="2" t="s">
        <v>533</v>
      </c>
      <c r="U58" s="2" t="s">
        <v>42</v>
      </c>
      <c r="V58" s="2" t="s">
        <v>43</v>
      </c>
      <c r="W58" s="2" t="s">
        <v>1</v>
      </c>
      <c r="X58" s="2" t="s">
        <v>1</v>
      </c>
      <c r="Y58" s="2" t="s">
        <v>1</v>
      </c>
      <c r="Z58" s="2" t="s">
        <v>1</v>
      </c>
      <c r="AA58" s="2" t="s">
        <v>1</v>
      </c>
      <c r="AB58" s="2" t="s">
        <v>1</v>
      </c>
      <c r="AC58" s="2" t="s">
        <v>1</v>
      </c>
    </row>
    <row r="59" spans="1:29" x14ac:dyDescent="0.25">
      <c r="A59" s="2" t="s">
        <v>29</v>
      </c>
      <c r="B59" s="2" t="b">
        <v>0</v>
      </c>
      <c r="C59" s="2" t="s">
        <v>3887</v>
      </c>
      <c r="D59" s="2" t="s">
        <v>3888</v>
      </c>
      <c r="E59" s="2" t="s">
        <v>3889</v>
      </c>
      <c r="F59" s="1">
        <v>44273</v>
      </c>
      <c r="G59" s="1">
        <v>0.23680555555555555</v>
      </c>
      <c r="H59" s="1">
        <v>44273</v>
      </c>
      <c r="I59" s="2" t="s">
        <v>3985</v>
      </c>
      <c r="J59" s="2" t="s">
        <v>3950</v>
      </c>
      <c r="K59" s="2" t="s">
        <v>24</v>
      </c>
      <c r="L59" s="2" t="s">
        <v>585</v>
      </c>
      <c r="M59" s="2" t="s">
        <v>3986</v>
      </c>
      <c r="N59" s="2" t="s">
        <v>1</v>
      </c>
      <c r="O59" s="2" t="s">
        <v>3950</v>
      </c>
      <c r="P59" s="2">
        <v>1</v>
      </c>
      <c r="Q59" s="2" t="s">
        <v>1</v>
      </c>
      <c r="R59" s="2" t="s">
        <v>1</v>
      </c>
      <c r="S59" s="2" t="s">
        <v>1</v>
      </c>
      <c r="T59" s="2" t="s">
        <v>3005</v>
      </c>
      <c r="U59" s="2" t="s">
        <v>3891</v>
      </c>
      <c r="V59" s="2" t="s">
        <v>3892</v>
      </c>
      <c r="W59" s="2" t="s">
        <v>1</v>
      </c>
      <c r="X59" s="2" t="s">
        <v>1</v>
      </c>
      <c r="Y59" s="2" t="s">
        <v>1</v>
      </c>
      <c r="Z59" s="2" t="s">
        <v>1</v>
      </c>
      <c r="AA59" s="2" t="s">
        <v>1</v>
      </c>
      <c r="AB59" s="2" t="s">
        <v>1</v>
      </c>
      <c r="AC59" s="2" t="s">
        <v>1</v>
      </c>
    </row>
    <row r="60" spans="1:29" x14ac:dyDescent="0.25">
      <c r="A60" s="2" t="s">
        <v>29</v>
      </c>
      <c r="B60" s="2" t="b">
        <v>0</v>
      </c>
      <c r="C60" s="2" t="s">
        <v>3887</v>
      </c>
      <c r="D60" s="2" t="s">
        <v>3888</v>
      </c>
      <c r="E60" s="2" t="s">
        <v>3889</v>
      </c>
      <c r="F60" s="1">
        <v>44273</v>
      </c>
      <c r="G60" s="1">
        <v>0.22361111111111112</v>
      </c>
      <c r="H60" s="1">
        <v>44273</v>
      </c>
      <c r="I60" s="2" t="s">
        <v>3236</v>
      </c>
      <c r="J60" s="2" t="s">
        <v>3987</v>
      </c>
      <c r="K60" s="2" t="s">
        <v>24</v>
      </c>
      <c r="L60" s="2" t="s">
        <v>585</v>
      </c>
      <c r="M60" s="2" t="s">
        <v>3988</v>
      </c>
      <c r="N60" s="2" t="s">
        <v>1</v>
      </c>
      <c r="O60" s="2" t="s">
        <v>3987</v>
      </c>
      <c r="P60" s="2">
        <v>1</v>
      </c>
      <c r="Q60" s="2" t="s">
        <v>1</v>
      </c>
      <c r="R60" s="2" t="s">
        <v>1</v>
      </c>
      <c r="S60" s="2" t="s">
        <v>1</v>
      </c>
      <c r="T60" s="2" t="s">
        <v>2761</v>
      </c>
      <c r="U60" s="2" t="s">
        <v>75</v>
      </c>
      <c r="V60" s="2" t="s">
        <v>43</v>
      </c>
      <c r="W60" s="2" t="s">
        <v>1</v>
      </c>
      <c r="X60" s="2" t="s">
        <v>1</v>
      </c>
      <c r="Y60" s="2" t="s">
        <v>1</v>
      </c>
      <c r="Z60" s="2" t="s">
        <v>1</v>
      </c>
      <c r="AA60" s="2" t="s">
        <v>1</v>
      </c>
      <c r="AB60" s="2" t="s">
        <v>1</v>
      </c>
      <c r="AC60" s="2" t="s">
        <v>1</v>
      </c>
    </row>
    <row r="61" spans="1:29" x14ac:dyDescent="0.25">
      <c r="A61" s="2" t="s">
        <v>29</v>
      </c>
      <c r="B61" s="2" t="b">
        <v>0</v>
      </c>
      <c r="C61" s="2" t="s">
        <v>3887</v>
      </c>
      <c r="D61" s="2" t="s">
        <v>3888</v>
      </c>
      <c r="E61" s="2" t="s">
        <v>3889</v>
      </c>
      <c r="F61" s="1">
        <v>44273</v>
      </c>
      <c r="G61" s="1">
        <v>0.18541666666666667</v>
      </c>
      <c r="H61" s="1">
        <v>44273</v>
      </c>
      <c r="I61" s="2" t="s">
        <v>3989</v>
      </c>
      <c r="J61" s="2" t="s">
        <v>3990</v>
      </c>
      <c r="K61" s="2" t="s">
        <v>24</v>
      </c>
      <c r="L61" s="2" t="s">
        <v>585</v>
      </c>
      <c r="M61" s="2" t="s">
        <v>3991</v>
      </c>
      <c r="N61" s="2" t="s">
        <v>1</v>
      </c>
      <c r="O61" s="2" t="s">
        <v>3990</v>
      </c>
      <c r="P61" s="2">
        <v>1</v>
      </c>
      <c r="Q61" s="2" t="s">
        <v>1</v>
      </c>
      <c r="R61" s="2" t="s">
        <v>1</v>
      </c>
      <c r="S61" s="2" t="s">
        <v>1</v>
      </c>
      <c r="T61" s="2" t="s">
        <v>3005</v>
      </c>
      <c r="U61" s="2" t="s">
        <v>3891</v>
      </c>
      <c r="V61" s="2" t="s">
        <v>3892</v>
      </c>
      <c r="W61" s="2" t="s">
        <v>1</v>
      </c>
      <c r="X61" s="2" t="s">
        <v>1</v>
      </c>
      <c r="Y61" s="2" t="s">
        <v>1</v>
      </c>
      <c r="Z61" s="2" t="s">
        <v>1</v>
      </c>
      <c r="AA61" s="2" t="s">
        <v>1</v>
      </c>
      <c r="AB61" s="2" t="s">
        <v>1</v>
      </c>
      <c r="AC61" s="2" t="s">
        <v>1</v>
      </c>
    </row>
    <row r="62" spans="1:29" x14ac:dyDescent="0.25">
      <c r="A62" s="2" t="s">
        <v>29</v>
      </c>
      <c r="B62" s="2" t="b">
        <v>0</v>
      </c>
      <c r="C62" s="2" t="s">
        <v>3887</v>
      </c>
      <c r="D62" s="2" t="s">
        <v>3888</v>
      </c>
      <c r="E62" s="2" t="s">
        <v>3889</v>
      </c>
      <c r="F62" s="1">
        <v>44273</v>
      </c>
      <c r="G62" s="1">
        <v>0.17777777777777778</v>
      </c>
      <c r="H62" s="1">
        <v>44273</v>
      </c>
      <c r="I62" s="2" t="s">
        <v>3992</v>
      </c>
      <c r="J62" s="2" t="s">
        <v>3990</v>
      </c>
      <c r="K62" s="2" t="s">
        <v>24</v>
      </c>
      <c r="L62" s="2" t="s">
        <v>585</v>
      </c>
      <c r="M62" s="2" t="s">
        <v>3993</v>
      </c>
      <c r="N62" s="2" t="s">
        <v>1</v>
      </c>
      <c r="O62" s="2" t="s">
        <v>3990</v>
      </c>
      <c r="P62" s="2">
        <v>1</v>
      </c>
      <c r="Q62" s="2" t="s">
        <v>1</v>
      </c>
      <c r="R62" s="2" t="s">
        <v>1</v>
      </c>
      <c r="S62" s="2" t="s">
        <v>1</v>
      </c>
      <c r="T62" s="2" t="s">
        <v>3008</v>
      </c>
      <c r="U62" s="2" t="s">
        <v>3891</v>
      </c>
      <c r="V62" s="2" t="s">
        <v>3892</v>
      </c>
      <c r="W62" s="2" t="s">
        <v>1</v>
      </c>
      <c r="X62" s="2" t="s">
        <v>1</v>
      </c>
      <c r="Y62" s="2" t="s">
        <v>1</v>
      </c>
      <c r="Z62" s="2" t="s">
        <v>1</v>
      </c>
      <c r="AA62" s="2" t="s">
        <v>1</v>
      </c>
      <c r="AB62" s="2" t="s">
        <v>1</v>
      </c>
      <c r="AC62" s="2" t="s">
        <v>1</v>
      </c>
    </row>
    <row r="63" spans="1:29" x14ac:dyDescent="0.25">
      <c r="A63" s="2" t="s">
        <v>29</v>
      </c>
      <c r="B63" s="2" t="b">
        <v>0</v>
      </c>
      <c r="C63" s="2" t="s">
        <v>3887</v>
      </c>
      <c r="D63" s="2" t="s">
        <v>3888</v>
      </c>
      <c r="E63" s="2" t="s">
        <v>3889</v>
      </c>
      <c r="F63" s="1">
        <v>44273</v>
      </c>
      <c r="G63" s="1">
        <v>0.1361111111111111</v>
      </c>
      <c r="H63" s="1">
        <v>44273</v>
      </c>
      <c r="I63" s="2" t="s">
        <v>3994</v>
      </c>
      <c r="J63" s="2" t="s">
        <v>590</v>
      </c>
      <c r="K63" s="2" t="s">
        <v>24</v>
      </c>
      <c r="L63" s="2" t="s">
        <v>585</v>
      </c>
      <c r="M63" s="2" t="s">
        <v>3995</v>
      </c>
      <c r="N63" s="2" t="s">
        <v>1</v>
      </c>
      <c r="O63" s="2" t="s">
        <v>590</v>
      </c>
      <c r="P63" s="2">
        <v>1</v>
      </c>
      <c r="Q63" s="2" t="s">
        <v>1</v>
      </c>
      <c r="R63" s="2" t="s">
        <v>1</v>
      </c>
      <c r="S63" s="2" t="s">
        <v>1</v>
      </c>
      <c r="T63" s="2" t="s">
        <v>533</v>
      </c>
      <c r="U63" s="2" t="s">
        <v>42</v>
      </c>
      <c r="V63" s="2" t="s">
        <v>43</v>
      </c>
      <c r="W63" s="2" t="s">
        <v>1</v>
      </c>
      <c r="X63" s="2" t="s">
        <v>1</v>
      </c>
      <c r="Y63" s="2" t="s">
        <v>1</v>
      </c>
      <c r="Z63" s="2" t="s">
        <v>1</v>
      </c>
      <c r="AA63" s="2" t="s">
        <v>1</v>
      </c>
      <c r="AB63" s="2" t="s">
        <v>1</v>
      </c>
      <c r="AC63" s="2" t="s">
        <v>1</v>
      </c>
    </row>
    <row r="64" spans="1:29" x14ac:dyDescent="0.25">
      <c r="A64" s="2" t="s">
        <v>29</v>
      </c>
      <c r="B64" s="2" t="b">
        <v>0</v>
      </c>
      <c r="C64" s="2" t="s">
        <v>3887</v>
      </c>
      <c r="D64" s="2" t="s">
        <v>3888</v>
      </c>
      <c r="E64" s="2" t="s">
        <v>3889</v>
      </c>
      <c r="F64" s="1">
        <v>44273</v>
      </c>
      <c r="G64" s="1">
        <v>3.472222222222222E-3</v>
      </c>
      <c r="H64" s="1">
        <v>44273</v>
      </c>
      <c r="I64" s="2" t="s">
        <v>3996</v>
      </c>
      <c r="J64" s="2" t="s">
        <v>3240</v>
      </c>
      <c r="K64" s="2" t="s">
        <v>24</v>
      </c>
      <c r="L64" s="2" t="s">
        <v>585</v>
      </c>
      <c r="M64" s="2" t="s">
        <v>3997</v>
      </c>
      <c r="N64" s="2" t="s">
        <v>1</v>
      </c>
      <c r="O64" s="2" t="s">
        <v>3240</v>
      </c>
      <c r="P64" s="2">
        <v>1</v>
      </c>
      <c r="Q64" s="2" t="s">
        <v>1</v>
      </c>
      <c r="R64" s="2" t="s">
        <v>1</v>
      </c>
      <c r="S64" s="2" t="s">
        <v>1</v>
      </c>
      <c r="T64" s="2" t="s">
        <v>2759</v>
      </c>
      <c r="U64" s="2" t="s">
        <v>75</v>
      </c>
      <c r="V64" s="2" t="s">
        <v>43</v>
      </c>
      <c r="W64" s="2" t="s">
        <v>1</v>
      </c>
      <c r="X64" s="2" t="s">
        <v>1</v>
      </c>
      <c r="Y64" s="2" t="s">
        <v>1</v>
      </c>
      <c r="Z64" s="2" t="s">
        <v>1</v>
      </c>
      <c r="AA64" s="2" t="s">
        <v>1</v>
      </c>
      <c r="AB64" s="2" t="s">
        <v>1</v>
      </c>
      <c r="AC64" s="2" t="s">
        <v>1</v>
      </c>
    </row>
    <row r="65" spans="1:29" x14ac:dyDescent="0.25">
      <c r="A65" s="2" t="s">
        <v>29</v>
      </c>
      <c r="B65" s="2" t="b">
        <v>0</v>
      </c>
      <c r="C65" s="2" t="s">
        <v>3887</v>
      </c>
      <c r="D65" s="2" t="s">
        <v>3888</v>
      </c>
      <c r="E65" s="2" t="s">
        <v>3889</v>
      </c>
      <c r="F65" s="1">
        <v>44272</v>
      </c>
      <c r="G65" s="1">
        <v>0.37986111111111109</v>
      </c>
      <c r="H65" s="1">
        <v>44272</v>
      </c>
      <c r="I65" s="2" t="s">
        <v>3998</v>
      </c>
      <c r="J65" s="2" t="s">
        <v>609</v>
      </c>
      <c r="K65" s="2" t="s">
        <v>38</v>
      </c>
      <c r="L65" s="2" t="s">
        <v>585</v>
      </c>
      <c r="M65" s="2" t="s">
        <v>3999</v>
      </c>
      <c r="N65" s="2" t="s">
        <v>1</v>
      </c>
      <c r="O65" s="2" t="s">
        <v>609</v>
      </c>
      <c r="P65" s="2">
        <v>1</v>
      </c>
      <c r="Q65" s="2" t="s">
        <v>1</v>
      </c>
      <c r="R65" s="2" t="s">
        <v>1</v>
      </c>
      <c r="S65" s="2" t="s">
        <v>1</v>
      </c>
      <c r="T65" s="2" t="s">
        <v>3282</v>
      </c>
      <c r="U65" s="2" t="s">
        <v>3964</v>
      </c>
      <c r="V65" s="2" t="s">
        <v>3965</v>
      </c>
      <c r="W65" s="2" t="s">
        <v>1</v>
      </c>
      <c r="X65" s="2" t="s">
        <v>1</v>
      </c>
      <c r="Y65" s="2" t="s">
        <v>1</v>
      </c>
      <c r="Z65" s="2" t="s">
        <v>1</v>
      </c>
      <c r="AA65" s="2" t="s">
        <v>1</v>
      </c>
      <c r="AB65" s="2" t="s">
        <v>1</v>
      </c>
      <c r="AC65" s="2" t="s">
        <v>1</v>
      </c>
    </row>
    <row r="66" spans="1:29" x14ac:dyDescent="0.25">
      <c r="A66" s="2" t="s">
        <v>29</v>
      </c>
      <c r="B66" s="2" t="b">
        <v>0</v>
      </c>
      <c r="C66" s="2" t="s">
        <v>3887</v>
      </c>
      <c r="D66" s="2" t="s">
        <v>3888</v>
      </c>
      <c r="E66" s="2" t="s">
        <v>3889</v>
      </c>
      <c r="F66" s="1">
        <v>44272</v>
      </c>
      <c r="G66" s="1">
        <v>0.33194444444444443</v>
      </c>
      <c r="H66" s="1">
        <v>44272</v>
      </c>
      <c r="I66" s="2" t="s">
        <v>4000</v>
      </c>
      <c r="J66" s="2" t="s">
        <v>590</v>
      </c>
      <c r="K66" s="2" t="s">
        <v>24</v>
      </c>
      <c r="L66" s="2" t="s">
        <v>585</v>
      </c>
      <c r="M66" s="2" t="s">
        <v>3979</v>
      </c>
      <c r="N66" s="2" t="s">
        <v>1</v>
      </c>
      <c r="O66" s="2" t="s">
        <v>590</v>
      </c>
      <c r="P66" s="2">
        <v>1</v>
      </c>
      <c r="Q66" s="2" t="s">
        <v>1</v>
      </c>
      <c r="R66" s="2" t="s">
        <v>1</v>
      </c>
      <c r="S66" s="2" t="s">
        <v>1</v>
      </c>
      <c r="T66" s="2" t="s">
        <v>3148</v>
      </c>
      <c r="U66" s="2" t="s">
        <v>3958</v>
      </c>
      <c r="V66" s="2" t="s">
        <v>3933</v>
      </c>
      <c r="W66" s="2" t="s">
        <v>1</v>
      </c>
      <c r="X66" s="2" t="s">
        <v>1</v>
      </c>
      <c r="Y66" s="2" t="s">
        <v>1</v>
      </c>
      <c r="Z66" s="2" t="s">
        <v>1</v>
      </c>
      <c r="AA66" s="2" t="s">
        <v>1</v>
      </c>
      <c r="AB66" s="2" t="s">
        <v>1</v>
      </c>
      <c r="AC66" s="2" t="s">
        <v>1</v>
      </c>
    </row>
    <row r="67" spans="1:29" x14ac:dyDescent="0.25">
      <c r="A67" s="2" t="s">
        <v>29</v>
      </c>
      <c r="B67" s="2" t="b">
        <v>0</v>
      </c>
      <c r="C67" s="2" t="s">
        <v>3887</v>
      </c>
      <c r="D67" s="2" t="s">
        <v>3888</v>
      </c>
      <c r="E67" s="2" t="s">
        <v>3889</v>
      </c>
      <c r="F67" s="1">
        <v>44272</v>
      </c>
      <c r="G67" s="1">
        <v>0.16388888888888889</v>
      </c>
      <c r="H67" s="1">
        <v>44272</v>
      </c>
      <c r="I67" s="2" t="s">
        <v>4001</v>
      </c>
      <c r="J67" s="2" t="s">
        <v>609</v>
      </c>
      <c r="K67" s="2" t="s">
        <v>24</v>
      </c>
      <c r="L67" s="2" t="s">
        <v>585</v>
      </c>
      <c r="M67" s="2" t="s">
        <v>4002</v>
      </c>
      <c r="N67" s="2" t="s">
        <v>1</v>
      </c>
      <c r="O67" s="2" t="s">
        <v>609</v>
      </c>
      <c r="P67" s="2">
        <v>1</v>
      </c>
      <c r="Q67" s="2" t="s">
        <v>1</v>
      </c>
      <c r="R67" s="2" t="s">
        <v>1</v>
      </c>
      <c r="S67" s="2" t="s">
        <v>1</v>
      </c>
      <c r="T67" s="2" t="s">
        <v>2748</v>
      </c>
      <c r="U67" s="2" t="s">
        <v>42</v>
      </c>
      <c r="V67" s="2" t="s">
        <v>43</v>
      </c>
      <c r="W67" s="2" t="s">
        <v>1</v>
      </c>
      <c r="X67" s="2" t="s">
        <v>1</v>
      </c>
      <c r="Y67" s="2" t="s">
        <v>1</v>
      </c>
      <c r="Z67" s="2" t="s">
        <v>1</v>
      </c>
      <c r="AA67" s="2" t="s">
        <v>1</v>
      </c>
      <c r="AB67" s="2" t="s">
        <v>1</v>
      </c>
      <c r="AC67" s="2" t="s">
        <v>1</v>
      </c>
    </row>
    <row r="68" spans="1:29" x14ac:dyDescent="0.25">
      <c r="A68" s="2" t="s">
        <v>29</v>
      </c>
      <c r="B68" s="2" t="b">
        <v>0</v>
      </c>
      <c r="C68" s="2" t="s">
        <v>3887</v>
      </c>
      <c r="D68" s="2" t="s">
        <v>3888</v>
      </c>
      <c r="E68" s="2" t="s">
        <v>3889</v>
      </c>
      <c r="F68" s="1">
        <v>44272</v>
      </c>
      <c r="G68" s="1">
        <v>0.1388888888888889</v>
      </c>
      <c r="H68" s="1">
        <v>44272</v>
      </c>
      <c r="I68" s="2" t="s">
        <v>597</v>
      </c>
      <c r="J68" s="2" t="s">
        <v>3243</v>
      </c>
      <c r="K68" s="2" t="s">
        <v>24</v>
      </c>
      <c r="L68" s="2" t="s">
        <v>585</v>
      </c>
      <c r="M68" s="2" t="s">
        <v>4003</v>
      </c>
      <c r="N68" s="2" t="s">
        <v>1</v>
      </c>
      <c r="O68" s="2" t="s">
        <v>3243</v>
      </c>
      <c r="P68" s="2">
        <v>1</v>
      </c>
      <c r="Q68" s="2" t="s">
        <v>1</v>
      </c>
      <c r="R68" s="2" t="s">
        <v>1</v>
      </c>
      <c r="S68" s="2" t="s">
        <v>1</v>
      </c>
      <c r="T68" s="2" t="s">
        <v>3282</v>
      </c>
      <c r="U68" s="2" t="s">
        <v>3964</v>
      </c>
      <c r="V68" s="2" t="s">
        <v>3965</v>
      </c>
      <c r="W68" s="2" t="s">
        <v>1</v>
      </c>
      <c r="X68" s="2" t="s">
        <v>1</v>
      </c>
      <c r="Y68" s="2" t="s">
        <v>1</v>
      </c>
      <c r="Z68" s="2" t="s">
        <v>1</v>
      </c>
      <c r="AA68" s="2" t="s">
        <v>1</v>
      </c>
      <c r="AB68" s="2" t="s">
        <v>1</v>
      </c>
      <c r="AC68" s="2" t="s">
        <v>1</v>
      </c>
    </row>
    <row r="69" spans="1:29" x14ac:dyDescent="0.25">
      <c r="A69" s="2" t="s">
        <v>29</v>
      </c>
      <c r="B69" s="2" t="b">
        <v>0</v>
      </c>
      <c r="C69" s="2" t="s">
        <v>3887</v>
      </c>
      <c r="D69" s="2" t="s">
        <v>3888</v>
      </c>
      <c r="E69" s="2" t="s">
        <v>3889</v>
      </c>
      <c r="F69" s="1">
        <v>44272</v>
      </c>
      <c r="G69" s="1">
        <v>3.0555555555555555E-2</v>
      </c>
      <c r="H69" s="1">
        <v>44272</v>
      </c>
      <c r="I69" s="2" t="s">
        <v>3241</v>
      </c>
      <c r="J69" s="2" t="s">
        <v>3990</v>
      </c>
      <c r="K69" s="2" t="s">
        <v>38</v>
      </c>
      <c r="L69" s="2" t="s">
        <v>585</v>
      </c>
      <c r="M69" s="2" t="s">
        <v>4004</v>
      </c>
      <c r="N69" s="2" t="s">
        <v>1</v>
      </c>
      <c r="O69" s="2" t="s">
        <v>3990</v>
      </c>
      <c r="P69" s="2">
        <v>1</v>
      </c>
      <c r="Q69" s="2" t="s">
        <v>1</v>
      </c>
      <c r="R69" s="2" t="s">
        <v>1</v>
      </c>
      <c r="S69" s="2" t="s">
        <v>1</v>
      </c>
      <c r="T69" s="2" t="s">
        <v>2748</v>
      </c>
      <c r="U69" s="2" t="s">
        <v>42</v>
      </c>
      <c r="V69" s="2" t="s">
        <v>43</v>
      </c>
      <c r="W69" s="2" t="s">
        <v>1</v>
      </c>
      <c r="X69" s="2" t="s">
        <v>1</v>
      </c>
      <c r="Y69" s="2" t="s">
        <v>1</v>
      </c>
      <c r="Z69" s="2" t="s">
        <v>1</v>
      </c>
      <c r="AA69" s="2" t="s">
        <v>1</v>
      </c>
      <c r="AB69" s="2" t="s">
        <v>1</v>
      </c>
      <c r="AC69" s="2" t="s">
        <v>1</v>
      </c>
    </row>
    <row r="70" spans="1:29" x14ac:dyDescent="0.25">
      <c r="A70" s="2" t="s">
        <v>29</v>
      </c>
      <c r="B70" s="2" t="b">
        <v>0</v>
      </c>
      <c r="C70" s="2" t="s">
        <v>3887</v>
      </c>
      <c r="D70" s="2" t="s">
        <v>3888</v>
      </c>
      <c r="E70" s="2" t="s">
        <v>3889</v>
      </c>
      <c r="F70" s="1">
        <v>44269</v>
      </c>
      <c r="G70" s="1">
        <v>0.42569444444444438</v>
      </c>
      <c r="H70" s="1">
        <v>44269</v>
      </c>
      <c r="I70" s="2" t="s">
        <v>2698</v>
      </c>
      <c r="J70" s="2" t="s">
        <v>586</v>
      </c>
      <c r="K70" s="2" t="s">
        <v>24</v>
      </c>
      <c r="L70" s="2" t="s">
        <v>585</v>
      </c>
      <c r="M70" s="2" t="s">
        <v>3951</v>
      </c>
      <c r="N70" s="2" t="s">
        <v>1</v>
      </c>
      <c r="O70" s="2" t="s">
        <v>586</v>
      </c>
      <c r="P70" s="2">
        <v>1</v>
      </c>
      <c r="Q70" s="2" t="s">
        <v>1</v>
      </c>
      <c r="R70" s="2" t="s">
        <v>1</v>
      </c>
      <c r="S70" s="2" t="s">
        <v>1</v>
      </c>
      <c r="T70" s="2" t="s">
        <v>3002</v>
      </c>
      <c r="U70" s="2" t="s">
        <v>3891</v>
      </c>
      <c r="V70" s="2" t="s">
        <v>3892</v>
      </c>
      <c r="W70" s="2" t="s">
        <v>1</v>
      </c>
      <c r="X70" s="2" t="s">
        <v>1</v>
      </c>
      <c r="Y70" s="2" t="s">
        <v>1</v>
      </c>
      <c r="Z70" s="2" t="s">
        <v>1</v>
      </c>
      <c r="AA70" s="2" t="s">
        <v>1</v>
      </c>
      <c r="AB70" s="2" t="s">
        <v>1</v>
      </c>
      <c r="AC70" s="2" t="s">
        <v>1</v>
      </c>
    </row>
    <row r="71" spans="1:29" x14ac:dyDescent="0.25">
      <c r="A71" s="2" t="s">
        <v>29</v>
      </c>
      <c r="B71" s="2" t="b">
        <v>0</v>
      </c>
      <c r="C71" s="2" t="s">
        <v>3887</v>
      </c>
      <c r="D71" s="2" t="s">
        <v>3888</v>
      </c>
      <c r="E71" s="2" t="s">
        <v>3889</v>
      </c>
      <c r="F71" s="1">
        <v>44269</v>
      </c>
      <c r="G71" s="1">
        <v>0.42152777777777778</v>
      </c>
      <c r="H71" s="1">
        <v>44269</v>
      </c>
      <c r="I71" s="2" t="s">
        <v>4005</v>
      </c>
      <c r="J71" s="2" t="s">
        <v>586</v>
      </c>
      <c r="K71" s="2" t="s">
        <v>24</v>
      </c>
      <c r="L71" s="2" t="s">
        <v>585</v>
      </c>
      <c r="M71" s="2" t="s">
        <v>3953</v>
      </c>
      <c r="N71" s="2" t="s">
        <v>1</v>
      </c>
      <c r="O71" s="2" t="s">
        <v>586</v>
      </c>
      <c r="P71" s="2">
        <v>1</v>
      </c>
      <c r="Q71" s="2" t="s">
        <v>1</v>
      </c>
      <c r="R71" s="2" t="s">
        <v>1</v>
      </c>
      <c r="S71" s="2" t="s">
        <v>1</v>
      </c>
      <c r="T71" s="2" t="s">
        <v>2999</v>
      </c>
      <c r="U71" s="2" t="s">
        <v>3891</v>
      </c>
      <c r="V71" s="2" t="s">
        <v>3892</v>
      </c>
      <c r="W71" s="2" t="s">
        <v>1</v>
      </c>
      <c r="X71" s="2" t="s">
        <v>1</v>
      </c>
      <c r="Y71" s="2" t="s">
        <v>1</v>
      </c>
      <c r="Z71" s="2" t="s">
        <v>1</v>
      </c>
      <c r="AA71" s="2" t="s">
        <v>1</v>
      </c>
      <c r="AB71" s="2" t="s">
        <v>1</v>
      </c>
      <c r="AC71" s="2" t="s">
        <v>1</v>
      </c>
    </row>
    <row r="72" spans="1:29" x14ac:dyDescent="0.25">
      <c r="A72" s="2" t="s">
        <v>29</v>
      </c>
      <c r="B72" s="2" t="b">
        <v>0</v>
      </c>
      <c r="C72" s="2" t="s">
        <v>3887</v>
      </c>
      <c r="D72" s="2" t="s">
        <v>3888</v>
      </c>
      <c r="E72" s="2" t="s">
        <v>3889</v>
      </c>
      <c r="F72" s="1">
        <v>44269</v>
      </c>
      <c r="G72" s="1">
        <v>0.41944444444444445</v>
      </c>
      <c r="H72" s="1">
        <v>44269</v>
      </c>
      <c r="I72" s="2" t="s">
        <v>3974</v>
      </c>
      <c r="J72" s="2" t="s">
        <v>586</v>
      </c>
      <c r="K72" s="2" t="s">
        <v>24</v>
      </c>
      <c r="L72" s="2" t="s">
        <v>585</v>
      </c>
      <c r="M72" s="2" t="s">
        <v>3982</v>
      </c>
      <c r="N72" s="2" t="s">
        <v>1</v>
      </c>
      <c r="O72" s="2" t="s">
        <v>586</v>
      </c>
      <c r="P72" s="2">
        <v>1</v>
      </c>
      <c r="Q72" s="2" t="s">
        <v>1</v>
      </c>
      <c r="R72" s="2" t="s">
        <v>1</v>
      </c>
      <c r="S72" s="2" t="s">
        <v>1</v>
      </c>
      <c r="T72" s="2" t="s">
        <v>3008</v>
      </c>
      <c r="U72" s="2" t="s">
        <v>3891</v>
      </c>
      <c r="V72" s="2" t="s">
        <v>3892</v>
      </c>
      <c r="W72" s="2" t="s">
        <v>1</v>
      </c>
      <c r="X72" s="2" t="s">
        <v>1</v>
      </c>
      <c r="Y72" s="2" t="s">
        <v>1</v>
      </c>
      <c r="Z72" s="2" t="s">
        <v>1</v>
      </c>
      <c r="AA72" s="2" t="s">
        <v>1</v>
      </c>
      <c r="AB72" s="2" t="s">
        <v>1</v>
      </c>
      <c r="AC72" s="2" t="s">
        <v>1</v>
      </c>
    </row>
    <row r="73" spans="1:29" x14ac:dyDescent="0.25">
      <c r="A73" s="2" t="s">
        <v>29</v>
      </c>
      <c r="B73" s="2" t="b">
        <v>0</v>
      </c>
      <c r="C73" s="2" t="s">
        <v>3887</v>
      </c>
      <c r="D73" s="2" t="s">
        <v>3888</v>
      </c>
      <c r="E73" s="2" t="s">
        <v>3889</v>
      </c>
      <c r="F73" s="1">
        <v>44269</v>
      </c>
      <c r="G73" s="1">
        <v>0.41736111111111113</v>
      </c>
      <c r="H73" s="1">
        <v>44269</v>
      </c>
      <c r="I73" s="2" t="s">
        <v>4006</v>
      </c>
      <c r="J73" s="2" t="s">
        <v>586</v>
      </c>
      <c r="K73" s="2" t="s">
        <v>24</v>
      </c>
      <c r="L73" s="2" t="s">
        <v>585</v>
      </c>
      <c r="M73" s="2" t="s">
        <v>3986</v>
      </c>
      <c r="N73" s="2" t="s">
        <v>1</v>
      </c>
      <c r="O73" s="2" t="s">
        <v>586</v>
      </c>
      <c r="P73" s="2">
        <v>1</v>
      </c>
      <c r="Q73" s="2" t="s">
        <v>1</v>
      </c>
      <c r="R73" s="2" t="s">
        <v>1</v>
      </c>
      <c r="S73" s="2" t="s">
        <v>1</v>
      </c>
      <c r="T73" s="2" t="s">
        <v>3005</v>
      </c>
      <c r="U73" s="2" t="s">
        <v>3891</v>
      </c>
      <c r="V73" s="2" t="s">
        <v>3892</v>
      </c>
      <c r="W73" s="2" t="s">
        <v>1</v>
      </c>
      <c r="X73" s="2" t="s">
        <v>1</v>
      </c>
      <c r="Y73" s="2" t="s">
        <v>1</v>
      </c>
      <c r="Z73" s="2" t="s">
        <v>1</v>
      </c>
      <c r="AA73" s="2" t="s">
        <v>1</v>
      </c>
      <c r="AB73" s="2" t="s">
        <v>1</v>
      </c>
      <c r="AC73" s="2" t="s">
        <v>1</v>
      </c>
    </row>
    <row r="74" spans="1:29" x14ac:dyDescent="0.25">
      <c r="A74" s="2" t="s">
        <v>29</v>
      </c>
      <c r="B74" s="2" t="b">
        <v>0</v>
      </c>
      <c r="C74" s="2" t="s">
        <v>3887</v>
      </c>
      <c r="D74" s="2" t="s">
        <v>3888</v>
      </c>
      <c r="E74" s="2" t="s">
        <v>3889</v>
      </c>
      <c r="F74" s="1">
        <v>44269</v>
      </c>
      <c r="G74" s="1">
        <v>0.41041666666666665</v>
      </c>
      <c r="H74" s="1">
        <v>44269</v>
      </c>
      <c r="I74" s="2" t="s">
        <v>4007</v>
      </c>
      <c r="J74" s="2" t="s">
        <v>586</v>
      </c>
      <c r="K74" s="2" t="s">
        <v>24</v>
      </c>
      <c r="L74" s="2" t="s">
        <v>585</v>
      </c>
      <c r="M74" s="2" t="s">
        <v>3991</v>
      </c>
      <c r="N74" s="2" t="s">
        <v>1</v>
      </c>
      <c r="O74" s="2" t="s">
        <v>586</v>
      </c>
      <c r="P74" s="2">
        <v>1</v>
      </c>
      <c r="Q74" s="2" t="s">
        <v>1</v>
      </c>
      <c r="R74" s="2" t="s">
        <v>1</v>
      </c>
      <c r="S74" s="2" t="s">
        <v>1</v>
      </c>
      <c r="T74" s="2" t="s">
        <v>3005</v>
      </c>
      <c r="U74" s="2" t="s">
        <v>3891</v>
      </c>
      <c r="V74" s="2" t="s">
        <v>3892</v>
      </c>
      <c r="W74" s="2" t="s">
        <v>1</v>
      </c>
      <c r="X74" s="2" t="s">
        <v>1</v>
      </c>
      <c r="Y74" s="2" t="s">
        <v>1</v>
      </c>
      <c r="Z74" s="2" t="s">
        <v>1</v>
      </c>
      <c r="AA74" s="2" t="s">
        <v>1</v>
      </c>
      <c r="AB74" s="2" t="s">
        <v>1</v>
      </c>
      <c r="AC74" s="2" t="s">
        <v>1</v>
      </c>
    </row>
    <row r="75" spans="1:29" x14ac:dyDescent="0.25">
      <c r="A75" s="2" t="s">
        <v>29</v>
      </c>
      <c r="B75" s="2" t="b">
        <v>0</v>
      </c>
      <c r="C75" s="2" t="s">
        <v>3887</v>
      </c>
      <c r="D75" s="2" t="s">
        <v>3888</v>
      </c>
      <c r="E75" s="2" t="s">
        <v>3889</v>
      </c>
      <c r="F75" s="1">
        <v>44269</v>
      </c>
      <c r="G75" s="1">
        <v>0.40972222222222227</v>
      </c>
      <c r="H75" s="1">
        <v>44269</v>
      </c>
      <c r="I75" s="2" t="s">
        <v>2648</v>
      </c>
      <c r="J75" s="2" t="s">
        <v>586</v>
      </c>
      <c r="K75" s="2" t="s">
        <v>24</v>
      </c>
      <c r="L75" s="2" t="s">
        <v>585</v>
      </c>
      <c r="M75" s="2" t="s">
        <v>3993</v>
      </c>
      <c r="N75" s="2" t="s">
        <v>1</v>
      </c>
      <c r="O75" s="2" t="s">
        <v>586</v>
      </c>
      <c r="P75" s="2">
        <v>1</v>
      </c>
      <c r="Q75" s="2" t="s">
        <v>1</v>
      </c>
      <c r="R75" s="2" t="s">
        <v>1</v>
      </c>
      <c r="S75" s="2" t="s">
        <v>1</v>
      </c>
      <c r="T75" s="2" t="s">
        <v>3008</v>
      </c>
      <c r="U75" s="2" t="s">
        <v>3891</v>
      </c>
      <c r="V75" s="2" t="s">
        <v>3892</v>
      </c>
      <c r="W75" s="2" t="s">
        <v>1</v>
      </c>
      <c r="X75" s="2" t="s">
        <v>1</v>
      </c>
      <c r="Y75" s="2" t="s">
        <v>1</v>
      </c>
      <c r="Z75" s="2" t="s">
        <v>1</v>
      </c>
      <c r="AA75" s="2" t="s">
        <v>1</v>
      </c>
      <c r="AB75" s="2" t="s">
        <v>1</v>
      </c>
      <c r="AC75" s="2" t="s">
        <v>1</v>
      </c>
    </row>
    <row r="76" spans="1:29" x14ac:dyDescent="0.25">
      <c r="A76" s="2" t="s">
        <v>29</v>
      </c>
      <c r="B76" s="2" t="b">
        <v>0</v>
      </c>
      <c r="C76" s="2" t="s">
        <v>3887</v>
      </c>
      <c r="D76" s="2" t="s">
        <v>3888</v>
      </c>
      <c r="E76" s="2" t="s">
        <v>3889</v>
      </c>
      <c r="F76" s="1">
        <v>44269</v>
      </c>
      <c r="G76" s="1">
        <v>0.40763888888888888</v>
      </c>
      <c r="H76" s="1">
        <v>44269</v>
      </c>
      <c r="I76" s="2" t="s">
        <v>615</v>
      </c>
      <c r="J76" s="2" t="s">
        <v>586</v>
      </c>
      <c r="K76" s="2" t="s">
        <v>606</v>
      </c>
      <c r="L76" s="2" t="s">
        <v>585</v>
      </c>
      <c r="M76" s="2" t="s">
        <v>4008</v>
      </c>
      <c r="N76" s="2" t="s">
        <v>1</v>
      </c>
      <c r="O76" s="2" t="s">
        <v>586</v>
      </c>
      <c r="P76" s="2">
        <v>1</v>
      </c>
      <c r="Q76" s="2" t="s">
        <v>1</v>
      </c>
      <c r="R76" s="2" t="s">
        <v>1</v>
      </c>
      <c r="S76" s="2" t="s">
        <v>1</v>
      </c>
      <c r="T76" s="2" t="s">
        <v>2999</v>
      </c>
      <c r="U76" s="2" t="s">
        <v>3891</v>
      </c>
      <c r="V76" s="2" t="s">
        <v>3892</v>
      </c>
      <c r="W76" s="2" t="s">
        <v>1</v>
      </c>
      <c r="X76" s="2" t="s">
        <v>1</v>
      </c>
      <c r="Y76" s="2" t="s">
        <v>1</v>
      </c>
      <c r="Z76" s="2" t="s">
        <v>1</v>
      </c>
      <c r="AA76" s="2" t="s">
        <v>1</v>
      </c>
      <c r="AB76" s="2" t="s">
        <v>1</v>
      </c>
      <c r="AC76" s="2" t="s">
        <v>1</v>
      </c>
    </row>
    <row r="77" spans="1:29" x14ac:dyDescent="0.25">
      <c r="A77" s="2" t="s">
        <v>29</v>
      </c>
      <c r="B77" s="2" t="b">
        <v>0</v>
      </c>
      <c r="C77" s="2" t="s">
        <v>3887</v>
      </c>
      <c r="D77" s="2" t="s">
        <v>3888</v>
      </c>
      <c r="E77" s="2" t="s">
        <v>3889</v>
      </c>
      <c r="F77" s="1">
        <v>44269</v>
      </c>
      <c r="G77" s="1">
        <v>0.40138888888888891</v>
      </c>
      <c r="H77" s="1">
        <v>44269</v>
      </c>
      <c r="I77" s="2" t="s">
        <v>2643</v>
      </c>
      <c r="J77" s="2" t="s">
        <v>586</v>
      </c>
      <c r="K77" s="2" t="s">
        <v>606</v>
      </c>
      <c r="L77" s="2" t="s">
        <v>585</v>
      </c>
      <c r="M77" s="2" t="s">
        <v>4009</v>
      </c>
      <c r="N77" s="2" t="s">
        <v>1</v>
      </c>
      <c r="O77" s="2" t="s">
        <v>586</v>
      </c>
      <c r="P77" s="2">
        <v>1</v>
      </c>
      <c r="Q77" s="2" t="s">
        <v>1</v>
      </c>
      <c r="R77" s="2" t="s">
        <v>1</v>
      </c>
      <c r="S77" s="2" t="s">
        <v>1</v>
      </c>
      <c r="T77" s="2" t="s">
        <v>3002</v>
      </c>
      <c r="U77" s="2" t="s">
        <v>3891</v>
      </c>
      <c r="V77" s="2" t="s">
        <v>3892</v>
      </c>
      <c r="W77" s="2" t="s">
        <v>1</v>
      </c>
      <c r="X77" s="2" t="s">
        <v>1</v>
      </c>
      <c r="Y77" s="2" t="s">
        <v>1</v>
      </c>
      <c r="Z77" s="2" t="s">
        <v>1</v>
      </c>
      <c r="AA77" s="2" t="s">
        <v>1</v>
      </c>
      <c r="AB77" s="2" t="s">
        <v>1</v>
      </c>
      <c r="AC77" s="2" t="s">
        <v>1</v>
      </c>
    </row>
    <row r="78" spans="1:29" x14ac:dyDescent="0.25">
      <c r="A78" s="2" t="s">
        <v>29</v>
      </c>
      <c r="B78" s="2" t="b">
        <v>0</v>
      </c>
      <c r="C78" s="2" t="s">
        <v>3887</v>
      </c>
      <c r="D78" s="2" t="s">
        <v>3888</v>
      </c>
      <c r="E78" s="2" t="s">
        <v>3889</v>
      </c>
      <c r="F78" s="1">
        <v>44268</v>
      </c>
      <c r="G78" s="1">
        <v>0.45624999999999999</v>
      </c>
      <c r="H78" s="1">
        <v>44268</v>
      </c>
      <c r="I78" s="2" t="s">
        <v>4010</v>
      </c>
      <c r="J78" s="2" t="s">
        <v>604</v>
      </c>
      <c r="K78" s="2" t="s">
        <v>38</v>
      </c>
      <c r="L78" s="2" t="s">
        <v>585</v>
      </c>
      <c r="M78" s="2" t="s">
        <v>4011</v>
      </c>
      <c r="N78" s="2" t="s">
        <v>1</v>
      </c>
      <c r="O78" s="2" t="s">
        <v>604</v>
      </c>
      <c r="P78" s="2">
        <v>1</v>
      </c>
      <c r="Q78" s="2" t="s">
        <v>1</v>
      </c>
      <c r="R78" s="2" t="s">
        <v>1</v>
      </c>
      <c r="S78" s="2" t="s">
        <v>1</v>
      </c>
      <c r="T78" s="2" t="s">
        <v>2990</v>
      </c>
      <c r="U78" s="2" t="s">
        <v>3958</v>
      </c>
      <c r="V78" s="2" t="s">
        <v>3933</v>
      </c>
      <c r="W78" s="2" t="s">
        <v>1</v>
      </c>
      <c r="X78" s="2" t="s">
        <v>1</v>
      </c>
      <c r="Y78" s="2" t="s">
        <v>1</v>
      </c>
      <c r="Z78" s="2" t="s">
        <v>1</v>
      </c>
      <c r="AA78" s="2" t="s">
        <v>1</v>
      </c>
      <c r="AB78" s="2" t="s">
        <v>1</v>
      </c>
      <c r="AC78" s="2" t="s">
        <v>1</v>
      </c>
    </row>
    <row r="79" spans="1:29" x14ac:dyDescent="0.25">
      <c r="A79" s="2" t="s">
        <v>29</v>
      </c>
      <c r="B79" s="2" t="b">
        <v>0</v>
      </c>
      <c r="C79" s="2" t="s">
        <v>3887</v>
      </c>
      <c r="D79" s="2" t="s">
        <v>3888</v>
      </c>
      <c r="E79" s="2" t="s">
        <v>3889</v>
      </c>
      <c r="F79" s="1">
        <v>44268</v>
      </c>
      <c r="G79" s="1">
        <v>0.43472222222222223</v>
      </c>
      <c r="H79" s="1">
        <v>44268</v>
      </c>
      <c r="I79" s="2" t="s">
        <v>3234</v>
      </c>
      <c r="J79" s="2" t="s">
        <v>609</v>
      </c>
      <c r="K79" s="2" t="s">
        <v>38</v>
      </c>
      <c r="L79" s="2" t="s">
        <v>585</v>
      </c>
      <c r="M79" s="2" t="s">
        <v>4012</v>
      </c>
      <c r="N79" s="2" t="s">
        <v>1</v>
      </c>
      <c r="O79" s="2" t="s">
        <v>609</v>
      </c>
      <c r="P79" s="2">
        <v>1</v>
      </c>
      <c r="Q79" s="2" t="s">
        <v>1</v>
      </c>
      <c r="R79" s="2" t="s">
        <v>1</v>
      </c>
      <c r="S79" s="2" t="s">
        <v>1</v>
      </c>
      <c r="T79" s="2" t="s">
        <v>2990</v>
      </c>
      <c r="U79" s="2" t="s">
        <v>3958</v>
      </c>
      <c r="V79" s="2" t="s">
        <v>3933</v>
      </c>
      <c r="W79" s="2" t="s">
        <v>1</v>
      </c>
      <c r="X79" s="2" t="s">
        <v>1</v>
      </c>
      <c r="Y79" s="2" t="s">
        <v>1</v>
      </c>
      <c r="Z79" s="2" t="s">
        <v>1</v>
      </c>
      <c r="AA79" s="2" t="s">
        <v>1</v>
      </c>
      <c r="AB79" s="2" t="s">
        <v>1</v>
      </c>
      <c r="AC79" s="2" t="s">
        <v>1</v>
      </c>
    </row>
    <row r="80" spans="1:29" x14ac:dyDescent="0.25">
      <c r="A80" s="2" t="s">
        <v>29</v>
      </c>
      <c r="B80" s="2" t="b">
        <v>0</v>
      </c>
      <c r="C80" s="2" t="s">
        <v>3887</v>
      </c>
      <c r="D80" s="2" t="s">
        <v>3888</v>
      </c>
      <c r="E80" s="2" t="s">
        <v>3889</v>
      </c>
      <c r="F80" s="1">
        <v>44268</v>
      </c>
      <c r="G80" s="1">
        <v>0.41597222222222224</v>
      </c>
      <c r="H80" s="1">
        <v>44268</v>
      </c>
      <c r="I80" s="2" t="s">
        <v>4013</v>
      </c>
      <c r="J80" s="2" t="s">
        <v>3926</v>
      </c>
      <c r="K80" s="2" t="s">
        <v>38</v>
      </c>
      <c r="L80" s="2" t="s">
        <v>585</v>
      </c>
      <c r="M80" s="2" t="s">
        <v>4014</v>
      </c>
      <c r="N80" s="2" t="s">
        <v>1</v>
      </c>
      <c r="O80" s="2" t="s">
        <v>3926</v>
      </c>
      <c r="P80" s="2">
        <v>1</v>
      </c>
      <c r="Q80" s="2" t="s">
        <v>1</v>
      </c>
      <c r="R80" s="2" t="s">
        <v>1</v>
      </c>
      <c r="S80" s="2" t="s">
        <v>1</v>
      </c>
      <c r="T80" s="2" t="s">
        <v>2917</v>
      </c>
      <c r="U80" s="2" t="s">
        <v>3958</v>
      </c>
      <c r="V80" s="2" t="s">
        <v>3933</v>
      </c>
      <c r="W80" s="2" t="s">
        <v>1</v>
      </c>
      <c r="X80" s="2" t="s">
        <v>1</v>
      </c>
      <c r="Y80" s="2" t="s">
        <v>1</v>
      </c>
      <c r="Z80" s="2" t="s">
        <v>1</v>
      </c>
      <c r="AA80" s="2" t="s">
        <v>1</v>
      </c>
      <c r="AB80" s="2" t="s">
        <v>1</v>
      </c>
      <c r="AC80" s="2" t="s">
        <v>1</v>
      </c>
    </row>
    <row r="81" spans="1:29" x14ac:dyDescent="0.25">
      <c r="A81" s="2" t="s">
        <v>29</v>
      </c>
      <c r="B81" s="2" t="b">
        <v>0</v>
      </c>
      <c r="C81" s="2" t="s">
        <v>3887</v>
      </c>
      <c r="D81" s="2" t="s">
        <v>3888</v>
      </c>
      <c r="E81" s="2" t="s">
        <v>3889</v>
      </c>
      <c r="F81" s="1">
        <v>44268</v>
      </c>
      <c r="G81" s="1">
        <v>0.39097222222222222</v>
      </c>
      <c r="H81" s="1">
        <v>44268</v>
      </c>
      <c r="I81" s="2" t="s">
        <v>4013</v>
      </c>
      <c r="J81" s="2" t="s">
        <v>3968</v>
      </c>
      <c r="K81" s="2" t="s">
        <v>24</v>
      </c>
      <c r="L81" s="2" t="s">
        <v>585</v>
      </c>
      <c r="M81" s="2" t="s">
        <v>4015</v>
      </c>
      <c r="N81" s="2" t="s">
        <v>1</v>
      </c>
      <c r="O81" s="2" t="s">
        <v>3968</v>
      </c>
      <c r="P81" s="2">
        <v>1</v>
      </c>
      <c r="Q81" s="2" t="s">
        <v>1</v>
      </c>
      <c r="R81" s="2" t="s">
        <v>1</v>
      </c>
      <c r="S81" s="2" t="s">
        <v>1</v>
      </c>
      <c r="T81" s="2" t="s">
        <v>2917</v>
      </c>
      <c r="U81" s="2" t="s">
        <v>3958</v>
      </c>
      <c r="V81" s="2" t="s">
        <v>3933</v>
      </c>
      <c r="W81" s="2" t="s">
        <v>1</v>
      </c>
      <c r="X81" s="2" t="s">
        <v>1</v>
      </c>
      <c r="Y81" s="2" t="s">
        <v>1</v>
      </c>
      <c r="Z81" s="2" t="s">
        <v>1</v>
      </c>
      <c r="AA81" s="2" t="s">
        <v>1</v>
      </c>
      <c r="AB81" s="2" t="s">
        <v>1</v>
      </c>
      <c r="AC81" s="2" t="s">
        <v>1</v>
      </c>
    </row>
    <row r="82" spans="1:29" x14ac:dyDescent="0.25">
      <c r="A82" s="2" t="s">
        <v>29</v>
      </c>
      <c r="B82" s="2" t="b">
        <v>0</v>
      </c>
      <c r="C82" s="2" t="s">
        <v>3887</v>
      </c>
      <c r="D82" s="2" t="s">
        <v>3888</v>
      </c>
      <c r="E82" s="2" t="s">
        <v>3889</v>
      </c>
      <c r="F82" s="1">
        <v>44268</v>
      </c>
      <c r="G82" s="1">
        <v>0.28611111111111109</v>
      </c>
      <c r="H82" s="1">
        <v>44268</v>
      </c>
      <c r="I82" s="2" t="s">
        <v>4000</v>
      </c>
      <c r="J82" s="2" t="s">
        <v>3935</v>
      </c>
      <c r="K82" s="2" t="s">
        <v>24</v>
      </c>
      <c r="L82" s="2" t="s">
        <v>585</v>
      </c>
      <c r="M82" s="2" t="s">
        <v>4016</v>
      </c>
      <c r="N82" s="2" t="s">
        <v>1</v>
      </c>
      <c r="O82" s="2" t="s">
        <v>3935</v>
      </c>
      <c r="P82" s="2">
        <v>1</v>
      </c>
      <c r="Q82" s="2" t="s">
        <v>1</v>
      </c>
      <c r="R82" s="2" t="s">
        <v>1</v>
      </c>
      <c r="S82" s="2" t="s">
        <v>1</v>
      </c>
      <c r="T82" s="2" t="s">
        <v>2990</v>
      </c>
      <c r="U82" s="2" t="s">
        <v>3958</v>
      </c>
      <c r="V82" s="2" t="s">
        <v>3933</v>
      </c>
      <c r="W82" s="2" t="s">
        <v>1</v>
      </c>
      <c r="X82" s="2" t="s">
        <v>1</v>
      </c>
      <c r="Y82" s="2" t="s">
        <v>1</v>
      </c>
      <c r="Z82" s="2" t="s">
        <v>1</v>
      </c>
      <c r="AA82" s="2" t="s">
        <v>1</v>
      </c>
      <c r="AB82" s="2" t="s">
        <v>1</v>
      </c>
      <c r="AC82" s="2" t="s">
        <v>1</v>
      </c>
    </row>
    <row r="83" spans="1:29" x14ac:dyDescent="0.25">
      <c r="A83" s="2" t="s">
        <v>29</v>
      </c>
      <c r="B83" s="2" t="b">
        <v>0</v>
      </c>
      <c r="C83" s="2" t="s">
        <v>3887</v>
      </c>
      <c r="D83" s="2" t="s">
        <v>3888</v>
      </c>
      <c r="E83" s="2" t="s">
        <v>3889</v>
      </c>
      <c r="F83" s="1">
        <v>44268</v>
      </c>
      <c r="G83" s="1">
        <v>7.2916666666666671E-2</v>
      </c>
      <c r="H83" s="1">
        <v>44268</v>
      </c>
      <c r="I83" s="2" t="s">
        <v>4017</v>
      </c>
      <c r="J83" s="2" t="s">
        <v>604</v>
      </c>
      <c r="K83" s="2" t="s">
        <v>24</v>
      </c>
      <c r="L83" s="2" t="s">
        <v>585</v>
      </c>
      <c r="M83" s="2" t="s">
        <v>4018</v>
      </c>
      <c r="N83" s="2" t="s">
        <v>1</v>
      </c>
      <c r="O83" s="2" t="s">
        <v>604</v>
      </c>
      <c r="P83" s="2">
        <v>1</v>
      </c>
      <c r="Q83" s="2" t="s">
        <v>1</v>
      </c>
      <c r="R83" s="2" t="s">
        <v>1</v>
      </c>
      <c r="S83" s="2" t="s">
        <v>1</v>
      </c>
      <c r="T83" s="2" t="s">
        <v>2958</v>
      </c>
      <c r="U83" s="2" t="s">
        <v>3932</v>
      </c>
      <c r="V83" s="2" t="s">
        <v>3933</v>
      </c>
      <c r="W83" s="2" t="s">
        <v>1</v>
      </c>
      <c r="X83" s="2" t="s">
        <v>1</v>
      </c>
      <c r="Y83" s="2" t="s">
        <v>1</v>
      </c>
      <c r="Z83" s="2" t="s">
        <v>1</v>
      </c>
      <c r="AA83" s="2" t="s">
        <v>1</v>
      </c>
      <c r="AB83" s="2" t="s">
        <v>1</v>
      </c>
      <c r="AC83" s="2" t="s">
        <v>1</v>
      </c>
    </row>
    <row r="84" spans="1:29" x14ac:dyDescent="0.25">
      <c r="A84" s="2" t="s">
        <v>29</v>
      </c>
      <c r="B84" s="2" t="b">
        <v>0</v>
      </c>
      <c r="C84" s="2" t="s">
        <v>3887</v>
      </c>
      <c r="D84" s="2" t="s">
        <v>3888</v>
      </c>
      <c r="E84" s="2" t="s">
        <v>3889</v>
      </c>
      <c r="F84" s="1">
        <v>44267</v>
      </c>
      <c r="G84" s="1">
        <v>0.91805555555555551</v>
      </c>
      <c r="H84" s="1">
        <v>44268</v>
      </c>
      <c r="I84" s="2" t="s">
        <v>4019</v>
      </c>
      <c r="J84" s="2" t="s">
        <v>3935</v>
      </c>
      <c r="K84" s="2" t="s">
        <v>24</v>
      </c>
      <c r="L84" s="2" t="s">
        <v>585</v>
      </c>
      <c r="M84" s="2" t="s">
        <v>4020</v>
      </c>
      <c r="N84" s="2" t="s">
        <v>1</v>
      </c>
      <c r="O84" s="2" t="s">
        <v>3935</v>
      </c>
      <c r="P84" s="2">
        <v>1</v>
      </c>
      <c r="Q84" s="2" t="s">
        <v>1</v>
      </c>
      <c r="R84" s="2" t="s">
        <v>1</v>
      </c>
      <c r="S84" s="2" t="s">
        <v>1</v>
      </c>
      <c r="T84" s="2" t="s">
        <v>2889</v>
      </c>
      <c r="U84" s="2" t="s">
        <v>3932</v>
      </c>
      <c r="V84" s="2" t="s">
        <v>3933</v>
      </c>
      <c r="W84" s="2" t="s">
        <v>1</v>
      </c>
      <c r="X84" s="2" t="s">
        <v>1</v>
      </c>
      <c r="Y84" s="2" t="s">
        <v>1</v>
      </c>
      <c r="Z84" s="2" t="s">
        <v>1</v>
      </c>
      <c r="AA84" s="2" t="s">
        <v>1</v>
      </c>
      <c r="AB84" s="2" t="s">
        <v>1</v>
      </c>
      <c r="AC84" s="2" t="s">
        <v>1</v>
      </c>
    </row>
    <row r="85" spans="1:29" x14ac:dyDescent="0.25">
      <c r="A85" s="2" t="s">
        <v>29</v>
      </c>
      <c r="B85" s="2" t="b">
        <v>0</v>
      </c>
      <c r="C85" s="2" t="s">
        <v>3887</v>
      </c>
      <c r="D85" s="2" t="s">
        <v>3888</v>
      </c>
      <c r="E85" s="2" t="s">
        <v>3889</v>
      </c>
      <c r="F85" s="1">
        <v>44267</v>
      </c>
      <c r="G85" s="1">
        <v>0.34861111111111109</v>
      </c>
      <c r="H85" s="1">
        <v>44267</v>
      </c>
      <c r="I85" s="2" t="s">
        <v>3237</v>
      </c>
      <c r="J85" s="2" t="s">
        <v>3959</v>
      </c>
      <c r="K85" s="2" t="s">
        <v>24</v>
      </c>
      <c r="L85" s="2" t="s">
        <v>585</v>
      </c>
      <c r="M85" s="2" t="s">
        <v>4018</v>
      </c>
      <c r="N85" s="2" t="s">
        <v>1</v>
      </c>
      <c r="O85" s="2" t="s">
        <v>3959</v>
      </c>
      <c r="P85" s="2">
        <v>1</v>
      </c>
      <c r="Q85" s="2" t="s">
        <v>1</v>
      </c>
      <c r="R85" s="2" t="s">
        <v>1</v>
      </c>
      <c r="S85" s="2" t="s">
        <v>1</v>
      </c>
      <c r="T85" s="2" t="s">
        <v>2958</v>
      </c>
      <c r="U85" s="2" t="s">
        <v>3932</v>
      </c>
      <c r="V85" s="2" t="s">
        <v>3933</v>
      </c>
      <c r="W85" s="2" t="s">
        <v>1</v>
      </c>
      <c r="X85" s="2" t="s">
        <v>1</v>
      </c>
      <c r="Y85" s="2" t="s">
        <v>1</v>
      </c>
      <c r="Z85" s="2" t="s">
        <v>1</v>
      </c>
      <c r="AA85" s="2" t="s">
        <v>1</v>
      </c>
      <c r="AB85" s="2" t="s">
        <v>1</v>
      </c>
      <c r="AC85" s="2" t="s">
        <v>1</v>
      </c>
    </row>
    <row r="86" spans="1:29" x14ac:dyDescent="0.25">
      <c r="A86" s="2" t="s">
        <v>29</v>
      </c>
      <c r="B86" s="2" t="b">
        <v>0</v>
      </c>
      <c r="C86" s="2" t="s">
        <v>3887</v>
      </c>
      <c r="D86" s="2" t="s">
        <v>3888</v>
      </c>
      <c r="E86" s="2" t="s">
        <v>3889</v>
      </c>
      <c r="F86" s="1">
        <v>44267</v>
      </c>
      <c r="G86" s="1">
        <v>0.19166666666666668</v>
      </c>
      <c r="H86" s="1">
        <v>44267</v>
      </c>
      <c r="I86" s="2" t="s">
        <v>3245</v>
      </c>
      <c r="J86" s="2" t="s">
        <v>3935</v>
      </c>
      <c r="K86" s="2" t="s">
        <v>24</v>
      </c>
      <c r="L86" s="2" t="s">
        <v>585</v>
      </c>
      <c r="M86" s="2" t="s">
        <v>4021</v>
      </c>
      <c r="N86" s="2" t="s">
        <v>1</v>
      </c>
      <c r="O86" s="2" t="s">
        <v>3935</v>
      </c>
      <c r="P86" s="2">
        <v>1</v>
      </c>
      <c r="Q86" s="2" t="s">
        <v>1</v>
      </c>
      <c r="R86" s="2" t="s">
        <v>1</v>
      </c>
      <c r="S86" s="2" t="s">
        <v>1</v>
      </c>
      <c r="T86" s="2" t="s">
        <v>2912</v>
      </c>
      <c r="U86" s="2" t="s">
        <v>3932</v>
      </c>
      <c r="V86" s="2" t="s">
        <v>3933</v>
      </c>
      <c r="W86" s="2" t="s">
        <v>1</v>
      </c>
      <c r="X86" s="2" t="s">
        <v>1</v>
      </c>
      <c r="Y86" s="2" t="s">
        <v>1</v>
      </c>
      <c r="Z86" s="2" t="s">
        <v>1</v>
      </c>
      <c r="AA86" s="2" t="s">
        <v>1</v>
      </c>
      <c r="AB86" s="2" t="s">
        <v>1</v>
      </c>
      <c r="AC86" s="2" t="s">
        <v>1</v>
      </c>
    </row>
    <row r="87" spans="1:29" x14ac:dyDescent="0.25">
      <c r="A87" s="2" t="s">
        <v>29</v>
      </c>
      <c r="B87" s="2" t="b">
        <v>0</v>
      </c>
      <c r="C87" s="2" t="s">
        <v>3887</v>
      </c>
      <c r="D87" s="2" t="s">
        <v>3888</v>
      </c>
      <c r="E87" s="2" t="s">
        <v>3889</v>
      </c>
      <c r="F87" s="1">
        <v>44265</v>
      </c>
      <c r="G87" s="1">
        <v>0.28125</v>
      </c>
      <c r="H87" s="1">
        <v>44265</v>
      </c>
      <c r="I87" s="2" t="s">
        <v>4022</v>
      </c>
      <c r="J87" s="2" t="s">
        <v>2623</v>
      </c>
      <c r="K87" s="2" t="s">
        <v>2624</v>
      </c>
      <c r="L87" s="2" t="s">
        <v>585</v>
      </c>
      <c r="M87" s="2" t="s">
        <v>4023</v>
      </c>
      <c r="N87" s="2" t="s">
        <v>1</v>
      </c>
      <c r="O87" s="2" t="s">
        <v>2623</v>
      </c>
      <c r="P87" s="2">
        <v>1</v>
      </c>
      <c r="Q87" s="2" t="s">
        <v>1</v>
      </c>
      <c r="R87" s="2" t="s">
        <v>1</v>
      </c>
      <c r="S87" s="2" t="s">
        <v>1</v>
      </c>
      <c r="T87" s="2" t="s">
        <v>224</v>
      </c>
      <c r="U87" s="2" t="s">
        <v>75</v>
      </c>
      <c r="V87" s="2" t="s">
        <v>43</v>
      </c>
      <c r="W87" s="2" t="s">
        <v>1</v>
      </c>
      <c r="X87" s="2" t="s">
        <v>1</v>
      </c>
      <c r="Y87" s="2" t="s">
        <v>1</v>
      </c>
      <c r="Z87" s="2" t="s">
        <v>1</v>
      </c>
      <c r="AA87" s="2" t="s">
        <v>1</v>
      </c>
      <c r="AB87" s="2" t="s">
        <v>1</v>
      </c>
      <c r="AC87" s="2" t="s">
        <v>1</v>
      </c>
    </row>
    <row r="88" spans="1:29" x14ac:dyDescent="0.25">
      <c r="A88" s="2" t="s">
        <v>29</v>
      </c>
      <c r="B88" s="2" t="b">
        <v>0</v>
      </c>
      <c r="C88" s="2" t="s">
        <v>3887</v>
      </c>
      <c r="D88" s="2" t="s">
        <v>3888</v>
      </c>
      <c r="E88" s="2" t="s">
        <v>3889</v>
      </c>
      <c r="F88" s="1">
        <v>44265</v>
      </c>
      <c r="G88" s="1">
        <v>0.19930555555555557</v>
      </c>
      <c r="H88" s="1">
        <v>44265</v>
      </c>
      <c r="I88" s="2" t="s">
        <v>3233</v>
      </c>
      <c r="J88" s="2" t="s">
        <v>586</v>
      </c>
      <c r="K88" s="2" t="s">
        <v>606</v>
      </c>
      <c r="L88" s="2" t="s">
        <v>585</v>
      </c>
      <c r="M88" s="2" t="s">
        <v>4024</v>
      </c>
      <c r="N88" s="2" t="s">
        <v>1</v>
      </c>
      <c r="O88" s="2" t="s">
        <v>586</v>
      </c>
      <c r="P88" s="2">
        <v>1</v>
      </c>
      <c r="Q88" s="2" t="s">
        <v>1</v>
      </c>
      <c r="R88" s="2" t="s">
        <v>1</v>
      </c>
      <c r="S88" s="2" t="s">
        <v>1</v>
      </c>
      <c r="T88" s="2" t="s">
        <v>224</v>
      </c>
      <c r="U88" s="2" t="s">
        <v>75</v>
      </c>
      <c r="V88" s="2" t="s">
        <v>43</v>
      </c>
      <c r="W88" s="2" t="s">
        <v>1</v>
      </c>
      <c r="X88" s="2" t="s">
        <v>1</v>
      </c>
      <c r="Y88" s="2" t="s">
        <v>1</v>
      </c>
      <c r="Z88" s="2" t="s">
        <v>1</v>
      </c>
      <c r="AA88" s="2" t="s">
        <v>1</v>
      </c>
      <c r="AB88" s="2" t="s">
        <v>1</v>
      </c>
      <c r="AC88" s="2" t="s">
        <v>1</v>
      </c>
    </row>
    <row r="89" spans="1:29" x14ac:dyDescent="0.25">
      <c r="A89" s="2" t="s">
        <v>29</v>
      </c>
      <c r="B89" s="2" t="b">
        <v>0</v>
      </c>
      <c r="C89" s="2" t="s">
        <v>3887</v>
      </c>
      <c r="D89" s="2" t="s">
        <v>3888</v>
      </c>
      <c r="E89" s="2" t="s">
        <v>3889</v>
      </c>
      <c r="F89" s="1">
        <v>44264</v>
      </c>
      <c r="G89" s="1">
        <v>0.9819444444444444</v>
      </c>
      <c r="H89" s="1">
        <v>44265</v>
      </c>
      <c r="I89" s="2" t="s">
        <v>4025</v>
      </c>
      <c r="J89" s="2" t="s">
        <v>4026</v>
      </c>
      <c r="K89" s="2" t="s">
        <v>24</v>
      </c>
      <c r="L89" s="2" t="s">
        <v>585</v>
      </c>
      <c r="M89" s="2" t="s">
        <v>4027</v>
      </c>
      <c r="N89" s="2" t="s">
        <v>1</v>
      </c>
      <c r="O89" s="2" t="s">
        <v>4026</v>
      </c>
      <c r="P89" s="2">
        <v>1</v>
      </c>
      <c r="Q89" s="2" t="s">
        <v>1</v>
      </c>
      <c r="R89" s="2" t="s">
        <v>1</v>
      </c>
      <c r="S89" s="2" t="s">
        <v>1</v>
      </c>
      <c r="T89" s="2" t="s">
        <v>2741</v>
      </c>
      <c r="U89" s="2" t="s">
        <v>75</v>
      </c>
      <c r="V89" s="2" t="s">
        <v>43</v>
      </c>
      <c r="W89" s="2" t="s">
        <v>1</v>
      </c>
      <c r="X89" s="2" t="s">
        <v>1</v>
      </c>
      <c r="Y89" s="2" t="s">
        <v>1</v>
      </c>
      <c r="Z89" s="2" t="s">
        <v>1</v>
      </c>
      <c r="AA89" s="2" t="s">
        <v>1</v>
      </c>
      <c r="AB89" s="2" t="s">
        <v>1</v>
      </c>
      <c r="AC89" s="2" t="s">
        <v>1</v>
      </c>
    </row>
    <row r="90" spans="1:29" x14ac:dyDescent="0.25">
      <c r="A90" s="2" t="s">
        <v>29</v>
      </c>
      <c r="B90" s="2" t="b">
        <v>0</v>
      </c>
      <c r="C90" s="2" t="s">
        <v>3887</v>
      </c>
      <c r="D90" s="2" t="s">
        <v>3888</v>
      </c>
      <c r="E90" s="2" t="s">
        <v>3889</v>
      </c>
      <c r="F90" s="1">
        <v>44264</v>
      </c>
      <c r="G90" s="1">
        <v>0.91388888888888875</v>
      </c>
      <c r="H90" s="1">
        <v>44265</v>
      </c>
      <c r="I90" s="2" t="s">
        <v>4028</v>
      </c>
      <c r="J90" s="2" t="s">
        <v>4026</v>
      </c>
      <c r="K90" s="2" t="s">
        <v>24</v>
      </c>
      <c r="L90" s="2" t="s">
        <v>585</v>
      </c>
      <c r="M90" s="2" t="s">
        <v>4029</v>
      </c>
      <c r="N90" s="2" t="s">
        <v>1</v>
      </c>
      <c r="O90" s="2" t="s">
        <v>4026</v>
      </c>
      <c r="P90" s="2">
        <v>1</v>
      </c>
      <c r="Q90" s="2" t="s">
        <v>1</v>
      </c>
      <c r="R90" s="2" t="s">
        <v>1</v>
      </c>
      <c r="S90" s="2" t="s">
        <v>1</v>
      </c>
      <c r="T90" s="2" t="s">
        <v>2754</v>
      </c>
      <c r="U90" s="2" t="s">
        <v>75</v>
      </c>
      <c r="V90" s="2" t="s">
        <v>43</v>
      </c>
      <c r="W90" s="2" t="s">
        <v>1</v>
      </c>
      <c r="X90" s="2" t="s">
        <v>1</v>
      </c>
      <c r="Y90" s="2" t="s">
        <v>1</v>
      </c>
      <c r="Z90" s="2" t="s">
        <v>1</v>
      </c>
      <c r="AA90" s="2" t="s">
        <v>1</v>
      </c>
      <c r="AB90" s="2" t="s">
        <v>1</v>
      </c>
      <c r="AC90" s="2" t="s">
        <v>1</v>
      </c>
    </row>
    <row r="91" spans="1:29" x14ac:dyDescent="0.25">
      <c r="A91" s="2" t="s">
        <v>29</v>
      </c>
      <c r="B91" s="2" t="b">
        <v>0</v>
      </c>
      <c r="C91" s="2" t="s">
        <v>3887</v>
      </c>
      <c r="D91" s="2" t="s">
        <v>3888</v>
      </c>
      <c r="E91" s="2" t="s">
        <v>3889</v>
      </c>
      <c r="F91" s="1">
        <v>44264</v>
      </c>
      <c r="G91" s="1">
        <v>0.78611111111111109</v>
      </c>
      <c r="H91" s="1">
        <v>44265</v>
      </c>
      <c r="I91" s="2" t="s">
        <v>4030</v>
      </c>
      <c r="J91" s="2" t="s">
        <v>4026</v>
      </c>
      <c r="K91" s="2" t="s">
        <v>24</v>
      </c>
      <c r="L91" s="2" t="s">
        <v>585</v>
      </c>
      <c r="M91" s="2" t="s">
        <v>4031</v>
      </c>
      <c r="N91" s="2" t="s">
        <v>1</v>
      </c>
      <c r="O91" s="2" t="s">
        <v>4026</v>
      </c>
      <c r="P91" s="2">
        <v>1</v>
      </c>
      <c r="Q91" s="2" t="s">
        <v>1</v>
      </c>
      <c r="R91" s="2" t="s">
        <v>1</v>
      </c>
      <c r="S91" s="2" t="s">
        <v>1</v>
      </c>
      <c r="T91" s="2" t="s">
        <v>2745</v>
      </c>
      <c r="U91" s="2" t="s">
        <v>75</v>
      </c>
      <c r="V91" s="2" t="s">
        <v>43</v>
      </c>
      <c r="W91" s="2" t="s">
        <v>1</v>
      </c>
      <c r="X91" s="2" t="s">
        <v>1</v>
      </c>
      <c r="Y91" s="2" t="s">
        <v>1</v>
      </c>
      <c r="Z91" s="2" t="s">
        <v>1</v>
      </c>
      <c r="AA91" s="2" t="s">
        <v>1</v>
      </c>
      <c r="AB91" s="2" t="s">
        <v>1</v>
      </c>
      <c r="AC91" s="2" t="s">
        <v>1</v>
      </c>
    </row>
    <row r="92" spans="1:29" x14ac:dyDescent="0.25">
      <c r="A92" s="2" t="s">
        <v>29</v>
      </c>
      <c r="B92" s="2" t="b">
        <v>0</v>
      </c>
      <c r="C92" s="2" t="s">
        <v>3887</v>
      </c>
      <c r="D92" s="2" t="s">
        <v>3888</v>
      </c>
      <c r="E92" s="2" t="s">
        <v>3889</v>
      </c>
      <c r="F92" s="1">
        <v>44264</v>
      </c>
      <c r="G92" s="1">
        <v>0.31874999999999998</v>
      </c>
      <c r="H92" s="1">
        <v>44264</v>
      </c>
      <c r="I92" s="2" t="s">
        <v>4032</v>
      </c>
      <c r="J92" s="2" t="s">
        <v>609</v>
      </c>
      <c r="K92" s="2" t="s">
        <v>38</v>
      </c>
      <c r="L92" s="2" t="s">
        <v>585</v>
      </c>
      <c r="M92" s="2" t="s">
        <v>4033</v>
      </c>
      <c r="N92" s="2" t="s">
        <v>1</v>
      </c>
      <c r="O92" s="2" t="s">
        <v>609</v>
      </c>
      <c r="P92" s="2">
        <v>1</v>
      </c>
      <c r="Q92" s="2" t="s">
        <v>1</v>
      </c>
      <c r="R92" s="2" t="s">
        <v>1</v>
      </c>
      <c r="S92" s="2" t="s">
        <v>1</v>
      </c>
      <c r="T92" s="2" t="s">
        <v>2818</v>
      </c>
      <c r="U92" s="2" t="s">
        <v>3964</v>
      </c>
      <c r="V92" s="2" t="s">
        <v>3965</v>
      </c>
      <c r="W92" s="2" t="s">
        <v>1</v>
      </c>
      <c r="X92" s="2" t="s">
        <v>1</v>
      </c>
      <c r="Y92" s="2" t="s">
        <v>1</v>
      </c>
      <c r="Z92" s="2" t="s">
        <v>1</v>
      </c>
      <c r="AA92" s="2" t="s">
        <v>1</v>
      </c>
      <c r="AB92" s="2" t="s">
        <v>1</v>
      </c>
      <c r="AC92" s="2" t="s">
        <v>1</v>
      </c>
    </row>
    <row r="93" spans="1:29" x14ac:dyDescent="0.25">
      <c r="A93" s="2" t="s">
        <v>29</v>
      </c>
      <c r="B93" s="2" t="b">
        <v>0</v>
      </c>
      <c r="C93" s="2" t="s">
        <v>3887</v>
      </c>
      <c r="D93" s="2" t="s">
        <v>3888</v>
      </c>
      <c r="E93" s="2" t="s">
        <v>3889</v>
      </c>
      <c r="F93" s="1">
        <v>44264</v>
      </c>
      <c r="G93" s="1">
        <v>0.22638888888888889</v>
      </c>
      <c r="H93" s="1">
        <v>44264</v>
      </c>
      <c r="I93" s="2" t="s">
        <v>2675</v>
      </c>
      <c r="J93" s="2" t="s">
        <v>3243</v>
      </c>
      <c r="K93" s="2" t="s">
        <v>24</v>
      </c>
      <c r="L93" s="2" t="s">
        <v>585</v>
      </c>
      <c r="M93" s="2" t="s">
        <v>4034</v>
      </c>
      <c r="N93" s="2" t="s">
        <v>1</v>
      </c>
      <c r="O93" s="2" t="s">
        <v>3243</v>
      </c>
      <c r="P93" s="2">
        <v>1</v>
      </c>
      <c r="Q93" s="2" t="s">
        <v>1</v>
      </c>
      <c r="R93" s="2" t="s">
        <v>1</v>
      </c>
      <c r="S93" s="2" t="s">
        <v>1</v>
      </c>
      <c r="T93" s="2" t="s">
        <v>2764</v>
      </c>
      <c r="U93" s="2" t="s">
        <v>3964</v>
      </c>
      <c r="V93" s="2" t="s">
        <v>3965</v>
      </c>
      <c r="W93" s="2" t="s">
        <v>1</v>
      </c>
      <c r="X93" s="2" t="s">
        <v>1</v>
      </c>
      <c r="Y93" s="2" t="s">
        <v>1</v>
      </c>
      <c r="Z93" s="2" t="s">
        <v>1</v>
      </c>
      <c r="AA93" s="2" t="s">
        <v>1</v>
      </c>
      <c r="AB93" s="2" t="s">
        <v>1</v>
      </c>
      <c r="AC93" s="2" t="s">
        <v>1</v>
      </c>
    </row>
    <row r="94" spans="1:29" x14ac:dyDescent="0.25">
      <c r="A94" s="2" t="s">
        <v>29</v>
      </c>
      <c r="B94" s="2" t="b">
        <v>0</v>
      </c>
      <c r="C94" s="2" t="s">
        <v>3887</v>
      </c>
      <c r="D94" s="2" t="s">
        <v>3888</v>
      </c>
      <c r="E94" s="2" t="s">
        <v>3889</v>
      </c>
      <c r="F94" s="1">
        <v>44264</v>
      </c>
      <c r="G94" s="1">
        <v>8.6805555555555552E-2</v>
      </c>
      <c r="H94" s="1">
        <v>44264</v>
      </c>
      <c r="I94" s="2" t="s">
        <v>4035</v>
      </c>
      <c r="J94" s="2" t="s">
        <v>586</v>
      </c>
      <c r="K94" s="2" t="s">
        <v>38</v>
      </c>
      <c r="L94" s="2" t="s">
        <v>585</v>
      </c>
      <c r="M94" s="2" t="s">
        <v>4036</v>
      </c>
      <c r="N94" s="2" t="s">
        <v>1</v>
      </c>
      <c r="O94" s="2" t="s">
        <v>586</v>
      </c>
      <c r="P94" s="2">
        <v>1</v>
      </c>
      <c r="Q94" s="2" t="s">
        <v>1</v>
      </c>
      <c r="R94" s="2" t="s">
        <v>1</v>
      </c>
      <c r="S94" s="2" t="s">
        <v>1</v>
      </c>
      <c r="T94" s="2" t="s">
        <v>2707</v>
      </c>
      <c r="U94" s="2" t="s">
        <v>3958</v>
      </c>
      <c r="V94" s="2" t="s">
        <v>3933</v>
      </c>
      <c r="W94" s="2" t="s">
        <v>1</v>
      </c>
      <c r="X94" s="2" t="s">
        <v>1</v>
      </c>
      <c r="Y94" s="2" t="s">
        <v>1</v>
      </c>
      <c r="Z94" s="2" t="s">
        <v>1</v>
      </c>
      <c r="AA94" s="2" t="s">
        <v>1</v>
      </c>
      <c r="AB94" s="2" t="s">
        <v>1</v>
      </c>
      <c r="AC94" s="2" t="s">
        <v>1</v>
      </c>
    </row>
    <row r="95" spans="1:29" x14ac:dyDescent="0.25">
      <c r="A95" s="2" t="s">
        <v>29</v>
      </c>
      <c r="B95" s="2" t="b">
        <v>0</v>
      </c>
      <c r="C95" s="2" t="s">
        <v>3887</v>
      </c>
      <c r="D95" s="2" t="s">
        <v>3888</v>
      </c>
      <c r="E95" s="2" t="s">
        <v>3889</v>
      </c>
      <c r="F95" s="1">
        <v>44264</v>
      </c>
      <c r="G95" s="1">
        <v>7.7083333333333351E-2</v>
      </c>
      <c r="H95" s="1">
        <v>44264</v>
      </c>
      <c r="I95" s="2" t="s">
        <v>4032</v>
      </c>
      <c r="J95" s="2" t="s">
        <v>3243</v>
      </c>
      <c r="K95" s="2" t="s">
        <v>24</v>
      </c>
      <c r="L95" s="2" t="s">
        <v>585</v>
      </c>
      <c r="M95" s="2" t="s">
        <v>4037</v>
      </c>
      <c r="N95" s="2" t="s">
        <v>1</v>
      </c>
      <c r="O95" s="2" t="s">
        <v>3243</v>
      </c>
      <c r="P95" s="2">
        <v>1</v>
      </c>
      <c r="Q95" s="2" t="s">
        <v>1</v>
      </c>
      <c r="R95" s="2" t="s">
        <v>1</v>
      </c>
      <c r="S95" s="2" t="s">
        <v>1</v>
      </c>
      <c r="T95" s="2" t="s">
        <v>2818</v>
      </c>
      <c r="U95" s="2" t="s">
        <v>3964</v>
      </c>
      <c r="V95" s="2" t="s">
        <v>3965</v>
      </c>
      <c r="W95" s="2" t="s">
        <v>1</v>
      </c>
      <c r="X95" s="2" t="s">
        <v>1</v>
      </c>
      <c r="Y95" s="2" t="s">
        <v>1</v>
      </c>
      <c r="Z95" s="2" t="s">
        <v>1</v>
      </c>
      <c r="AA95" s="2" t="s">
        <v>1</v>
      </c>
      <c r="AB95" s="2" t="s">
        <v>1</v>
      </c>
      <c r="AC95" s="2" t="s">
        <v>1</v>
      </c>
    </row>
    <row r="96" spans="1:29" x14ac:dyDescent="0.25">
      <c r="A96" s="2" t="s">
        <v>29</v>
      </c>
      <c r="B96" s="2" t="b">
        <v>0</v>
      </c>
      <c r="C96" s="2" t="s">
        <v>3887</v>
      </c>
      <c r="D96" s="2" t="s">
        <v>3888</v>
      </c>
      <c r="E96" s="2" t="s">
        <v>3889</v>
      </c>
      <c r="F96" s="1">
        <v>44264</v>
      </c>
      <c r="G96" s="1">
        <v>4.0972222222222222E-2</v>
      </c>
      <c r="H96" s="1">
        <v>44264</v>
      </c>
      <c r="I96" s="2" t="s">
        <v>4035</v>
      </c>
      <c r="J96" s="2" t="s">
        <v>3232</v>
      </c>
      <c r="K96" s="2" t="s">
        <v>24</v>
      </c>
      <c r="L96" s="2" t="s">
        <v>585</v>
      </c>
      <c r="M96" s="2" t="s">
        <v>4038</v>
      </c>
      <c r="N96" s="2" t="s">
        <v>1</v>
      </c>
      <c r="O96" s="2" t="s">
        <v>3232</v>
      </c>
      <c r="P96" s="2">
        <v>1</v>
      </c>
      <c r="Q96" s="2" t="s">
        <v>1</v>
      </c>
      <c r="R96" s="2" t="s">
        <v>1</v>
      </c>
      <c r="S96" s="2" t="s">
        <v>1</v>
      </c>
      <c r="T96" s="2" t="s">
        <v>2707</v>
      </c>
      <c r="U96" s="2" t="s">
        <v>3958</v>
      </c>
      <c r="V96" s="2" t="s">
        <v>3933</v>
      </c>
      <c r="W96" s="2" t="s">
        <v>1</v>
      </c>
      <c r="X96" s="2" t="s">
        <v>1</v>
      </c>
      <c r="Y96" s="2" t="s">
        <v>1</v>
      </c>
      <c r="Z96" s="2" t="s">
        <v>1</v>
      </c>
      <c r="AA96" s="2" t="s">
        <v>1</v>
      </c>
      <c r="AB96" s="2" t="s">
        <v>1</v>
      </c>
      <c r="AC96" s="2" t="s">
        <v>1</v>
      </c>
    </row>
    <row r="97" spans="1:29" x14ac:dyDescent="0.25">
      <c r="A97" s="2" t="s">
        <v>29</v>
      </c>
      <c r="B97" s="2" t="b">
        <v>0</v>
      </c>
      <c r="C97" s="2" t="s">
        <v>3887</v>
      </c>
      <c r="D97" s="2" t="s">
        <v>3888</v>
      </c>
      <c r="E97" s="2" t="s">
        <v>3889</v>
      </c>
      <c r="F97" s="1">
        <v>44261</v>
      </c>
      <c r="G97" s="1">
        <v>0.4284722222222222</v>
      </c>
      <c r="H97" s="1">
        <v>44261</v>
      </c>
      <c r="I97" s="2" t="s">
        <v>4039</v>
      </c>
      <c r="J97" s="2" t="s">
        <v>604</v>
      </c>
      <c r="K97" s="2" t="s">
        <v>38</v>
      </c>
      <c r="L97" s="2" t="s">
        <v>585</v>
      </c>
      <c r="M97" s="2" t="s">
        <v>4040</v>
      </c>
      <c r="N97" s="2" t="s">
        <v>1</v>
      </c>
      <c r="O97" s="2" t="s">
        <v>604</v>
      </c>
      <c r="P97" s="2">
        <v>1</v>
      </c>
      <c r="Q97" s="2" t="s">
        <v>1</v>
      </c>
      <c r="R97" s="2" t="s">
        <v>1</v>
      </c>
      <c r="S97" s="2" t="s">
        <v>1</v>
      </c>
      <c r="T97" s="2" t="s">
        <v>2738</v>
      </c>
      <c r="U97" s="2" t="s">
        <v>42</v>
      </c>
      <c r="V97" s="2" t="s">
        <v>43</v>
      </c>
      <c r="W97" s="2" t="s">
        <v>1</v>
      </c>
      <c r="X97" s="2" t="s">
        <v>1</v>
      </c>
      <c r="Y97" s="2" t="s">
        <v>1</v>
      </c>
      <c r="Z97" s="2" t="s">
        <v>1</v>
      </c>
      <c r="AA97" s="2" t="s">
        <v>1</v>
      </c>
      <c r="AB97" s="2" t="s">
        <v>1</v>
      </c>
      <c r="AC97" s="2" t="s">
        <v>1</v>
      </c>
    </row>
    <row r="98" spans="1:29" x14ac:dyDescent="0.25">
      <c r="A98" s="2" t="s">
        <v>29</v>
      </c>
      <c r="B98" s="2" t="b">
        <v>0</v>
      </c>
      <c r="C98" s="2" t="s">
        <v>3887</v>
      </c>
      <c r="D98" s="2" t="s">
        <v>3888</v>
      </c>
      <c r="E98" s="2" t="s">
        <v>3889</v>
      </c>
      <c r="F98" s="1">
        <v>44261</v>
      </c>
      <c r="G98" s="1">
        <v>0.34444444444444444</v>
      </c>
      <c r="H98" s="1">
        <v>44261</v>
      </c>
      <c r="I98" s="2" t="s">
        <v>4041</v>
      </c>
      <c r="J98" s="2" t="s">
        <v>598</v>
      </c>
      <c r="K98" s="2" t="s">
        <v>24</v>
      </c>
      <c r="L98" s="2" t="s">
        <v>585</v>
      </c>
      <c r="M98" s="2" t="s">
        <v>4042</v>
      </c>
      <c r="N98" s="2" t="s">
        <v>1</v>
      </c>
      <c r="O98" s="2" t="s">
        <v>598</v>
      </c>
      <c r="P98" s="2">
        <v>1</v>
      </c>
      <c r="Q98" s="2" t="s">
        <v>1</v>
      </c>
      <c r="R98" s="2" t="s">
        <v>1</v>
      </c>
      <c r="S98" s="2" t="s">
        <v>1</v>
      </c>
      <c r="T98" s="2" t="s">
        <v>2738</v>
      </c>
      <c r="U98" s="2" t="s">
        <v>42</v>
      </c>
      <c r="V98" s="2" t="s">
        <v>43</v>
      </c>
      <c r="W98" s="2" t="s">
        <v>1</v>
      </c>
      <c r="X98" s="2" t="s">
        <v>1</v>
      </c>
      <c r="Y98" s="2" t="s">
        <v>1</v>
      </c>
      <c r="Z98" s="2" t="s">
        <v>1</v>
      </c>
      <c r="AA98" s="2" t="s">
        <v>1</v>
      </c>
      <c r="AB98" s="2" t="s">
        <v>1</v>
      </c>
      <c r="AC98" s="2" t="s">
        <v>1</v>
      </c>
    </row>
    <row r="99" spans="1:29" x14ac:dyDescent="0.25">
      <c r="A99" s="2" t="s">
        <v>29</v>
      </c>
      <c r="B99" s="2" t="b">
        <v>0</v>
      </c>
      <c r="C99" s="2" t="s">
        <v>3887</v>
      </c>
      <c r="D99" s="2" t="s">
        <v>3888</v>
      </c>
      <c r="E99" s="2" t="s">
        <v>3889</v>
      </c>
      <c r="F99" s="1">
        <v>44261</v>
      </c>
      <c r="G99" s="1">
        <v>7.2916666666666671E-2</v>
      </c>
      <c r="H99" s="1">
        <v>44261</v>
      </c>
      <c r="I99" s="2" t="s">
        <v>2589</v>
      </c>
      <c r="J99" s="2" t="s">
        <v>4026</v>
      </c>
      <c r="K99" s="2" t="s">
        <v>24</v>
      </c>
      <c r="L99" s="2" t="s">
        <v>585</v>
      </c>
      <c r="M99" s="2" t="s">
        <v>4043</v>
      </c>
      <c r="N99" s="2" t="s">
        <v>1</v>
      </c>
      <c r="O99" s="2" t="s">
        <v>4026</v>
      </c>
      <c r="P99" s="2">
        <v>1</v>
      </c>
      <c r="Q99" s="2" t="s">
        <v>1</v>
      </c>
      <c r="R99" s="2" t="s">
        <v>1</v>
      </c>
      <c r="S99" s="2" t="s">
        <v>1</v>
      </c>
      <c r="T99" s="2" t="s">
        <v>2743</v>
      </c>
      <c r="U99" s="2" t="s">
        <v>75</v>
      </c>
      <c r="V99" s="2" t="s">
        <v>43</v>
      </c>
      <c r="W99" s="2" t="s">
        <v>1</v>
      </c>
      <c r="X99" s="2" t="s">
        <v>1</v>
      </c>
      <c r="Y99" s="2" t="s">
        <v>1</v>
      </c>
      <c r="Z99" s="2" t="s">
        <v>1</v>
      </c>
      <c r="AA99" s="2" t="s">
        <v>1</v>
      </c>
      <c r="AB99" s="2" t="s">
        <v>1</v>
      </c>
      <c r="AC99" s="2" t="s">
        <v>1</v>
      </c>
    </row>
    <row r="100" spans="1:29" x14ac:dyDescent="0.25">
      <c r="A100" s="2" t="s">
        <v>29</v>
      </c>
      <c r="B100" s="2" t="b">
        <v>0</v>
      </c>
      <c r="C100" s="2" t="s">
        <v>3887</v>
      </c>
      <c r="D100" s="2" t="s">
        <v>3888</v>
      </c>
      <c r="E100" s="2" t="s">
        <v>3889</v>
      </c>
      <c r="F100" s="1">
        <v>44261</v>
      </c>
      <c r="G100" s="1">
        <v>6.6666666666666666E-2</v>
      </c>
      <c r="H100" s="1">
        <v>44261</v>
      </c>
      <c r="I100" s="2" t="s">
        <v>4044</v>
      </c>
      <c r="J100" s="2" t="s">
        <v>586</v>
      </c>
      <c r="K100" s="2" t="s">
        <v>38</v>
      </c>
      <c r="L100" s="2" t="s">
        <v>585</v>
      </c>
      <c r="M100" s="2" t="s">
        <v>4045</v>
      </c>
      <c r="N100" s="2" t="s">
        <v>1</v>
      </c>
      <c r="O100" s="2" t="s">
        <v>586</v>
      </c>
      <c r="P100" s="2">
        <v>1</v>
      </c>
      <c r="Q100" s="2" t="s">
        <v>1</v>
      </c>
      <c r="R100" s="2" t="s">
        <v>1</v>
      </c>
      <c r="S100" s="2" t="s">
        <v>1</v>
      </c>
      <c r="T100" s="2" t="s">
        <v>2749</v>
      </c>
      <c r="U100" s="2" t="s">
        <v>75</v>
      </c>
      <c r="V100" s="2" t="s">
        <v>43</v>
      </c>
      <c r="W100" s="2" t="s">
        <v>1</v>
      </c>
      <c r="X100" s="2" t="s">
        <v>1</v>
      </c>
      <c r="Y100" s="2" t="s">
        <v>1</v>
      </c>
      <c r="Z100" s="2" t="s">
        <v>1</v>
      </c>
      <c r="AA100" s="2" t="s">
        <v>1</v>
      </c>
      <c r="AB100" s="2" t="s">
        <v>1</v>
      </c>
      <c r="AC100" s="2" t="s">
        <v>1</v>
      </c>
    </row>
    <row r="101" spans="1:29" x14ac:dyDescent="0.25">
      <c r="A101" s="2" t="s">
        <v>29</v>
      </c>
      <c r="B101" s="2" t="b">
        <v>0</v>
      </c>
      <c r="C101" s="2" t="s">
        <v>3887</v>
      </c>
      <c r="D101" s="2" t="s">
        <v>3888</v>
      </c>
      <c r="E101" s="2" t="s">
        <v>3889</v>
      </c>
      <c r="F101" s="1">
        <v>44261</v>
      </c>
      <c r="G101" s="1">
        <v>4.6527777777777779E-2</v>
      </c>
      <c r="H101" s="1">
        <v>44261</v>
      </c>
      <c r="I101" s="2" t="s">
        <v>4046</v>
      </c>
      <c r="J101" s="2" t="s">
        <v>3950</v>
      </c>
      <c r="K101" s="2" t="s">
        <v>24</v>
      </c>
      <c r="L101" s="2" t="s">
        <v>585</v>
      </c>
      <c r="M101" s="2" t="s">
        <v>4047</v>
      </c>
      <c r="N101" s="2" t="s">
        <v>1</v>
      </c>
      <c r="O101" s="2" t="s">
        <v>3950</v>
      </c>
      <c r="P101" s="2">
        <v>1</v>
      </c>
      <c r="Q101" s="2" t="s">
        <v>1</v>
      </c>
      <c r="R101" s="2" t="s">
        <v>1</v>
      </c>
      <c r="S101" s="2" t="s">
        <v>1</v>
      </c>
      <c r="T101" s="2" t="s">
        <v>2749</v>
      </c>
      <c r="U101" s="2" t="s">
        <v>75</v>
      </c>
      <c r="V101" s="2" t="s">
        <v>43</v>
      </c>
      <c r="W101" s="2" t="s">
        <v>1</v>
      </c>
      <c r="X101" s="2" t="s">
        <v>1</v>
      </c>
      <c r="Y101" s="2" t="s">
        <v>1</v>
      </c>
      <c r="Z101" s="2" t="s">
        <v>1</v>
      </c>
      <c r="AA101" s="2" t="s">
        <v>1</v>
      </c>
      <c r="AB101" s="2" t="s">
        <v>1</v>
      </c>
      <c r="AC101" s="2" t="s">
        <v>1</v>
      </c>
    </row>
    <row r="102" spans="1:29" x14ac:dyDescent="0.25">
      <c r="A102" s="2"/>
      <c r="B102" s="2"/>
      <c r="C102" s="2"/>
      <c r="D102" s="2"/>
      <c r="E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x14ac:dyDescent="0.25">
      <c r="A103" s="2"/>
      <c r="B103" s="2"/>
      <c r="C103" s="2"/>
      <c r="D103" s="2"/>
      <c r="E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x14ac:dyDescent="0.25">
      <c r="A104" s="2"/>
      <c r="B104" s="2"/>
      <c r="C104" s="2"/>
      <c r="D104" s="2"/>
      <c r="E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x14ac:dyDescent="0.25">
      <c r="A105" s="2"/>
      <c r="B105" s="2"/>
      <c r="C105" s="2"/>
      <c r="D105" s="2"/>
      <c r="E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x14ac:dyDescent="0.25">
      <c r="A106" s="2"/>
      <c r="B106" s="2"/>
      <c r="C106" s="2"/>
      <c r="D106" s="2"/>
      <c r="E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x14ac:dyDescent="0.25">
      <c r="A107" s="2"/>
      <c r="B107" s="2"/>
      <c r="C107" s="2"/>
      <c r="D107" s="2"/>
      <c r="E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x14ac:dyDescent="0.25">
      <c r="A108" s="2"/>
      <c r="B108" s="2"/>
      <c r="C108" s="2"/>
      <c r="D108" s="2"/>
      <c r="E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x14ac:dyDescent="0.25">
      <c r="A109" s="2"/>
      <c r="B109" s="2"/>
      <c r="C109" s="2"/>
      <c r="D109" s="2"/>
      <c r="E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x14ac:dyDescent="0.25">
      <c r="A110" s="2"/>
      <c r="B110" s="2"/>
      <c r="C110" s="2"/>
      <c r="D110" s="2"/>
      <c r="E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x14ac:dyDescent="0.25">
      <c r="A111" s="2"/>
      <c r="B111" s="2"/>
      <c r="C111" s="2"/>
      <c r="D111" s="2"/>
      <c r="E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x14ac:dyDescent="0.25">
      <c r="A112" s="2"/>
      <c r="B112" s="2"/>
      <c r="C112" s="2"/>
      <c r="D112" s="2"/>
      <c r="E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x14ac:dyDescent="0.25">
      <c r="A113" s="2"/>
      <c r="B113" s="2"/>
      <c r="C113" s="2"/>
      <c r="D113" s="2"/>
      <c r="E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x14ac:dyDescent="0.25">
      <c r="A114" s="2"/>
      <c r="B114" s="2"/>
      <c r="C114" s="2"/>
      <c r="D114" s="2"/>
      <c r="E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x14ac:dyDescent="0.25">
      <c r="A115" s="2"/>
      <c r="B115" s="2"/>
      <c r="C115" s="2"/>
      <c r="D115" s="2"/>
      <c r="E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x14ac:dyDescent="0.25">
      <c r="A116" s="2"/>
      <c r="B116" s="2"/>
      <c r="C116" s="2"/>
      <c r="D116" s="2"/>
      <c r="E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x14ac:dyDescent="0.25">
      <c r="A117" s="2"/>
      <c r="B117" s="2"/>
      <c r="C117" s="2"/>
      <c r="D117" s="2"/>
      <c r="E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25">
      <c r="A118" s="2"/>
      <c r="B118" s="2"/>
      <c r="C118" s="2"/>
      <c r="D118" s="2"/>
      <c r="E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2"/>
      <c r="B119" s="2"/>
      <c r="C119" s="2"/>
      <c r="D119" s="2"/>
      <c r="E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"/>
      <c r="B120" s="2"/>
      <c r="C120" s="2"/>
      <c r="D120" s="2"/>
      <c r="E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"/>
      <c r="B121" s="2"/>
      <c r="C121" s="2"/>
      <c r="D121" s="2"/>
      <c r="E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"/>
      <c r="B122" s="2"/>
      <c r="C122" s="2"/>
      <c r="D122" s="2"/>
      <c r="E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2"/>
      <c r="B123" s="2"/>
      <c r="C123" s="2"/>
      <c r="D123" s="2"/>
      <c r="E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2"/>
      <c r="B124" s="2"/>
      <c r="C124" s="2"/>
      <c r="D124" s="2"/>
      <c r="E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2"/>
      <c r="B125" s="2"/>
      <c r="C125" s="2"/>
      <c r="D125" s="2"/>
      <c r="E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x14ac:dyDescent="0.25">
      <c r="A126" s="2"/>
      <c r="B126" s="2"/>
      <c r="C126" s="2"/>
      <c r="D126" s="2"/>
      <c r="E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x14ac:dyDescent="0.25">
      <c r="A127" s="2"/>
      <c r="B127" s="2"/>
      <c r="C127" s="2"/>
      <c r="D127" s="2"/>
      <c r="E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x14ac:dyDescent="0.25">
      <c r="A128" s="2"/>
      <c r="B128" s="2"/>
      <c r="C128" s="2"/>
      <c r="D128" s="2"/>
      <c r="E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x14ac:dyDescent="0.25">
      <c r="A129" s="2"/>
      <c r="B129" s="2"/>
      <c r="C129" s="2"/>
      <c r="D129" s="2"/>
      <c r="E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x14ac:dyDescent="0.25">
      <c r="A130" s="2"/>
      <c r="B130" s="2"/>
      <c r="C130" s="2"/>
      <c r="D130" s="2"/>
      <c r="E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x14ac:dyDescent="0.25">
      <c r="A131" s="2"/>
      <c r="B131" s="2"/>
      <c r="C131" s="2"/>
      <c r="D131" s="2"/>
      <c r="E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x14ac:dyDescent="0.25">
      <c r="A132" s="2"/>
      <c r="B132" s="2"/>
      <c r="C132" s="2"/>
      <c r="D132" s="2"/>
      <c r="E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x14ac:dyDescent="0.25">
      <c r="A133" s="2"/>
      <c r="B133" s="2"/>
      <c r="C133" s="2"/>
      <c r="D133" s="2"/>
      <c r="E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x14ac:dyDescent="0.25">
      <c r="A134" s="2"/>
      <c r="B134" s="2"/>
      <c r="C134" s="2"/>
      <c r="D134" s="2"/>
      <c r="E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x14ac:dyDescent="0.25">
      <c r="A135" s="2"/>
      <c r="B135" s="2"/>
      <c r="C135" s="2"/>
      <c r="D135" s="2"/>
      <c r="E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x14ac:dyDescent="0.25">
      <c r="A136" s="2"/>
      <c r="B136" s="2"/>
      <c r="C136" s="2"/>
      <c r="D136" s="2"/>
      <c r="E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x14ac:dyDescent="0.25">
      <c r="A137" s="2"/>
      <c r="B137" s="2"/>
      <c r="C137" s="2"/>
      <c r="D137" s="2"/>
      <c r="E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x14ac:dyDescent="0.25">
      <c r="A138" s="2"/>
      <c r="B138" s="2"/>
      <c r="C138" s="2"/>
      <c r="D138" s="2"/>
      <c r="E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x14ac:dyDescent="0.25">
      <c r="A139" s="2"/>
      <c r="B139" s="2"/>
      <c r="C139" s="2"/>
      <c r="D139" s="2"/>
      <c r="E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x14ac:dyDescent="0.25">
      <c r="A140" s="2"/>
      <c r="B140" s="2"/>
      <c r="C140" s="2"/>
      <c r="D140" s="2"/>
      <c r="E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x14ac:dyDescent="0.25">
      <c r="A141" s="2"/>
      <c r="B141" s="2"/>
      <c r="C141" s="2"/>
      <c r="D141" s="2"/>
      <c r="E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x14ac:dyDescent="0.25">
      <c r="A142" s="2"/>
      <c r="B142" s="2"/>
      <c r="C142" s="2"/>
      <c r="D142" s="2"/>
      <c r="E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x14ac:dyDescent="0.25">
      <c r="A143" s="2"/>
      <c r="B143" s="2"/>
      <c r="C143" s="2"/>
      <c r="D143" s="2"/>
      <c r="E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x14ac:dyDescent="0.25">
      <c r="A144" s="2"/>
      <c r="B144" s="2"/>
      <c r="C144" s="2"/>
      <c r="D144" s="2"/>
      <c r="E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x14ac:dyDescent="0.25">
      <c r="A145" s="2"/>
      <c r="B145" s="2"/>
      <c r="C145" s="2"/>
      <c r="D145" s="2"/>
      <c r="E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x14ac:dyDescent="0.25">
      <c r="A146" s="2"/>
      <c r="B146" s="2"/>
      <c r="C146" s="2"/>
      <c r="D146" s="2"/>
      <c r="E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x14ac:dyDescent="0.25">
      <c r="A147" s="2"/>
      <c r="B147" s="2"/>
      <c r="C147" s="2"/>
      <c r="D147" s="2"/>
      <c r="E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x14ac:dyDescent="0.25">
      <c r="A148" s="2"/>
      <c r="B148" s="2"/>
      <c r="C148" s="2"/>
      <c r="D148" s="2"/>
      <c r="E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x14ac:dyDescent="0.25">
      <c r="A149" s="2"/>
      <c r="B149" s="2"/>
      <c r="C149" s="2"/>
      <c r="D149" s="2"/>
      <c r="E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x14ac:dyDescent="0.25">
      <c r="A150" s="2"/>
      <c r="B150" s="2"/>
      <c r="C150" s="2"/>
      <c r="D150" s="2"/>
      <c r="E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x14ac:dyDescent="0.25">
      <c r="A151" s="2"/>
      <c r="B151" s="2"/>
      <c r="C151" s="2"/>
      <c r="D151" s="2"/>
      <c r="E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x14ac:dyDescent="0.25">
      <c r="A152" s="2"/>
      <c r="B152" s="2"/>
      <c r="C152" s="2"/>
      <c r="D152" s="2"/>
      <c r="E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x14ac:dyDescent="0.25">
      <c r="A153" s="2"/>
      <c r="B153" s="2"/>
      <c r="C153" s="2"/>
      <c r="D153" s="2"/>
      <c r="E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x14ac:dyDescent="0.25">
      <c r="A154" s="2"/>
      <c r="B154" s="2"/>
      <c r="C154" s="2"/>
      <c r="D154" s="2"/>
      <c r="E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x14ac:dyDescent="0.25">
      <c r="A155" s="2"/>
      <c r="B155" s="2"/>
      <c r="C155" s="2"/>
      <c r="D155" s="2"/>
      <c r="E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x14ac:dyDescent="0.25">
      <c r="A156" s="2"/>
      <c r="B156" s="2"/>
      <c r="C156" s="2"/>
      <c r="D156" s="2"/>
      <c r="E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x14ac:dyDescent="0.25">
      <c r="A157" s="2"/>
      <c r="B157" s="2"/>
      <c r="C157" s="2"/>
      <c r="D157" s="2"/>
      <c r="E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x14ac:dyDescent="0.25">
      <c r="A158" s="2"/>
      <c r="B158" s="2"/>
      <c r="C158" s="2"/>
      <c r="D158" s="2"/>
      <c r="E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x14ac:dyDescent="0.25">
      <c r="A159" s="2"/>
      <c r="B159" s="2"/>
      <c r="C159" s="2"/>
      <c r="D159" s="2"/>
      <c r="E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x14ac:dyDescent="0.25">
      <c r="A160" s="2"/>
      <c r="B160" s="2"/>
      <c r="C160" s="2"/>
      <c r="D160" s="2"/>
      <c r="E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x14ac:dyDescent="0.25">
      <c r="A161" s="2"/>
      <c r="B161" s="2"/>
      <c r="C161" s="2"/>
      <c r="D161" s="2"/>
      <c r="E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x14ac:dyDescent="0.25">
      <c r="A162" s="2"/>
      <c r="B162" s="2"/>
      <c r="C162" s="2"/>
      <c r="D162" s="2"/>
      <c r="E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x14ac:dyDescent="0.25">
      <c r="A163" s="2"/>
      <c r="B163" s="2"/>
      <c r="C163" s="2"/>
      <c r="D163" s="2"/>
      <c r="E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x14ac:dyDescent="0.25">
      <c r="A164" s="2"/>
      <c r="B164" s="2"/>
      <c r="C164" s="2"/>
      <c r="D164" s="2"/>
      <c r="E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x14ac:dyDescent="0.25">
      <c r="A165" s="2"/>
      <c r="B165" s="2"/>
      <c r="C165" s="2"/>
      <c r="D165" s="2"/>
      <c r="E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x14ac:dyDescent="0.25">
      <c r="A166" s="2"/>
      <c r="B166" s="2"/>
      <c r="C166" s="2"/>
      <c r="D166" s="2"/>
      <c r="E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x14ac:dyDescent="0.25">
      <c r="A167" s="2"/>
      <c r="B167" s="2"/>
      <c r="C167" s="2"/>
      <c r="D167" s="2"/>
      <c r="E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x14ac:dyDescent="0.25">
      <c r="A168" s="2"/>
      <c r="B168" s="2"/>
      <c r="C168" s="2"/>
      <c r="D168" s="2"/>
      <c r="E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x14ac:dyDescent="0.25">
      <c r="A169" s="2"/>
      <c r="B169" s="2"/>
      <c r="C169" s="2"/>
      <c r="D169" s="2"/>
      <c r="E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x14ac:dyDescent="0.25">
      <c r="A170" s="2"/>
      <c r="B170" s="2"/>
      <c r="C170" s="2"/>
      <c r="D170" s="2"/>
      <c r="E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x14ac:dyDescent="0.25">
      <c r="A171" s="2"/>
      <c r="B171" s="2"/>
      <c r="C171" s="2"/>
      <c r="D171" s="2"/>
      <c r="E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x14ac:dyDescent="0.25">
      <c r="A172" s="2"/>
      <c r="B172" s="2"/>
      <c r="C172" s="2"/>
      <c r="D172" s="2"/>
      <c r="E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x14ac:dyDescent="0.25">
      <c r="A173" s="2"/>
      <c r="B173" s="2"/>
      <c r="C173" s="2"/>
      <c r="D173" s="2"/>
      <c r="E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x14ac:dyDescent="0.25">
      <c r="A174" s="2"/>
      <c r="B174" s="2"/>
      <c r="C174" s="2"/>
      <c r="D174" s="2"/>
      <c r="E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x14ac:dyDescent="0.25">
      <c r="A175" s="2"/>
      <c r="B175" s="2"/>
      <c r="C175" s="2"/>
      <c r="D175" s="2"/>
      <c r="E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x14ac:dyDescent="0.25">
      <c r="A176" s="2"/>
      <c r="B176" s="2"/>
      <c r="C176" s="2"/>
      <c r="D176" s="2"/>
      <c r="E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x14ac:dyDescent="0.25">
      <c r="A177" s="2"/>
      <c r="B177" s="2"/>
      <c r="C177" s="2"/>
      <c r="D177" s="2"/>
      <c r="E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x14ac:dyDescent="0.25">
      <c r="A178" s="2"/>
      <c r="B178" s="2"/>
      <c r="C178" s="2"/>
      <c r="D178" s="2"/>
      <c r="E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x14ac:dyDescent="0.25">
      <c r="A179" s="2"/>
      <c r="B179" s="2"/>
      <c r="C179" s="2"/>
      <c r="D179" s="2"/>
      <c r="E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x14ac:dyDescent="0.25">
      <c r="A180" s="2"/>
      <c r="B180" s="2"/>
      <c r="C180" s="2"/>
      <c r="D180" s="2"/>
      <c r="E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x14ac:dyDescent="0.25">
      <c r="A181" s="2"/>
      <c r="B181" s="2"/>
      <c r="C181" s="2"/>
      <c r="D181" s="2"/>
      <c r="E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x14ac:dyDescent="0.25">
      <c r="A182" s="2"/>
      <c r="B182" s="2"/>
      <c r="C182" s="2"/>
      <c r="D182" s="2"/>
      <c r="E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x14ac:dyDescent="0.25">
      <c r="A183" s="2"/>
      <c r="B183" s="2"/>
      <c r="C183" s="2"/>
      <c r="D183" s="2"/>
      <c r="E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x14ac:dyDescent="0.25">
      <c r="A184" s="2"/>
      <c r="B184" s="2"/>
      <c r="C184" s="2"/>
      <c r="D184" s="2"/>
      <c r="E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x14ac:dyDescent="0.25">
      <c r="A185" s="2"/>
      <c r="B185" s="2"/>
      <c r="C185" s="2"/>
      <c r="D185" s="2"/>
      <c r="E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I92"/>
  <sheetViews>
    <sheetView workbookViewId="0">
      <selection sqref="A1:U92"/>
    </sheetView>
  </sheetViews>
  <sheetFormatPr defaultRowHeight="15" x14ac:dyDescent="0.25"/>
  <cols>
    <col min="1" max="1" width="14" customWidth="1"/>
    <col min="2" max="3" width="11.140625" bestFit="1" customWidth="1"/>
    <col min="4" max="4" width="11.5703125" customWidth="1"/>
    <col min="5" max="5" width="16.28515625" bestFit="1" customWidth="1"/>
    <col min="6" max="7" width="11.140625" style="1" bestFit="1" customWidth="1"/>
    <col min="8" max="8" width="11.140625" customWidth="1"/>
    <col min="9" max="9" width="20.85546875" bestFit="1" customWidth="1"/>
    <col min="10" max="10" width="20.85546875" customWidth="1"/>
    <col min="11" max="12" width="12.140625" bestFit="1" customWidth="1"/>
    <col min="13" max="13" width="182.7109375" customWidth="1"/>
    <col min="14" max="14" width="12.140625" customWidth="1"/>
    <col min="15" max="15" width="20.85546875" customWidth="1"/>
    <col min="16" max="16" width="16.28515625" bestFit="1" customWidth="1"/>
    <col min="17" max="17" width="27" bestFit="1" customWidth="1"/>
    <col min="18" max="18" width="21.42578125" bestFit="1" customWidth="1"/>
    <col min="19" max="19" width="37" bestFit="1" customWidth="1"/>
    <col min="20" max="20" width="16.28515625" bestFit="1" customWidth="1"/>
    <col min="21" max="21" width="19" customWidth="1"/>
    <col min="22" max="30" width="12" bestFit="1" customWidth="1"/>
    <col min="31" max="35" width="13" bestFit="1" customWidth="1"/>
  </cols>
  <sheetData>
    <row r="1" spans="1:35" x14ac:dyDescent="0.25">
      <c r="A1" s="2" t="s">
        <v>431</v>
      </c>
      <c r="B1" s="2" t="s">
        <v>432</v>
      </c>
      <c r="C1" s="2" t="s">
        <v>433</v>
      </c>
      <c r="D1" s="2" t="s">
        <v>434</v>
      </c>
      <c r="E1" s="2" t="s">
        <v>435</v>
      </c>
      <c r="F1" s="1" t="s">
        <v>436</v>
      </c>
      <c r="G1" s="1" t="s">
        <v>437</v>
      </c>
      <c r="H1" s="2" t="s">
        <v>438</v>
      </c>
      <c r="I1" s="2" t="s">
        <v>439</v>
      </c>
      <c r="J1" s="2" t="s">
        <v>440</v>
      </c>
      <c r="K1" s="2" t="s">
        <v>441</v>
      </c>
      <c r="L1" s="2" t="s">
        <v>442</v>
      </c>
      <c r="M1" s="2" t="s">
        <v>443</v>
      </c>
      <c r="N1" s="2" t="s">
        <v>444</v>
      </c>
      <c r="O1" s="2" t="s">
        <v>445</v>
      </c>
      <c r="P1" s="2" t="s">
        <v>460</v>
      </c>
      <c r="Q1" s="2" t="s">
        <v>461</v>
      </c>
      <c r="R1" s="2" t="s">
        <v>462</v>
      </c>
      <c r="S1" s="2" t="s">
        <v>2568</v>
      </c>
      <c r="T1" s="2" t="s">
        <v>463</v>
      </c>
      <c r="U1" s="2" t="s">
        <v>464</v>
      </c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x14ac:dyDescent="0.25">
      <c r="A2" s="2" t="s">
        <v>15</v>
      </c>
      <c r="B2" s="2" t="b">
        <v>0</v>
      </c>
      <c r="C2" s="2" t="s">
        <v>3887</v>
      </c>
      <c r="D2" s="2" t="s">
        <v>3888</v>
      </c>
      <c r="E2" s="2" t="s">
        <v>3889</v>
      </c>
      <c r="F2" s="1">
        <v>44284</v>
      </c>
      <c r="G2" s="1">
        <v>0.12777777777777777</v>
      </c>
      <c r="H2" s="2">
        <v>44284</v>
      </c>
      <c r="I2" s="2" t="s">
        <v>3904</v>
      </c>
      <c r="J2" s="2" t="s">
        <v>590</v>
      </c>
      <c r="K2" s="2" t="s">
        <v>24</v>
      </c>
      <c r="L2" s="2" t="s">
        <v>585</v>
      </c>
      <c r="M2" s="2" t="s">
        <v>3905</v>
      </c>
      <c r="N2" s="2" t="s">
        <v>1</v>
      </c>
      <c r="O2" s="2" t="s">
        <v>590</v>
      </c>
      <c r="P2" s="2" t="s">
        <v>131</v>
      </c>
      <c r="Q2" s="2" t="s">
        <v>3320</v>
      </c>
      <c r="R2" s="2" t="s">
        <v>3321</v>
      </c>
      <c r="S2" s="2" t="s">
        <v>132</v>
      </c>
      <c r="T2" s="2">
        <v>300277</v>
      </c>
      <c r="U2" s="2" t="s">
        <v>133</v>
      </c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x14ac:dyDescent="0.25">
      <c r="A3" s="2" t="s">
        <v>15</v>
      </c>
      <c r="B3" s="2" t="b">
        <v>0</v>
      </c>
      <c r="C3" s="2" t="s">
        <v>3887</v>
      </c>
      <c r="D3" s="2" t="s">
        <v>3888</v>
      </c>
      <c r="E3" s="2" t="s">
        <v>3889</v>
      </c>
      <c r="F3" s="1">
        <v>44272</v>
      </c>
      <c r="G3" s="1">
        <v>0.13125000000000001</v>
      </c>
      <c r="H3" s="2">
        <v>44272</v>
      </c>
      <c r="I3" s="2" t="s">
        <v>2665</v>
      </c>
      <c r="J3" s="2" t="s">
        <v>604</v>
      </c>
      <c r="K3" s="2" t="s">
        <v>24</v>
      </c>
      <c r="L3" s="2" t="s">
        <v>585</v>
      </c>
      <c r="M3" s="2" t="s">
        <v>3906</v>
      </c>
      <c r="N3" s="2" t="s">
        <v>1</v>
      </c>
      <c r="O3" s="2" t="s">
        <v>604</v>
      </c>
      <c r="P3" s="2" t="s">
        <v>738</v>
      </c>
      <c r="Q3" s="2" t="s">
        <v>3030</v>
      </c>
      <c r="R3" s="2" t="s">
        <v>3031</v>
      </c>
      <c r="S3" s="2" t="s">
        <v>2720</v>
      </c>
      <c r="T3" s="2">
        <v>108008</v>
      </c>
      <c r="U3" s="2" t="s">
        <v>296</v>
      </c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x14ac:dyDescent="0.25">
      <c r="A4" s="2" t="s">
        <v>29</v>
      </c>
      <c r="B4" s="2" t="b">
        <v>0</v>
      </c>
      <c r="C4" s="2" t="s">
        <v>3887</v>
      </c>
      <c r="D4" s="2" t="s">
        <v>3888</v>
      </c>
      <c r="E4" s="2" t="s">
        <v>3889</v>
      </c>
      <c r="F4" s="1">
        <v>44264</v>
      </c>
      <c r="G4" s="1">
        <v>0.31874999999999998</v>
      </c>
      <c r="H4" s="2">
        <v>44264</v>
      </c>
      <c r="I4" s="2" t="s">
        <v>4032</v>
      </c>
      <c r="J4" s="2" t="s">
        <v>609</v>
      </c>
      <c r="K4" s="2" t="s">
        <v>38</v>
      </c>
      <c r="L4" s="2" t="s">
        <v>585</v>
      </c>
      <c r="M4" s="2" t="s">
        <v>4033</v>
      </c>
      <c r="N4" s="2" t="s">
        <v>1</v>
      </c>
      <c r="O4" s="2" t="s">
        <v>609</v>
      </c>
      <c r="P4" s="2" t="s">
        <v>150</v>
      </c>
      <c r="Q4" s="2" t="s">
        <v>2817</v>
      </c>
      <c r="R4" s="2" t="s">
        <v>2818</v>
      </c>
      <c r="S4" s="2" t="s">
        <v>151</v>
      </c>
      <c r="T4" s="2">
        <v>1268655</v>
      </c>
      <c r="U4" s="2" t="s">
        <v>152</v>
      </c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x14ac:dyDescent="0.25">
      <c r="A5" s="2" t="s">
        <v>29</v>
      </c>
      <c r="B5" s="2" t="b">
        <v>0</v>
      </c>
      <c r="C5" s="2" t="s">
        <v>3887</v>
      </c>
      <c r="D5" s="2" t="s">
        <v>3888</v>
      </c>
      <c r="E5" s="2" t="s">
        <v>3889</v>
      </c>
      <c r="F5" s="1">
        <v>44264</v>
      </c>
      <c r="G5" s="1">
        <v>7.7083333333333351E-2</v>
      </c>
      <c r="H5" s="2">
        <v>44264</v>
      </c>
      <c r="I5" s="2" t="s">
        <v>4032</v>
      </c>
      <c r="J5" s="2" t="s">
        <v>3243</v>
      </c>
      <c r="K5" s="2" t="s">
        <v>24</v>
      </c>
      <c r="L5" s="2" t="s">
        <v>585</v>
      </c>
      <c r="M5" s="2" t="s">
        <v>4037</v>
      </c>
      <c r="N5" s="2" t="s">
        <v>1</v>
      </c>
      <c r="O5" s="2" t="s">
        <v>3243</v>
      </c>
      <c r="P5" s="2" t="s">
        <v>150</v>
      </c>
      <c r="Q5" s="2" t="s">
        <v>2817</v>
      </c>
      <c r="R5" s="2" t="s">
        <v>2818</v>
      </c>
      <c r="S5" s="2" t="s">
        <v>151</v>
      </c>
      <c r="T5" s="2">
        <v>1268655</v>
      </c>
      <c r="U5" s="2" t="s">
        <v>152</v>
      </c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x14ac:dyDescent="0.25">
      <c r="A6" s="2" t="s">
        <v>29</v>
      </c>
      <c r="B6" s="2" t="b">
        <v>0</v>
      </c>
      <c r="C6" s="2" t="s">
        <v>3887</v>
      </c>
      <c r="D6" s="2" t="s">
        <v>3888</v>
      </c>
      <c r="E6" s="2" t="s">
        <v>3889</v>
      </c>
      <c r="F6" s="1">
        <v>44277</v>
      </c>
      <c r="G6" s="1">
        <v>0.43888888888888888</v>
      </c>
      <c r="H6" s="2">
        <v>44277</v>
      </c>
      <c r="I6" s="2" t="s">
        <v>3937</v>
      </c>
      <c r="J6" s="2" t="s">
        <v>609</v>
      </c>
      <c r="K6" s="2" t="s">
        <v>24</v>
      </c>
      <c r="L6" s="2" t="s">
        <v>585</v>
      </c>
      <c r="M6" s="2" t="s">
        <v>3938</v>
      </c>
      <c r="N6" s="2" t="s">
        <v>1</v>
      </c>
      <c r="O6" s="2" t="s">
        <v>609</v>
      </c>
      <c r="P6" s="2" t="s">
        <v>209</v>
      </c>
      <c r="Q6" s="2" t="s">
        <v>292</v>
      </c>
      <c r="R6" s="2" t="s">
        <v>3315</v>
      </c>
      <c r="S6" s="2" t="s">
        <v>210</v>
      </c>
      <c r="T6" s="2">
        <v>272185</v>
      </c>
      <c r="U6" s="2" t="s">
        <v>211</v>
      </c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x14ac:dyDescent="0.25">
      <c r="A7" s="2" t="s">
        <v>29</v>
      </c>
      <c r="B7" s="2" t="b">
        <v>0</v>
      </c>
      <c r="C7" s="2" t="s">
        <v>3887</v>
      </c>
      <c r="D7" s="2" t="s">
        <v>3888</v>
      </c>
      <c r="E7" s="2" t="s">
        <v>3889</v>
      </c>
      <c r="F7" s="1">
        <v>44277</v>
      </c>
      <c r="G7" s="1">
        <v>0.4381944444444445</v>
      </c>
      <c r="H7" s="2">
        <v>44277</v>
      </c>
      <c r="I7" s="2" t="s">
        <v>3242</v>
      </c>
      <c r="J7" s="2" t="s">
        <v>609</v>
      </c>
      <c r="K7" s="2" t="s">
        <v>24</v>
      </c>
      <c r="L7" s="2" t="s">
        <v>585</v>
      </c>
      <c r="M7" s="2" t="s">
        <v>3941</v>
      </c>
      <c r="N7" s="2" t="s">
        <v>1</v>
      </c>
      <c r="O7" s="2" t="s">
        <v>609</v>
      </c>
      <c r="P7" s="2" t="s">
        <v>209</v>
      </c>
      <c r="Q7" s="2" t="s">
        <v>293</v>
      </c>
      <c r="R7" s="2" t="s">
        <v>3313</v>
      </c>
      <c r="S7" s="2" t="s">
        <v>210</v>
      </c>
      <c r="T7" s="2">
        <v>272177</v>
      </c>
      <c r="U7" s="2" t="s">
        <v>211</v>
      </c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x14ac:dyDescent="0.25">
      <c r="A8" s="2" t="s">
        <v>29</v>
      </c>
      <c r="B8" s="2" t="b">
        <v>0</v>
      </c>
      <c r="C8" s="2" t="s">
        <v>3887</v>
      </c>
      <c r="D8" s="2" t="s">
        <v>3888</v>
      </c>
      <c r="E8" s="2" t="s">
        <v>3889</v>
      </c>
      <c r="F8" s="1">
        <v>44277</v>
      </c>
      <c r="G8" s="1">
        <v>0.4375</v>
      </c>
      <c r="H8" s="2">
        <v>44277</v>
      </c>
      <c r="I8" s="2" t="s">
        <v>3231</v>
      </c>
      <c r="J8" s="2" t="s">
        <v>609</v>
      </c>
      <c r="K8" s="2" t="s">
        <v>24</v>
      </c>
      <c r="L8" s="2" t="s">
        <v>585</v>
      </c>
      <c r="M8" s="2" t="s">
        <v>3942</v>
      </c>
      <c r="N8" s="2" t="s">
        <v>1</v>
      </c>
      <c r="O8" s="2" t="s">
        <v>609</v>
      </c>
      <c r="P8" s="2" t="s">
        <v>209</v>
      </c>
      <c r="Q8" s="2" t="s">
        <v>279</v>
      </c>
      <c r="R8" s="2" t="s">
        <v>3137</v>
      </c>
      <c r="S8" s="2" t="s">
        <v>210</v>
      </c>
      <c r="T8" s="2">
        <v>270598</v>
      </c>
      <c r="U8" s="2" t="s">
        <v>211</v>
      </c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A9" s="2" t="s">
        <v>29</v>
      </c>
      <c r="B9" s="2" t="b">
        <v>0</v>
      </c>
      <c r="C9" s="2" t="s">
        <v>3887</v>
      </c>
      <c r="D9" s="2" t="s">
        <v>3888</v>
      </c>
      <c r="E9" s="2" t="s">
        <v>3889</v>
      </c>
      <c r="F9" s="1">
        <v>44277</v>
      </c>
      <c r="G9" s="1">
        <v>0.4368055555555555</v>
      </c>
      <c r="H9" s="2">
        <v>44277</v>
      </c>
      <c r="I9" s="2" t="s">
        <v>3913</v>
      </c>
      <c r="J9" s="2" t="s">
        <v>609</v>
      </c>
      <c r="K9" s="2" t="s">
        <v>24</v>
      </c>
      <c r="L9" s="2" t="s">
        <v>585</v>
      </c>
      <c r="M9" s="2" t="s">
        <v>3943</v>
      </c>
      <c r="N9" s="2" t="s">
        <v>1</v>
      </c>
      <c r="O9" s="2" t="s">
        <v>609</v>
      </c>
      <c r="P9" s="2" t="s">
        <v>209</v>
      </c>
      <c r="Q9" s="2" t="s">
        <v>213</v>
      </c>
      <c r="R9" s="2" t="s">
        <v>3123</v>
      </c>
      <c r="S9" s="2" t="s">
        <v>210</v>
      </c>
      <c r="T9" s="2">
        <v>270619</v>
      </c>
      <c r="U9" s="2" t="s">
        <v>211</v>
      </c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x14ac:dyDescent="0.25">
      <c r="A10" s="2" t="s">
        <v>29</v>
      </c>
      <c r="B10" s="2" t="b">
        <v>0</v>
      </c>
      <c r="C10" s="2" t="s">
        <v>3887</v>
      </c>
      <c r="D10" s="2" t="s">
        <v>3888</v>
      </c>
      <c r="E10" s="2" t="s">
        <v>3889</v>
      </c>
      <c r="F10" s="1">
        <v>44277</v>
      </c>
      <c r="G10" s="1">
        <v>0.43541666666666662</v>
      </c>
      <c r="H10" s="2">
        <v>44277</v>
      </c>
      <c r="I10" s="2" t="s">
        <v>3944</v>
      </c>
      <c r="J10" s="2" t="s">
        <v>609</v>
      </c>
      <c r="K10" s="2" t="s">
        <v>24</v>
      </c>
      <c r="L10" s="2" t="s">
        <v>585</v>
      </c>
      <c r="M10" s="2" t="s">
        <v>3945</v>
      </c>
      <c r="N10" s="2" t="s">
        <v>1</v>
      </c>
      <c r="O10" s="2" t="s">
        <v>609</v>
      </c>
      <c r="P10" s="2" t="s">
        <v>209</v>
      </c>
      <c r="Q10" s="2" t="s">
        <v>278</v>
      </c>
      <c r="R10" s="2" t="s">
        <v>3103</v>
      </c>
      <c r="S10" s="2" t="s">
        <v>210</v>
      </c>
      <c r="T10" s="2">
        <v>270601</v>
      </c>
      <c r="U10" s="2" t="s">
        <v>211</v>
      </c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x14ac:dyDescent="0.25">
      <c r="A11" s="2" t="s">
        <v>29</v>
      </c>
      <c r="B11" s="2" t="b">
        <v>0</v>
      </c>
      <c r="C11" s="2" t="s">
        <v>3887</v>
      </c>
      <c r="D11" s="2" t="s">
        <v>3888</v>
      </c>
      <c r="E11" s="2" t="s">
        <v>3889</v>
      </c>
      <c r="F11" s="1">
        <v>44277</v>
      </c>
      <c r="G11" s="1">
        <v>0.43541666666666662</v>
      </c>
      <c r="H11" s="2">
        <v>44277</v>
      </c>
      <c r="I11" s="2" t="s">
        <v>3944</v>
      </c>
      <c r="J11" s="2" t="s">
        <v>609</v>
      </c>
      <c r="K11" s="2" t="s">
        <v>24</v>
      </c>
      <c r="L11" s="2" t="s">
        <v>585</v>
      </c>
      <c r="M11" s="2" t="s">
        <v>3946</v>
      </c>
      <c r="N11" s="2" t="s">
        <v>1</v>
      </c>
      <c r="O11" s="2" t="s">
        <v>609</v>
      </c>
      <c r="P11" s="2" t="s">
        <v>209</v>
      </c>
      <c r="Q11" s="2" t="s">
        <v>277</v>
      </c>
      <c r="R11" s="2" t="s">
        <v>3105</v>
      </c>
      <c r="S11" s="2" t="s">
        <v>210</v>
      </c>
      <c r="T11" s="2">
        <v>270609</v>
      </c>
      <c r="U11" s="2" t="s">
        <v>211</v>
      </c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x14ac:dyDescent="0.25">
      <c r="A12" s="2" t="s">
        <v>29</v>
      </c>
      <c r="B12" s="2" t="b">
        <v>0</v>
      </c>
      <c r="C12" s="2" t="s">
        <v>3887</v>
      </c>
      <c r="D12" s="2" t="s">
        <v>3888</v>
      </c>
      <c r="E12" s="2" t="s">
        <v>3889</v>
      </c>
      <c r="F12" s="1">
        <v>44277</v>
      </c>
      <c r="G12" s="1">
        <v>0.34791666666666665</v>
      </c>
      <c r="H12" s="2">
        <v>44277</v>
      </c>
      <c r="I12" s="2" t="s">
        <v>3947</v>
      </c>
      <c r="J12" s="2" t="s">
        <v>609</v>
      </c>
      <c r="K12" s="2" t="s">
        <v>38</v>
      </c>
      <c r="L12" s="2" t="s">
        <v>585</v>
      </c>
      <c r="M12" s="2" t="s">
        <v>3948</v>
      </c>
      <c r="N12" s="2" t="s">
        <v>1</v>
      </c>
      <c r="O12" s="2" t="s">
        <v>609</v>
      </c>
      <c r="P12" s="2" t="s">
        <v>400</v>
      </c>
      <c r="Q12" s="2" t="s">
        <v>3001</v>
      </c>
      <c r="R12" s="2" t="s">
        <v>3002</v>
      </c>
      <c r="S12" s="2" t="s">
        <v>401</v>
      </c>
      <c r="T12" s="2">
        <v>1269382</v>
      </c>
      <c r="U12" s="2" t="s">
        <v>142</v>
      </c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x14ac:dyDescent="0.25">
      <c r="A13" s="2" t="s">
        <v>29</v>
      </c>
      <c r="B13" s="2" t="b">
        <v>0</v>
      </c>
      <c r="C13" s="2" t="s">
        <v>3887</v>
      </c>
      <c r="D13" s="2" t="s">
        <v>3888</v>
      </c>
      <c r="E13" s="2" t="s">
        <v>3889</v>
      </c>
      <c r="F13" s="1">
        <v>44277</v>
      </c>
      <c r="G13" s="1">
        <v>0.34791666666666665</v>
      </c>
      <c r="H13" s="2">
        <v>44277</v>
      </c>
      <c r="I13" s="2" t="s">
        <v>3947</v>
      </c>
      <c r="J13" s="2" t="s">
        <v>609</v>
      </c>
      <c r="K13" s="2" t="s">
        <v>38</v>
      </c>
      <c r="L13" s="2" t="s">
        <v>585</v>
      </c>
      <c r="M13" s="2" t="s">
        <v>3948</v>
      </c>
      <c r="N13" s="2" t="s">
        <v>1</v>
      </c>
      <c r="O13" s="2" t="s">
        <v>609</v>
      </c>
      <c r="P13" s="2" t="s">
        <v>139</v>
      </c>
      <c r="Q13" s="2" t="s">
        <v>3097</v>
      </c>
      <c r="R13" s="2" t="s">
        <v>3002</v>
      </c>
      <c r="S13" s="2" t="s">
        <v>141</v>
      </c>
      <c r="T13" s="2">
        <v>301827</v>
      </c>
      <c r="U13" s="2" t="s">
        <v>142</v>
      </c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x14ac:dyDescent="0.25">
      <c r="A14" s="2" t="s">
        <v>29</v>
      </c>
      <c r="B14" s="2" t="b">
        <v>0</v>
      </c>
      <c r="C14" s="2" t="s">
        <v>3887</v>
      </c>
      <c r="D14" s="2" t="s">
        <v>3888</v>
      </c>
      <c r="E14" s="2" t="s">
        <v>3889</v>
      </c>
      <c r="F14" s="1">
        <v>44277</v>
      </c>
      <c r="G14" s="1">
        <v>0.2638888888888889</v>
      </c>
      <c r="H14" s="2">
        <v>44277</v>
      </c>
      <c r="I14" s="2" t="s">
        <v>2582</v>
      </c>
      <c r="J14" s="2" t="s">
        <v>3950</v>
      </c>
      <c r="K14" s="2" t="s">
        <v>24</v>
      </c>
      <c r="L14" s="2" t="s">
        <v>585</v>
      </c>
      <c r="M14" s="2" t="s">
        <v>3951</v>
      </c>
      <c r="N14" s="2" t="s">
        <v>1</v>
      </c>
      <c r="O14" s="2" t="s">
        <v>3950</v>
      </c>
      <c r="P14" s="2" t="s">
        <v>400</v>
      </c>
      <c r="Q14" s="2" t="s">
        <v>3001</v>
      </c>
      <c r="R14" s="2" t="s">
        <v>3002</v>
      </c>
      <c r="S14" s="2" t="s">
        <v>401</v>
      </c>
      <c r="T14" s="2">
        <v>1269382</v>
      </c>
      <c r="U14" s="2" t="s">
        <v>142</v>
      </c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x14ac:dyDescent="0.25">
      <c r="A15" s="2" t="s">
        <v>29</v>
      </c>
      <c r="B15" s="2" t="b">
        <v>0</v>
      </c>
      <c r="C15" s="2" t="s">
        <v>3887</v>
      </c>
      <c r="D15" s="2" t="s">
        <v>3888</v>
      </c>
      <c r="E15" s="2" t="s">
        <v>3889</v>
      </c>
      <c r="F15" s="1">
        <v>44277</v>
      </c>
      <c r="G15" s="1">
        <v>0.2638888888888889</v>
      </c>
      <c r="H15" s="2">
        <v>44277</v>
      </c>
      <c r="I15" s="2" t="s">
        <v>2582</v>
      </c>
      <c r="J15" s="2" t="s">
        <v>3950</v>
      </c>
      <c r="K15" s="2" t="s">
        <v>24</v>
      </c>
      <c r="L15" s="2" t="s">
        <v>585</v>
      </c>
      <c r="M15" s="2" t="s">
        <v>3951</v>
      </c>
      <c r="N15" s="2" t="s">
        <v>1</v>
      </c>
      <c r="O15" s="2" t="s">
        <v>3950</v>
      </c>
      <c r="P15" s="2" t="s">
        <v>139</v>
      </c>
      <c r="Q15" s="2" t="s">
        <v>3097</v>
      </c>
      <c r="R15" s="2" t="s">
        <v>3002</v>
      </c>
      <c r="S15" s="2" t="s">
        <v>141</v>
      </c>
      <c r="T15" s="2">
        <v>301827</v>
      </c>
      <c r="U15" s="2" t="s">
        <v>142</v>
      </c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x14ac:dyDescent="0.25">
      <c r="A16" s="2" t="s">
        <v>29</v>
      </c>
      <c r="B16" s="2" t="b">
        <v>0</v>
      </c>
      <c r="C16" s="2" t="s">
        <v>3887</v>
      </c>
      <c r="D16" s="2" t="s">
        <v>3888</v>
      </c>
      <c r="E16" s="2" t="s">
        <v>3889</v>
      </c>
      <c r="F16" s="1">
        <v>44269</v>
      </c>
      <c r="G16" s="1">
        <v>0.42569444444444438</v>
      </c>
      <c r="H16" s="2">
        <v>44269</v>
      </c>
      <c r="I16" s="2" t="s">
        <v>2698</v>
      </c>
      <c r="J16" s="2" t="s">
        <v>586</v>
      </c>
      <c r="K16" s="2" t="s">
        <v>24</v>
      </c>
      <c r="L16" s="2" t="s">
        <v>585</v>
      </c>
      <c r="M16" s="2" t="s">
        <v>3951</v>
      </c>
      <c r="N16" s="2" t="s">
        <v>1</v>
      </c>
      <c r="O16" s="2" t="s">
        <v>586</v>
      </c>
      <c r="P16" s="2" t="s">
        <v>400</v>
      </c>
      <c r="Q16" s="2" t="s">
        <v>3001</v>
      </c>
      <c r="R16" s="2" t="s">
        <v>3002</v>
      </c>
      <c r="S16" s="2" t="s">
        <v>401</v>
      </c>
      <c r="T16" s="2">
        <v>1269382</v>
      </c>
      <c r="U16" s="2" t="s">
        <v>142</v>
      </c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x14ac:dyDescent="0.25">
      <c r="A17" s="2" t="s">
        <v>29</v>
      </c>
      <c r="B17" s="2" t="b">
        <v>0</v>
      </c>
      <c r="C17" s="2" t="s">
        <v>3887</v>
      </c>
      <c r="D17" s="2" t="s">
        <v>3888</v>
      </c>
      <c r="E17" s="2" t="s">
        <v>3889</v>
      </c>
      <c r="F17" s="1">
        <v>44269</v>
      </c>
      <c r="G17" s="1">
        <v>0.42569444444444438</v>
      </c>
      <c r="H17" s="2">
        <v>44269</v>
      </c>
      <c r="I17" s="2" t="s">
        <v>2698</v>
      </c>
      <c r="J17" s="2" t="s">
        <v>586</v>
      </c>
      <c r="K17" s="2" t="s">
        <v>24</v>
      </c>
      <c r="L17" s="2" t="s">
        <v>585</v>
      </c>
      <c r="M17" s="2" t="s">
        <v>3951</v>
      </c>
      <c r="N17" s="2" t="s">
        <v>1</v>
      </c>
      <c r="O17" s="2" t="s">
        <v>586</v>
      </c>
      <c r="P17" s="2" t="s">
        <v>139</v>
      </c>
      <c r="Q17" s="2" t="s">
        <v>3097</v>
      </c>
      <c r="R17" s="2" t="s">
        <v>3002</v>
      </c>
      <c r="S17" s="2" t="s">
        <v>141</v>
      </c>
      <c r="T17" s="2">
        <v>301827</v>
      </c>
      <c r="U17" s="2" t="s">
        <v>142</v>
      </c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x14ac:dyDescent="0.25">
      <c r="A18" s="2" t="s">
        <v>29</v>
      </c>
      <c r="B18" s="2" t="b">
        <v>0</v>
      </c>
      <c r="C18" s="2" t="s">
        <v>3887</v>
      </c>
      <c r="D18" s="2" t="s">
        <v>3888</v>
      </c>
      <c r="E18" s="2" t="s">
        <v>3889</v>
      </c>
      <c r="F18" s="1">
        <v>44269</v>
      </c>
      <c r="G18" s="1">
        <v>0.40138888888888891</v>
      </c>
      <c r="H18" s="2">
        <v>44269</v>
      </c>
      <c r="I18" s="2" t="s">
        <v>2643</v>
      </c>
      <c r="J18" s="2" t="s">
        <v>586</v>
      </c>
      <c r="K18" s="2" t="s">
        <v>606</v>
      </c>
      <c r="L18" s="2" t="s">
        <v>585</v>
      </c>
      <c r="M18" s="2" t="s">
        <v>4009</v>
      </c>
      <c r="N18" s="2" t="s">
        <v>1</v>
      </c>
      <c r="O18" s="2" t="s">
        <v>586</v>
      </c>
      <c r="P18" s="2" t="s">
        <v>400</v>
      </c>
      <c r="Q18" s="2" t="s">
        <v>3001</v>
      </c>
      <c r="R18" s="2" t="s">
        <v>3002</v>
      </c>
      <c r="S18" s="2" t="s">
        <v>401</v>
      </c>
      <c r="T18" s="2">
        <v>1269382</v>
      </c>
      <c r="U18" s="2" t="s">
        <v>142</v>
      </c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x14ac:dyDescent="0.25">
      <c r="A19" s="2" t="s">
        <v>29</v>
      </c>
      <c r="B19" s="2" t="b">
        <v>0</v>
      </c>
      <c r="C19" s="2" t="s">
        <v>3887</v>
      </c>
      <c r="D19" s="2" t="s">
        <v>3888</v>
      </c>
      <c r="E19" s="2" t="s">
        <v>3889</v>
      </c>
      <c r="F19" s="1">
        <v>44269</v>
      </c>
      <c r="G19" s="1">
        <v>0.40138888888888891</v>
      </c>
      <c r="H19" s="2">
        <v>44269</v>
      </c>
      <c r="I19" s="2" t="s">
        <v>2643</v>
      </c>
      <c r="J19" s="2" t="s">
        <v>586</v>
      </c>
      <c r="K19" s="2" t="s">
        <v>606</v>
      </c>
      <c r="L19" s="2" t="s">
        <v>585</v>
      </c>
      <c r="M19" s="2" t="s">
        <v>4009</v>
      </c>
      <c r="N19" s="2" t="s">
        <v>1</v>
      </c>
      <c r="O19" s="2" t="s">
        <v>586</v>
      </c>
      <c r="P19" s="2" t="s">
        <v>139</v>
      </c>
      <c r="Q19" s="2" t="s">
        <v>3097</v>
      </c>
      <c r="R19" s="2" t="s">
        <v>3002</v>
      </c>
      <c r="S19" s="2" t="s">
        <v>141</v>
      </c>
      <c r="T19" s="2">
        <v>301827</v>
      </c>
      <c r="U19" s="2" t="s">
        <v>142</v>
      </c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x14ac:dyDescent="0.25">
      <c r="A20" s="2" t="s">
        <v>29</v>
      </c>
      <c r="B20" s="2" t="b">
        <v>0</v>
      </c>
      <c r="C20" s="2" t="s">
        <v>3887</v>
      </c>
      <c r="D20" s="2" t="s">
        <v>3888</v>
      </c>
      <c r="E20" s="2" t="s">
        <v>3889</v>
      </c>
      <c r="F20" s="1">
        <v>44277</v>
      </c>
      <c r="G20" s="1">
        <v>0.31388888888888888</v>
      </c>
      <c r="H20" s="2">
        <v>44277</v>
      </c>
      <c r="I20" s="2" t="s">
        <v>3238</v>
      </c>
      <c r="J20" s="2" t="s">
        <v>609</v>
      </c>
      <c r="K20" s="2" t="s">
        <v>38</v>
      </c>
      <c r="L20" s="2" t="s">
        <v>585</v>
      </c>
      <c r="M20" s="2" t="s">
        <v>3949</v>
      </c>
      <c r="N20" s="2" t="s">
        <v>1</v>
      </c>
      <c r="O20" s="2" t="s">
        <v>609</v>
      </c>
      <c r="P20" s="2" t="s">
        <v>400</v>
      </c>
      <c r="Q20" s="2" t="s">
        <v>2998</v>
      </c>
      <c r="R20" s="2" t="s">
        <v>2999</v>
      </c>
      <c r="S20" s="2" t="s">
        <v>401</v>
      </c>
      <c r="T20" s="2">
        <v>1269381</v>
      </c>
      <c r="U20" s="2" t="s">
        <v>142</v>
      </c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x14ac:dyDescent="0.25">
      <c r="A21" s="2" t="s">
        <v>29</v>
      </c>
      <c r="B21" s="2" t="b">
        <v>0</v>
      </c>
      <c r="C21" s="2" t="s">
        <v>3887</v>
      </c>
      <c r="D21" s="2" t="s">
        <v>3888</v>
      </c>
      <c r="E21" s="2" t="s">
        <v>3889</v>
      </c>
      <c r="F21" s="1">
        <v>44277</v>
      </c>
      <c r="G21" s="1">
        <v>0.31388888888888888</v>
      </c>
      <c r="H21" s="2">
        <v>44277</v>
      </c>
      <c r="I21" s="2" t="s">
        <v>3238</v>
      </c>
      <c r="J21" s="2" t="s">
        <v>609</v>
      </c>
      <c r="K21" s="2" t="s">
        <v>38</v>
      </c>
      <c r="L21" s="2" t="s">
        <v>585</v>
      </c>
      <c r="M21" s="2" t="s">
        <v>3949</v>
      </c>
      <c r="N21" s="2" t="s">
        <v>1</v>
      </c>
      <c r="O21" s="2" t="s">
        <v>609</v>
      </c>
      <c r="P21" s="2" t="s">
        <v>139</v>
      </c>
      <c r="Q21" s="2" t="s">
        <v>3101</v>
      </c>
      <c r="R21" s="2" t="s">
        <v>2999</v>
      </c>
      <c r="S21" s="2" t="s">
        <v>141</v>
      </c>
      <c r="T21" s="2">
        <v>301829</v>
      </c>
      <c r="U21" s="2" t="s">
        <v>142</v>
      </c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x14ac:dyDescent="0.25">
      <c r="A22" s="2" t="s">
        <v>29</v>
      </c>
      <c r="B22" s="2" t="b">
        <v>0</v>
      </c>
      <c r="C22" s="2" t="s">
        <v>3887</v>
      </c>
      <c r="D22" s="2" t="s">
        <v>3888</v>
      </c>
      <c r="E22" s="2" t="s">
        <v>3889</v>
      </c>
      <c r="F22" s="1">
        <v>44277</v>
      </c>
      <c r="G22" s="1">
        <v>0.24166666666666667</v>
      </c>
      <c r="H22" s="2">
        <v>44277</v>
      </c>
      <c r="I22" s="2" t="s">
        <v>3952</v>
      </c>
      <c r="J22" s="2" t="s">
        <v>3950</v>
      </c>
      <c r="K22" s="2" t="s">
        <v>24</v>
      </c>
      <c r="L22" s="2" t="s">
        <v>585</v>
      </c>
      <c r="M22" s="2" t="s">
        <v>3953</v>
      </c>
      <c r="N22" s="2" t="s">
        <v>1</v>
      </c>
      <c r="O22" s="2" t="s">
        <v>3950</v>
      </c>
      <c r="P22" s="2" t="s">
        <v>400</v>
      </c>
      <c r="Q22" s="2" t="s">
        <v>2998</v>
      </c>
      <c r="R22" s="2" t="s">
        <v>2999</v>
      </c>
      <c r="S22" s="2" t="s">
        <v>401</v>
      </c>
      <c r="T22" s="2">
        <v>1269381</v>
      </c>
      <c r="U22" s="2" t="s">
        <v>142</v>
      </c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A23" s="2" t="s">
        <v>29</v>
      </c>
      <c r="B23" s="2" t="b">
        <v>0</v>
      </c>
      <c r="C23" s="2" t="s">
        <v>3887</v>
      </c>
      <c r="D23" s="2" t="s">
        <v>3888</v>
      </c>
      <c r="E23" s="2" t="s">
        <v>3889</v>
      </c>
      <c r="F23" s="1">
        <v>44277</v>
      </c>
      <c r="G23" s="1">
        <v>0.24166666666666667</v>
      </c>
      <c r="H23" s="2">
        <v>44277</v>
      </c>
      <c r="I23" s="2" t="s">
        <v>3952</v>
      </c>
      <c r="J23" s="2" t="s">
        <v>3950</v>
      </c>
      <c r="K23" s="2" t="s">
        <v>24</v>
      </c>
      <c r="L23" s="2" t="s">
        <v>585</v>
      </c>
      <c r="M23" s="2" t="s">
        <v>3953</v>
      </c>
      <c r="N23" s="2" t="s">
        <v>1</v>
      </c>
      <c r="O23" s="2" t="s">
        <v>3950</v>
      </c>
      <c r="P23" s="2" t="s">
        <v>139</v>
      </c>
      <c r="Q23" s="2" t="s">
        <v>3101</v>
      </c>
      <c r="R23" s="2" t="s">
        <v>2999</v>
      </c>
      <c r="S23" s="2" t="s">
        <v>141</v>
      </c>
      <c r="T23" s="2">
        <v>301829</v>
      </c>
      <c r="U23" s="2" t="s">
        <v>142</v>
      </c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x14ac:dyDescent="0.25">
      <c r="A24" s="2" t="s">
        <v>29</v>
      </c>
      <c r="B24" s="2" t="b">
        <v>0</v>
      </c>
      <c r="C24" s="2" t="s">
        <v>3887</v>
      </c>
      <c r="D24" s="2" t="s">
        <v>3888</v>
      </c>
      <c r="E24" s="2" t="s">
        <v>3889</v>
      </c>
      <c r="F24" s="1">
        <v>44269</v>
      </c>
      <c r="G24" s="1">
        <v>0.42152777777777778</v>
      </c>
      <c r="H24" s="2">
        <v>44269</v>
      </c>
      <c r="I24" s="2" t="s">
        <v>4005</v>
      </c>
      <c r="J24" s="2" t="s">
        <v>586</v>
      </c>
      <c r="K24" s="2" t="s">
        <v>24</v>
      </c>
      <c r="L24" s="2" t="s">
        <v>585</v>
      </c>
      <c r="M24" s="2" t="s">
        <v>3953</v>
      </c>
      <c r="N24" s="2" t="s">
        <v>1</v>
      </c>
      <c r="O24" s="2" t="s">
        <v>586</v>
      </c>
      <c r="P24" s="2" t="s">
        <v>400</v>
      </c>
      <c r="Q24" s="2" t="s">
        <v>2998</v>
      </c>
      <c r="R24" s="2" t="s">
        <v>2999</v>
      </c>
      <c r="S24" s="2" t="s">
        <v>401</v>
      </c>
      <c r="T24" s="2">
        <v>1269381</v>
      </c>
      <c r="U24" s="2" t="s">
        <v>142</v>
      </c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x14ac:dyDescent="0.25">
      <c r="A25" s="2" t="s">
        <v>29</v>
      </c>
      <c r="B25" s="2" t="b">
        <v>0</v>
      </c>
      <c r="C25" s="2" t="s">
        <v>3887</v>
      </c>
      <c r="D25" s="2" t="s">
        <v>3888</v>
      </c>
      <c r="E25" s="2" t="s">
        <v>3889</v>
      </c>
      <c r="F25" s="1">
        <v>44269</v>
      </c>
      <c r="G25" s="1">
        <v>0.42152777777777778</v>
      </c>
      <c r="H25" s="2">
        <v>44269</v>
      </c>
      <c r="I25" s="2" t="s">
        <v>4005</v>
      </c>
      <c r="J25" s="2" t="s">
        <v>586</v>
      </c>
      <c r="K25" s="2" t="s">
        <v>24</v>
      </c>
      <c r="L25" s="2" t="s">
        <v>585</v>
      </c>
      <c r="M25" s="2" t="s">
        <v>3953</v>
      </c>
      <c r="N25" s="2" t="s">
        <v>1</v>
      </c>
      <c r="O25" s="2" t="s">
        <v>586</v>
      </c>
      <c r="P25" s="2" t="s">
        <v>139</v>
      </c>
      <c r="Q25" s="2" t="s">
        <v>3101</v>
      </c>
      <c r="R25" s="2" t="s">
        <v>2999</v>
      </c>
      <c r="S25" s="2" t="s">
        <v>141</v>
      </c>
      <c r="T25" s="2">
        <v>301829</v>
      </c>
      <c r="U25" s="2" t="s">
        <v>142</v>
      </c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2" t="s">
        <v>29</v>
      </c>
      <c r="B26" s="2" t="b">
        <v>0</v>
      </c>
      <c r="C26" s="2" t="s">
        <v>3887</v>
      </c>
      <c r="D26" s="2" t="s">
        <v>3888</v>
      </c>
      <c r="E26" s="2" t="s">
        <v>3889</v>
      </c>
      <c r="F26" s="1">
        <v>44269</v>
      </c>
      <c r="G26" s="1">
        <v>0.40763888888888888</v>
      </c>
      <c r="H26" s="2">
        <v>44269</v>
      </c>
      <c r="I26" s="2" t="s">
        <v>615</v>
      </c>
      <c r="J26" s="2" t="s">
        <v>586</v>
      </c>
      <c r="K26" s="2" t="s">
        <v>606</v>
      </c>
      <c r="L26" s="2" t="s">
        <v>585</v>
      </c>
      <c r="M26" s="2" t="s">
        <v>4008</v>
      </c>
      <c r="N26" s="2" t="s">
        <v>1</v>
      </c>
      <c r="O26" s="2" t="s">
        <v>586</v>
      </c>
      <c r="P26" s="2" t="s">
        <v>400</v>
      </c>
      <c r="Q26" s="2" t="s">
        <v>2998</v>
      </c>
      <c r="R26" s="2" t="s">
        <v>2999</v>
      </c>
      <c r="S26" s="2" t="s">
        <v>401</v>
      </c>
      <c r="T26" s="2">
        <v>1269381</v>
      </c>
      <c r="U26" s="2" t="s">
        <v>142</v>
      </c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x14ac:dyDescent="0.25">
      <c r="A27" s="2" t="s">
        <v>29</v>
      </c>
      <c r="B27" s="2" t="b">
        <v>0</v>
      </c>
      <c r="C27" s="2" t="s">
        <v>3887</v>
      </c>
      <c r="D27" s="2" t="s">
        <v>3888</v>
      </c>
      <c r="E27" s="2" t="s">
        <v>3889</v>
      </c>
      <c r="F27" s="1">
        <v>44269</v>
      </c>
      <c r="G27" s="1">
        <v>0.40763888888888888</v>
      </c>
      <c r="H27" s="2">
        <v>44269</v>
      </c>
      <c r="I27" s="2" t="s">
        <v>615</v>
      </c>
      <c r="J27" s="2" t="s">
        <v>586</v>
      </c>
      <c r="K27" s="2" t="s">
        <v>606</v>
      </c>
      <c r="L27" s="2" t="s">
        <v>585</v>
      </c>
      <c r="M27" s="2" t="s">
        <v>4008</v>
      </c>
      <c r="N27" s="2" t="s">
        <v>1</v>
      </c>
      <c r="O27" s="2" t="s">
        <v>586</v>
      </c>
      <c r="P27" s="2" t="s">
        <v>139</v>
      </c>
      <c r="Q27" s="2" t="s">
        <v>3101</v>
      </c>
      <c r="R27" s="2" t="s">
        <v>2999</v>
      </c>
      <c r="S27" s="2" t="s">
        <v>141</v>
      </c>
      <c r="T27" s="2">
        <v>301829</v>
      </c>
      <c r="U27" s="2" t="s">
        <v>142</v>
      </c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x14ac:dyDescent="0.25">
      <c r="A28" s="2" t="s">
        <v>29</v>
      </c>
      <c r="B28" s="2" t="b">
        <v>0</v>
      </c>
      <c r="C28" s="2" t="s">
        <v>3887</v>
      </c>
      <c r="D28" s="2" t="s">
        <v>3888</v>
      </c>
      <c r="E28" s="2" t="s">
        <v>3889</v>
      </c>
      <c r="F28" s="1">
        <v>44277</v>
      </c>
      <c r="G28" s="1">
        <v>0.13333333333333333</v>
      </c>
      <c r="H28" s="2">
        <v>44277</v>
      </c>
      <c r="I28" s="2" t="s">
        <v>3954</v>
      </c>
      <c r="J28" s="2" t="s">
        <v>3926</v>
      </c>
      <c r="K28" s="2" t="s">
        <v>24</v>
      </c>
      <c r="L28" s="2" t="s">
        <v>585</v>
      </c>
      <c r="M28" s="2" t="s">
        <v>3955</v>
      </c>
      <c r="N28" s="2" t="s">
        <v>1</v>
      </c>
      <c r="O28" s="2" t="s">
        <v>3926</v>
      </c>
      <c r="P28" s="2" t="s">
        <v>318</v>
      </c>
      <c r="Q28" s="2" t="s">
        <v>3217</v>
      </c>
      <c r="R28" s="2" t="s">
        <v>3332</v>
      </c>
      <c r="S28" s="2" t="s">
        <v>257</v>
      </c>
      <c r="T28" s="2">
        <v>294628</v>
      </c>
      <c r="U28" s="2" t="s">
        <v>258</v>
      </c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x14ac:dyDescent="0.25">
      <c r="A29" s="2" t="s">
        <v>29</v>
      </c>
      <c r="B29" s="2" t="b">
        <v>0</v>
      </c>
      <c r="C29" s="2" t="s">
        <v>3887</v>
      </c>
      <c r="D29" s="2" t="s">
        <v>3888</v>
      </c>
      <c r="E29" s="2" t="s">
        <v>3889</v>
      </c>
      <c r="F29" s="1">
        <v>44267</v>
      </c>
      <c r="G29" s="1">
        <v>0.91805555555555551</v>
      </c>
      <c r="H29" s="2">
        <v>44268</v>
      </c>
      <c r="I29" s="2" t="s">
        <v>4019</v>
      </c>
      <c r="J29" s="2" t="s">
        <v>3935</v>
      </c>
      <c r="K29" s="2" t="s">
        <v>24</v>
      </c>
      <c r="L29" s="2" t="s">
        <v>585</v>
      </c>
      <c r="M29" s="2" t="s">
        <v>4020</v>
      </c>
      <c r="N29" s="2" t="s">
        <v>1</v>
      </c>
      <c r="O29" s="2" t="s">
        <v>3935</v>
      </c>
      <c r="P29" s="2" t="s">
        <v>326</v>
      </c>
      <c r="Q29" s="2" t="s">
        <v>2888</v>
      </c>
      <c r="R29" s="2" t="s">
        <v>2889</v>
      </c>
      <c r="S29" s="2" t="s">
        <v>132</v>
      </c>
      <c r="T29" s="2">
        <v>1268901</v>
      </c>
      <c r="U29" s="2" t="s">
        <v>328</v>
      </c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A30" s="2" t="s">
        <v>29</v>
      </c>
      <c r="B30" s="2" t="b">
        <v>0</v>
      </c>
      <c r="C30" s="2" t="s">
        <v>3887</v>
      </c>
      <c r="D30" s="2" t="s">
        <v>3888</v>
      </c>
      <c r="E30" s="2" t="s">
        <v>3889</v>
      </c>
      <c r="F30" s="1">
        <v>44273</v>
      </c>
      <c r="G30" s="1">
        <v>0.4381944444444445</v>
      </c>
      <c r="H30" s="2">
        <v>44273</v>
      </c>
      <c r="I30" s="2" t="s">
        <v>3977</v>
      </c>
      <c r="J30" s="2" t="s">
        <v>3978</v>
      </c>
      <c r="K30" s="2" t="s">
        <v>24</v>
      </c>
      <c r="L30" s="2" t="s">
        <v>585</v>
      </c>
      <c r="M30" s="2" t="s">
        <v>3979</v>
      </c>
      <c r="N30" s="2" t="s">
        <v>1</v>
      </c>
      <c r="O30" s="2" t="s">
        <v>3978</v>
      </c>
      <c r="P30" s="2" t="s">
        <v>206</v>
      </c>
      <c r="Q30" s="2" t="s">
        <v>3147</v>
      </c>
      <c r="R30" s="2" t="s">
        <v>3148</v>
      </c>
      <c r="S30" s="2" t="s">
        <v>207</v>
      </c>
      <c r="T30" s="2">
        <v>1269713</v>
      </c>
      <c r="U30" s="2" t="s">
        <v>152</v>
      </c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x14ac:dyDescent="0.25">
      <c r="A31" s="2" t="s">
        <v>29</v>
      </c>
      <c r="B31" s="2" t="b">
        <v>0</v>
      </c>
      <c r="C31" s="2" t="s">
        <v>3887</v>
      </c>
      <c r="D31" s="2" t="s">
        <v>3888</v>
      </c>
      <c r="E31" s="2" t="s">
        <v>3889</v>
      </c>
      <c r="F31" s="1">
        <v>44273</v>
      </c>
      <c r="G31" s="1">
        <v>0.39930555555555558</v>
      </c>
      <c r="H31" s="2">
        <v>44273</v>
      </c>
      <c r="I31" s="2" t="s">
        <v>2598</v>
      </c>
      <c r="J31" s="2" t="s">
        <v>586</v>
      </c>
      <c r="K31" s="2" t="s">
        <v>38</v>
      </c>
      <c r="L31" s="2" t="s">
        <v>585</v>
      </c>
      <c r="M31" s="2" t="s">
        <v>3980</v>
      </c>
      <c r="N31" s="2" t="s">
        <v>1</v>
      </c>
      <c r="O31" s="2" t="s">
        <v>586</v>
      </c>
      <c r="P31" s="2" t="s">
        <v>206</v>
      </c>
      <c r="Q31" s="2" t="s">
        <v>3147</v>
      </c>
      <c r="R31" s="2" t="s">
        <v>3148</v>
      </c>
      <c r="S31" s="2" t="s">
        <v>207</v>
      </c>
      <c r="T31" s="2">
        <v>1269713</v>
      </c>
      <c r="U31" s="2" t="s">
        <v>152</v>
      </c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x14ac:dyDescent="0.25">
      <c r="A32" s="2" t="s">
        <v>29</v>
      </c>
      <c r="B32" s="2" t="b">
        <v>0</v>
      </c>
      <c r="C32" s="2" t="s">
        <v>3887</v>
      </c>
      <c r="D32" s="2" t="s">
        <v>3888</v>
      </c>
      <c r="E32" s="2" t="s">
        <v>3889</v>
      </c>
      <c r="F32" s="1">
        <v>44272</v>
      </c>
      <c r="G32" s="1">
        <v>0.33194444444444443</v>
      </c>
      <c r="H32" s="2">
        <v>44272</v>
      </c>
      <c r="I32" s="2" t="s">
        <v>4000</v>
      </c>
      <c r="J32" s="2" t="s">
        <v>590</v>
      </c>
      <c r="K32" s="2" t="s">
        <v>24</v>
      </c>
      <c r="L32" s="2" t="s">
        <v>585</v>
      </c>
      <c r="M32" s="2" t="s">
        <v>3979</v>
      </c>
      <c r="N32" s="2" t="s">
        <v>1</v>
      </c>
      <c r="O32" s="2" t="s">
        <v>590</v>
      </c>
      <c r="P32" s="2" t="s">
        <v>206</v>
      </c>
      <c r="Q32" s="2" t="s">
        <v>3147</v>
      </c>
      <c r="R32" s="2" t="s">
        <v>3148</v>
      </c>
      <c r="S32" s="2" t="s">
        <v>207</v>
      </c>
      <c r="T32" s="2">
        <v>1269713</v>
      </c>
      <c r="U32" s="2" t="s">
        <v>152</v>
      </c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x14ac:dyDescent="0.25">
      <c r="A33" s="2" t="s">
        <v>29</v>
      </c>
      <c r="B33" s="2" t="b">
        <v>0</v>
      </c>
      <c r="C33" s="2" t="s">
        <v>3887</v>
      </c>
      <c r="D33" s="2" t="s">
        <v>3888</v>
      </c>
      <c r="E33" s="2" t="s">
        <v>3889</v>
      </c>
      <c r="F33" s="1">
        <v>44273</v>
      </c>
      <c r="G33" s="1">
        <v>0.25624999999999998</v>
      </c>
      <c r="H33" s="2">
        <v>44273</v>
      </c>
      <c r="I33" s="2" t="s">
        <v>3981</v>
      </c>
      <c r="J33" s="2" t="s">
        <v>3950</v>
      </c>
      <c r="K33" s="2" t="s">
        <v>24</v>
      </c>
      <c r="L33" s="2" t="s">
        <v>585</v>
      </c>
      <c r="M33" s="2" t="s">
        <v>3982</v>
      </c>
      <c r="N33" s="2" t="s">
        <v>1</v>
      </c>
      <c r="O33" s="2" t="s">
        <v>3950</v>
      </c>
      <c r="P33" s="2" t="s">
        <v>400</v>
      </c>
      <c r="Q33" s="2" t="s">
        <v>3007</v>
      </c>
      <c r="R33" s="2" t="s">
        <v>3008</v>
      </c>
      <c r="S33" s="2" t="s">
        <v>401</v>
      </c>
      <c r="T33" s="2">
        <v>1269384</v>
      </c>
      <c r="U33" s="2" t="s">
        <v>142</v>
      </c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x14ac:dyDescent="0.25">
      <c r="A34" s="2" t="s">
        <v>29</v>
      </c>
      <c r="B34" s="2" t="b">
        <v>0</v>
      </c>
      <c r="C34" s="2" t="s">
        <v>3887</v>
      </c>
      <c r="D34" s="2" t="s">
        <v>3888</v>
      </c>
      <c r="E34" s="2" t="s">
        <v>3889</v>
      </c>
      <c r="F34" s="1">
        <v>44273</v>
      </c>
      <c r="G34" s="1">
        <v>0.25624999999999998</v>
      </c>
      <c r="H34" s="2">
        <v>44273</v>
      </c>
      <c r="I34" s="2" t="s">
        <v>3981</v>
      </c>
      <c r="J34" s="2" t="s">
        <v>3950</v>
      </c>
      <c r="K34" s="2" t="s">
        <v>24</v>
      </c>
      <c r="L34" s="2" t="s">
        <v>585</v>
      </c>
      <c r="M34" s="2" t="s">
        <v>3982</v>
      </c>
      <c r="N34" s="2" t="s">
        <v>1</v>
      </c>
      <c r="O34" s="2" t="s">
        <v>3950</v>
      </c>
      <c r="P34" s="2" t="s">
        <v>139</v>
      </c>
      <c r="Q34" s="2" t="s">
        <v>3095</v>
      </c>
      <c r="R34" s="2" t="s">
        <v>3008</v>
      </c>
      <c r="S34" s="2" t="s">
        <v>141</v>
      </c>
      <c r="T34" s="2">
        <v>301800</v>
      </c>
      <c r="U34" s="2" t="s">
        <v>142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x14ac:dyDescent="0.25">
      <c r="A35" s="2" t="s">
        <v>29</v>
      </c>
      <c r="B35" s="2" t="b">
        <v>0</v>
      </c>
      <c r="C35" s="2" t="s">
        <v>3887</v>
      </c>
      <c r="D35" s="2" t="s">
        <v>3888</v>
      </c>
      <c r="E35" s="2" t="s">
        <v>3889</v>
      </c>
      <c r="F35" s="1">
        <v>44273</v>
      </c>
      <c r="G35" s="1">
        <v>0.17777777777777778</v>
      </c>
      <c r="H35" s="2">
        <v>44273</v>
      </c>
      <c r="I35" s="2" t="s">
        <v>3992</v>
      </c>
      <c r="J35" s="2" t="s">
        <v>3990</v>
      </c>
      <c r="K35" s="2" t="s">
        <v>24</v>
      </c>
      <c r="L35" s="2" t="s">
        <v>585</v>
      </c>
      <c r="M35" s="2" t="s">
        <v>3993</v>
      </c>
      <c r="N35" s="2" t="s">
        <v>1</v>
      </c>
      <c r="O35" s="2" t="s">
        <v>3990</v>
      </c>
      <c r="P35" s="2" t="s">
        <v>400</v>
      </c>
      <c r="Q35" s="2" t="s">
        <v>3007</v>
      </c>
      <c r="R35" s="2" t="s">
        <v>3008</v>
      </c>
      <c r="S35" s="2" t="s">
        <v>401</v>
      </c>
      <c r="T35" s="2">
        <v>1269384</v>
      </c>
      <c r="U35" s="2" t="s">
        <v>142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x14ac:dyDescent="0.25">
      <c r="A36" s="2" t="s">
        <v>29</v>
      </c>
      <c r="B36" s="2" t="b">
        <v>0</v>
      </c>
      <c r="C36" s="2" t="s">
        <v>3887</v>
      </c>
      <c r="D36" s="2" t="s">
        <v>3888</v>
      </c>
      <c r="E36" s="2" t="s">
        <v>3889</v>
      </c>
      <c r="F36" s="1">
        <v>44273</v>
      </c>
      <c r="G36" s="1">
        <v>0.17777777777777778</v>
      </c>
      <c r="H36" s="2">
        <v>44273</v>
      </c>
      <c r="I36" s="2" t="s">
        <v>3992</v>
      </c>
      <c r="J36" s="2" t="s">
        <v>3990</v>
      </c>
      <c r="K36" s="2" t="s">
        <v>24</v>
      </c>
      <c r="L36" s="2" t="s">
        <v>585</v>
      </c>
      <c r="M36" s="2" t="s">
        <v>3993</v>
      </c>
      <c r="N36" s="2" t="s">
        <v>1</v>
      </c>
      <c r="O36" s="2" t="s">
        <v>3990</v>
      </c>
      <c r="P36" s="2" t="s">
        <v>139</v>
      </c>
      <c r="Q36" s="2" t="s">
        <v>3095</v>
      </c>
      <c r="R36" s="2" t="s">
        <v>3008</v>
      </c>
      <c r="S36" s="2" t="s">
        <v>141</v>
      </c>
      <c r="T36" s="2">
        <v>301800</v>
      </c>
      <c r="U36" s="2" t="s">
        <v>142</v>
      </c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x14ac:dyDescent="0.25">
      <c r="A37" s="2" t="s">
        <v>29</v>
      </c>
      <c r="B37" s="2" t="b">
        <v>0</v>
      </c>
      <c r="C37" s="2" t="s">
        <v>3887</v>
      </c>
      <c r="D37" s="2" t="s">
        <v>3888</v>
      </c>
      <c r="E37" s="2" t="s">
        <v>3889</v>
      </c>
      <c r="F37" s="1">
        <v>44269</v>
      </c>
      <c r="G37" s="1">
        <v>0.41944444444444445</v>
      </c>
      <c r="H37" s="2">
        <v>44269</v>
      </c>
      <c r="I37" s="2" t="s">
        <v>3974</v>
      </c>
      <c r="J37" s="2" t="s">
        <v>586</v>
      </c>
      <c r="K37" s="2" t="s">
        <v>24</v>
      </c>
      <c r="L37" s="2" t="s">
        <v>585</v>
      </c>
      <c r="M37" s="2" t="s">
        <v>3982</v>
      </c>
      <c r="N37" s="2" t="s">
        <v>1</v>
      </c>
      <c r="O37" s="2" t="s">
        <v>586</v>
      </c>
      <c r="P37" s="2" t="s">
        <v>400</v>
      </c>
      <c r="Q37" s="2" t="s">
        <v>3007</v>
      </c>
      <c r="R37" s="2" t="s">
        <v>3008</v>
      </c>
      <c r="S37" s="2" t="s">
        <v>401</v>
      </c>
      <c r="T37" s="2">
        <v>1269384</v>
      </c>
      <c r="U37" s="2" t="s">
        <v>142</v>
      </c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x14ac:dyDescent="0.25">
      <c r="A38" s="2" t="s">
        <v>29</v>
      </c>
      <c r="B38" s="2" t="b">
        <v>0</v>
      </c>
      <c r="C38" s="2" t="s">
        <v>3887</v>
      </c>
      <c r="D38" s="2" t="s">
        <v>3888</v>
      </c>
      <c r="E38" s="2" t="s">
        <v>3889</v>
      </c>
      <c r="F38" s="1">
        <v>44269</v>
      </c>
      <c r="G38" s="1">
        <v>0.41944444444444445</v>
      </c>
      <c r="H38" s="2">
        <v>44269</v>
      </c>
      <c r="I38" s="2" t="s">
        <v>3974</v>
      </c>
      <c r="J38" s="2" t="s">
        <v>586</v>
      </c>
      <c r="K38" s="2" t="s">
        <v>24</v>
      </c>
      <c r="L38" s="2" t="s">
        <v>585</v>
      </c>
      <c r="M38" s="2" t="s">
        <v>3982</v>
      </c>
      <c r="N38" s="2" t="s">
        <v>1</v>
      </c>
      <c r="O38" s="2" t="s">
        <v>586</v>
      </c>
      <c r="P38" s="2" t="s">
        <v>139</v>
      </c>
      <c r="Q38" s="2" t="s">
        <v>3095</v>
      </c>
      <c r="R38" s="2" t="s">
        <v>3008</v>
      </c>
      <c r="S38" s="2" t="s">
        <v>141</v>
      </c>
      <c r="T38" s="2">
        <v>301800</v>
      </c>
      <c r="U38" s="2" t="s">
        <v>142</v>
      </c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x14ac:dyDescent="0.25">
      <c r="A39" s="2" t="s">
        <v>29</v>
      </c>
      <c r="B39" s="2" t="b">
        <v>0</v>
      </c>
      <c r="C39" s="2" t="s">
        <v>3887</v>
      </c>
      <c r="D39" s="2" t="s">
        <v>3888</v>
      </c>
      <c r="E39" s="2" t="s">
        <v>3889</v>
      </c>
      <c r="F39" s="1">
        <v>44269</v>
      </c>
      <c r="G39" s="1">
        <v>0.40972222222222227</v>
      </c>
      <c r="H39" s="2">
        <v>44269</v>
      </c>
      <c r="I39" s="2" t="s">
        <v>2648</v>
      </c>
      <c r="J39" s="2" t="s">
        <v>586</v>
      </c>
      <c r="K39" s="2" t="s">
        <v>24</v>
      </c>
      <c r="L39" s="2" t="s">
        <v>585</v>
      </c>
      <c r="M39" s="2" t="s">
        <v>3993</v>
      </c>
      <c r="N39" s="2" t="s">
        <v>1</v>
      </c>
      <c r="O39" s="2" t="s">
        <v>586</v>
      </c>
      <c r="P39" s="2" t="s">
        <v>400</v>
      </c>
      <c r="Q39" s="2" t="s">
        <v>3007</v>
      </c>
      <c r="R39" s="2" t="s">
        <v>3008</v>
      </c>
      <c r="S39" s="2" t="s">
        <v>401</v>
      </c>
      <c r="T39" s="2">
        <v>1269384</v>
      </c>
      <c r="U39" s="2" t="s">
        <v>142</v>
      </c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x14ac:dyDescent="0.25">
      <c r="A40" s="2" t="s">
        <v>29</v>
      </c>
      <c r="B40" s="2" t="b">
        <v>0</v>
      </c>
      <c r="C40" s="2" t="s">
        <v>3887</v>
      </c>
      <c r="D40" s="2" t="s">
        <v>3888</v>
      </c>
      <c r="E40" s="2" t="s">
        <v>3889</v>
      </c>
      <c r="F40" s="1">
        <v>44269</v>
      </c>
      <c r="G40" s="1">
        <v>0.40972222222222227</v>
      </c>
      <c r="H40" s="2">
        <v>44269</v>
      </c>
      <c r="I40" s="2" t="s">
        <v>2648</v>
      </c>
      <c r="J40" s="2" t="s">
        <v>586</v>
      </c>
      <c r="K40" s="2" t="s">
        <v>24</v>
      </c>
      <c r="L40" s="2" t="s">
        <v>585</v>
      </c>
      <c r="M40" s="2" t="s">
        <v>3993</v>
      </c>
      <c r="N40" s="2" t="s">
        <v>1</v>
      </c>
      <c r="O40" s="2" t="s">
        <v>586</v>
      </c>
      <c r="P40" s="2" t="s">
        <v>139</v>
      </c>
      <c r="Q40" s="2" t="s">
        <v>3095</v>
      </c>
      <c r="R40" s="2" t="s">
        <v>3008</v>
      </c>
      <c r="S40" s="2" t="s">
        <v>141</v>
      </c>
      <c r="T40" s="2">
        <v>301800</v>
      </c>
      <c r="U40" s="2" t="s">
        <v>142</v>
      </c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x14ac:dyDescent="0.25">
      <c r="A41" s="2" t="s">
        <v>29</v>
      </c>
      <c r="B41" s="2" t="b">
        <v>0</v>
      </c>
      <c r="C41" s="2" t="s">
        <v>3887</v>
      </c>
      <c r="D41" s="2" t="s">
        <v>3888</v>
      </c>
      <c r="E41" s="2" t="s">
        <v>3889</v>
      </c>
      <c r="F41" s="1">
        <v>44273</v>
      </c>
      <c r="G41" s="1">
        <v>0.23680555555555555</v>
      </c>
      <c r="H41" s="2">
        <v>44273</v>
      </c>
      <c r="I41" s="2" t="s">
        <v>3985</v>
      </c>
      <c r="J41" s="2" t="s">
        <v>3950</v>
      </c>
      <c r="K41" s="2" t="s">
        <v>24</v>
      </c>
      <c r="L41" s="2" t="s">
        <v>585</v>
      </c>
      <c r="M41" s="2" t="s">
        <v>3986</v>
      </c>
      <c r="N41" s="2" t="s">
        <v>1</v>
      </c>
      <c r="O41" s="2" t="s">
        <v>3950</v>
      </c>
      <c r="P41" s="2" t="s">
        <v>400</v>
      </c>
      <c r="Q41" s="2" t="s">
        <v>3004</v>
      </c>
      <c r="R41" s="2" t="s">
        <v>3005</v>
      </c>
      <c r="S41" s="2" t="s">
        <v>401</v>
      </c>
      <c r="T41" s="2">
        <v>1269383</v>
      </c>
      <c r="U41" s="2" t="s">
        <v>142</v>
      </c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x14ac:dyDescent="0.25">
      <c r="A42" s="2" t="s">
        <v>29</v>
      </c>
      <c r="B42" s="2" t="b">
        <v>0</v>
      </c>
      <c r="C42" s="2" t="s">
        <v>3887</v>
      </c>
      <c r="D42" s="2" t="s">
        <v>3888</v>
      </c>
      <c r="E42" s="2" t="s">
        <v>3889</v>
      </c>
      <c r="F42" s="1">
        <v>44273</v>
      </c>
      <c r="G42" s="1">
        <v>0.23680555555555555</v>
      </c>
      <c r="H42" s="2">
        <v>44273</v>
      </c>
      <c r="I42" s="2" t="s">
        <v>3985</v>
      </c>
      <c r="J42" s="2" t="s">
        <v>3950</v>
      </c>
      <c r="K42" s="2" t="s">
        <v>24</v>
      </c>
      <c r="L42" s="2" t="s">
        <v>585</v>
      </c>
      <c r="M42" s="2" t="s">
        <v>3986</v>
      </c>
      <c r="N42" s="2" t="s">
        <v>1</v>
      </c>
      <c r="O42" s="2" t="s">
        <v>3950</v>
      </c>
      <c r="P42" s="2" t="s">
        <v>139</v>
      </c>
      <c r="Q42" s="2" t="s">
        <v>3099</v>
      </c>
      <c r="R42" s="2" t="s">
        <v>3005</v>
      </c>
      <c r="S42" s="2" t="s">
        <v>141</v>
      </c>
      <c r="T42" s="2">
        <v>301828</v>
      </c>
      <c r="U42" s="2" t="s">
        <v>142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 t="s">
        <v>29</v>
      </c>
      <c r="B43" s="2" t="b">
        <v>0</v>
      </c>
      <c r="C43" s="2" t="s">
        <v>3887</v>
      </c>
      <c r="D43" s="2" t="s">
        <v>3888</v>
      </c>
      <c r="E43" s="2" t="s">
        <v>3889</v>
      </c>
      <c r="F43" s="1">
        <v>44273</v>
      </c>
      <c r="G43" s="1">
        <v>0.18541666666666667</v>
      </c>
      <c r="H43" s="2">
        <v>44273</v>
      </c>
      <c r="I43" s="2" t="s">
        <v>3989</v>
      </c>
      <c r="J43" s="2" t="s">
        <v>3990</v>
      </c>
      <c r="K43" s="2" t="s">
        <v>24</v>
      </c>
      <c r="L43" s="2" t="s">
        <v>585</v>
      </c>
      <c r="M43" s="2" t="s">
        <v>3991</v>
      </c>
      <c r="N43" s="2" t="s">
        <v>1</v>
      </c>
      <c r="O43" s="2" t="s">
        <v>3990</v>
      </c>
      <c r="P43" s="2" t="s">
        <v>400</v>
      </c>
      <c r="Q43" s="2" t="s">
        <v>3004</v>
      </c>
      <c r="R43" s="2" t="s">
        <v>3005</v>
      </c>
      <c r="S43" s="2" t="s">
        <v>401</v>
      </c>
      <c r="T43" s="2">
        <v>1269383</v>
      </c>
      <c r="U43" s="2" t="s">
        <v>142</v>
      </c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 t="s">
        <v>29</v>
      </c>
      <c r="B44" s="2" t="b">
        <v>0</v>
      </c>
      <c r="C44" s="2" t="s">
        <v>3887</v>
      </c>
      <c r="D44" s="2" t="s">
        <v>3888</v>
      </c>
      <c r="E44" s="2" t="s">
        <v>3889</v>
      </c>
      <c r="F44" s="1">
        <v>44273</v>
      </c>
      <c r="G44" s="1">
        <v>0.18541666666666667</v>
      </c>
      <c r="H44" s="2">
        <v>44273</v>
      </c>
      <c r="I44" s="2" t="s">
        <v>3989</v>
      </c>
      <c r="J44" s="2" t="s">
        <v>3990</v>
      </c>
      <c r="K44" s="2" t="s">
        <v>24</v>
      </c>
      <c r="L44" s="2" t="s">
        <v>585</v>
      </c>
      <c r="M44" s="2" t="s">
        <v>3991</v>
      </c>
      <c r="N44" s="2" t="s">
        <v>1</v>
      </c>
      <c r="O44" s="2" t="s">
        <v>3990</v>
      </c>
      <c r="P44" s="2" t="s">
        <v>139</v>
      </c>
      <c r="Q44" s="2" t="s">
        <v>3099</v>
      </c>
      <c r="R44" s="2" t="s">
        <v>3005</v>
      </c>
      <c r="S44" s="2" t="s">
        <v>141</v>
      </c>
      <c r="T44" s="2">
        <v>301828</v>
      </c>
      <c r="U44" s="2" t="s">
        <v>142</v>
      </c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x14ac:dyDescent="0.25">
      <c r="A45" s="2" t="s">
        <v>29</v>
      </c>
      <c r="B45" s="2" t="b">
        <v>0</v>
      </c>
      <c r="C45" s="2" t="s">
        <v>3887</v>
      </c>
      <c r="D45" s="2" t="s">
        <v>3888</v>
      </c>
      <c r="E45" s="2" t="s">
        <v>3889</v>
      </c>
      <c r="F45" s="1">
        <v>44269</v>
      </c>
      <c r="G45" s="1">
        <v>0.41736111111111113</v>
      </c>
      <c r="H45" s="2">
        <v>44269</v>
      </c>
      <c r="I45" s="2" t="s">
        <v>4006</v>
      </c>
      <c r="J45" s="2" t="s">
        <v>586</v>
      </c>
      <c r="K45" s="2" t="s">
        <v>24</v>
      </c>
      <c r="L45" s="2" t="s">
        <v>585</v>
      </c>
      <c r="M45" s="2" t="s">
        <v>3986</v>
      </c>
      <c r="N45" s="2" t="s">
        <v>1</v>
      </c>
      <c r="O45" s="2" t="s">
        <v>586</v>
      </c>
      <c r="P45" s="2" t="s">
        <v>400</v>
      </c>
      <c r="Q45" s="2" t="s">
        <v>3004</v>
      </c>
      <c r="R45" s="2" t="s">
        <v>3005</v>
      </c>
      <c r="S45" s="2" t="s">
        <v>401</v>
      </c>
      <c r="T45" s="2">
        <v>1269383</v>
      </c>
      <c r="U45" s="2" t="s">
        <v>142</v>
      </c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x14ac:dyDescent="0.25">
      <c r="A46" s="2" t="s">
        <v>29</v>
      </c>
      <c r="B46" s="2" t="b">
        <v>0</v>
      </c>
      <c r="C46" s="2" t="s">
        <v>3887</v>
      </c>
      <c r="D46" s="2" t="s">
        <v>3888</v>
      </c>
      <c r="E46" s="2" t="s">
        <v>3889</v>
      </c>
      <c r="F46" s="1">
        <v>44269</v>
      </c>
      <c r="G46" s="1">
        <v>0.41736111111111113</v>
      </c>
      <c r="H46" s="2">
        <v>44269</v>
      </c>
      <c r="I46" s="2" t="s">
        <v>4006</v>
      </c>
      <c r="J46" s="2" t="s">
        <v>586</v>
      </c>
      <c r="K46" s="2" t="s">
        <v>24</v>
      </c>
      <c r="L46" s="2" t="s">
        <v>585</v>
      </c>
      <c r="M46" s="2" t="s">
        <v>3986</v>
      </c>
      <c r="N46" s="2" t="s">
        <v>1</v>
      </c>
      <c r="O46" s="2" t="s">
        <v>586</v>
      </c>
      <c r="P46" s="2" t="s">
        <v>139</v>
      </c>
      <c r="Q46" s="2" t="s">
        <v>3099</v>
      </c>
      <c r="R46" s="2" t="s">
        <v>3005</v>
      </c>
      <c r="S46" s="2" t="s">
        <v>141</v>
      </c>
      <c r="T46" s="2">
        <v>301828</v>
      </c>
      <c r="U46" s="2" t="s">
        <v>142</v>
      </c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</row>
    <row r="47" spans="1:35" x14ac:dyDescent="0.25">
      <c r="A47" s="2" t="s">
        <v>29</v>
      </c>
      <c r="B47" s="2" t="b">
        <v>0</v>
      </c>
      <c r="C47" s="2" t="s">
        <v>3887</v>
      </c>
      <c r="D47" s="2" t="s">
        <v>3888</v>
      </c>
      <c r="E47" s="2" t="s">
        <v>3889</v>
      </c>
      <c r="F47" s="1">
        <v>44269</v>
      </c>
      <c r="G47" s="1">
        <v>0.41041666666666665</v>
      </c>
      <c r="H47" s="2">
        <v>44269</v>
      </c>
      <c r="I47" s="2" t="s">
        <v>4007</v>
      </c>
      <c r="J47" s="2" t="s">
        <v>586</v>
      </c>
      <c r="K47" s="2" t="s">
        <v>24</v>
      </c>
      <c r="L47" s="2" t="s">
        <v>585</v>
      </c>
      <c r="M47" s="2" t="s">
        <v>3991</v>
      </c>
      <c r="N47" s="2" t="s">
        <v>1</v>
      </c>
      <c r="O47" s="2" t="s">
        <v>586</v>
      </c>
      <c r="P47" s="2" t="s">
        <v>400</v>
      </c>
      <c r="Q47" s="2" t="s">
        <v>3004</v>
      </c>
      <c r="R47" s="2" t="s">
        <v>3005</v>
      </c>
      <c r="S47" s="2" t="s">
        <v>401</v>
      </c>
      <c r="T47" s="2">
        <v>1269383</v>
      </c>
      <c r="U47" s="2" t="s">
        <v>142</v>
      </c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</row>
    <row r="48" spans="1:35" x14ac:dyDescent="0.25">
      <c r="A48" s="2" t="s">
        <v>29</v>
      </c>
      <c r="B48" s="2" t="b">
        <v>0</v>
      </c>
      <c r="C48" s="2" t="s">
        <v>3887</v>
      </c>
      <c r="D48" s="2" t="s">
        <v>3888</v>
      </c>
      <c r="E48" s="2" t="s">
        <v>3889</v>
      </c>
      <c r="F48" s="1">
        <v>44269</v>
      </c>
      <c r="G48" s="1">
        <v>0.41041666666666665</v>
      </c>
      <c r="H48" s="2">
        <v>44269</v>
      </c>
      <c r="I48" s="2" t="s">
        <v>4007</v>
      </c>
      <c r="J48" s="2" t="s">
        <v>586</v>
      </c>
      <c r="K48" s="2" t="s">
        <v>24</v>
      </c>
      <c r="L48" s="2" t="s">
        <v>585</v>
      </c>
      <c r="M48" s="2" t="s">
        <v>3991</v>
      </c>
      <c r="N48" s="2" t="s">
        <v>1</v>
      </c>
      <c r="O48" s="2" t="s">
        <v>586</v>
      </c>
      <c r="P48" s="2" t="s">
        <v>139</v>
      </c>
      <c r="Q48" s="2" t="s">
        <v>3099</v>
      </c>
      <c r="R48" s="2" t="s">
        <v>3005</v>
      </c>
      <c r="S48" s="2" t="s">
        <v>141</v>
      </c>
      <c r="T48" s="2">
        <v>301828</v>
      </c>
      <c r="U48" s="2" t="s">
        <v>142</v>
      </c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x14ac:dyDescent="0.25">
      <c r="A49" s="2" t="s">
        <v>29</v>
      </c>
      <c r="B49" s="2" t="b">
        <v>0</v>
      </c>
      <c r="C49" s="2" t="s">
        <v>3887</v>
      </c>
      <c r="D49" s="2" t="s">
        <v>3888</v>
      </c>
      <c r="E49" s="2" t="s">
        <v>3889</v>
      </c>
      <c r="F49" s="1">
        <v>44267</v>
      </c>
      <c r="G49" s="1">
        <v>0.19166666666666668</v>
      </c>
      <c r="H49" s="2">
        <v>44267</v>
      </c>
      <c r="I49" s="2" t="s">
        <v>3245</v>
      </c>
      <c r="J49" s="2" t="s">
        <v>3935</v>
      </c>
      <c r="K49" s="2" t="s">
        <v>24</v>
      </c>
      <c r="L49" s="2" t="s">
        <v>585</v>
      </c>
      <c r="M49" s="2" t="s">
        <v>4021</v>
      </c>
      <c r="N49" s="2" t="s">
        <v>1</v>
      </c>
      <c r="O49" s="2" t="s">
        <v>3935</v>
      </c>
      <c r="P49" s="2" t="s">
        <v>326</v>
      </c>
      <c r="Q49" s="2" t="s">
        <v>398</v>
      </c>
      <c r="R49" s="2" t="s">
        <v>2912</v>
      </c>
      <c r="S49" s="2" t="s">
        <v>132</v>
      </c>
      <c r="T49" s="2">
        <v>1268971</v>
      </c>
      <c r="U49" s="2" t="s">
        <v>328</v>
      </c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</row>
    <row r="50" spans="1:35" x14ac:dyDescent="0.25">
      <c r="A50" s="2" t="s">
        <v>29</v>
      </c>
      <c r="B50" s="2" t="b">
        <v>0</v>
      </c>
      <c r="C50" s="2" t="s">
        <v>3887</v>
      </c>
      <c r="D50" s="2" t="s">
        <v>3888</v>
      </c>
      <c r="E50" s="2" t="s">
        <v>3889</v>
      </c>
      <c r="F50" s="1">
        <v>44268</v>
      </c>
      <c r="G50" s="1">
        <v>0.41597222222222224</v>
      </c>
      <c r="H50" s="2">
        <v>44268</v>
      </c>
      <c r="I50" s="2" t="s">
        <v>4013</v>
      </c>
      <c r="J50" s="2" t="s">
        <v>3926</v>
      </c>
      <c r="K50" s="2" t="s">
        <v>38</v>
      </c>
      <c r="L50" s="2" t="s">
        <v>585</v>
      </c>
      <c r="M50" s="2" t="s">
        <v>4014</v>
      </c>
      <c r="N50" s="2" t="s">
        <v>1</v>
      </c>
      <c r="O50" s="2" t="s">
        <v>3926</v>
      </c>
      <c r="P50" s="2" t="s">
        <v>206</v>
      </c>
      <c r="Q50" s="2" t="s">
        <v>2916</v>
      </c>
      <c r="R50" s="2" t="s">
        <v>2917</v>
      </c>
      <c r="S50" s="2" t="s">
        <v>207</v>
      </c>
      <c r="T50" s="2">
        <v>1269000</v>
      </c>
      <c r="U50" s="2" t="s">
        <v>152</v>
      </c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</row>
    <row r="51" spans="1:35" x14ac:dyDescent="0.25">
      <c r="A51" s="2" t="s">
        <v>29</v>
      </c>
      <c r="B51" s="2" t="b">
        <v>0</v>
      </c>
      <c r="C51" s="2" t="s">
        <v>3887</v>
      </c>
      <c r="D51" s="2" t="s">
        <v>3888</v>
      </c>
      <c r="E51" s="2" t="s">
        <v>3889</v>
      </c>
      <c r="F51" s="1">
        <v>44268</v>
      </c>
      <c r="G51" s="1">
        <v>0.39097222222222222</v>
      </c>
      <c r="H51" s="2">
        <v>44268</v>
      </c>
      <c r="I51" s="2" t="s">
        <v>4013</v>
      </c>
      <c r="J51" s="2" t="s">
        <v>3968</v>
      </c>
      <c r="K51" s="2" t="s">
        <v>24</v>
      </c>
      <c r="L51" s="2" t="s">
        <v>585</v>
      </c>
      <c r="M51" s="2" t="s">
        <v>4015</v>
      </c>
      <c r="N51" s="2" t="s">
        <v>1</v>
      </c>
      <c r="O51" s="2" t="s">
        <v>3968</v>
      </c>
      <c r="P51" s="2" t="s">
        <v>206</v>
      </c>
      <c r="Q51" s="2" t="s">
        <v>2916</v>
      </c>
      <c r="R51" s="2" t="s">
        <v>2917</v>
      </c>
      <c r="S51" s="2" t="s">
        <v>207</v>
      </c>
      <c r="T51" s="2">
        <v>1269000</v>
      </c>
      <c r="U51" s="2" t="s">
        <v>152</v>
      </c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" t="s">
        <v>29</v>
      </c>
      <c r="B52" s="2" t="b">
        <v>0</v>
      </c>
      <c r="C52" s="2" t="s">
        <v>3887</v>
      </c>
      <c r="D52" s="2" t="s">
        <v>3888</v>
      </c>
      <c r="E52" s="2" t="s">
        <v>3889</v>
      </c>
      <c r="F52" s="1">
        <v>44272</v>
      </c>
      <c r="G52" s="1">
        <v>0.37986111111111109</v>
      </c>
      <c r="H52" s="2">
        <v>44272</v>
      </c>
      <c r="I52" s="2" t="s">
        <v>3998</v>
      </c>
      <c r="J52" s="2" t="s">
        <v>609</v>
      </c>
      <c r="K52" s="2" t="s">
        <v>38</v>
      </c>
      <c r="L52" s="2" t="s">
        <v>585</v>
      </c>
      <c r="M52" s="2" t="s">
        <v>3999</v>
      </c>
      <c r="N52" s="2" t="s">
        <v>1</v>
      </c>
      <c r="O52" s="2" t="s">
        <v>609</v>
      </c>
      <c r="P52" s="2" t="s">
        <v>157</v>
      </c>
      <c r="Q52" s="2" t="s">
        <v>517</v>
      </c>
      <c r="R52" s="2" t="s">
        <v>3282</v>
      </c>
      <c r="S52" s="2" t="s">
        <v>151</v>
      </c>
      <c r="T52" s="2">
        <v>1269864</v>
      </c>
      <c r="U52" s="2" t="s">
        <v>152</v>
      </c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" t="s">
        <v>29</v>
      </c>
      <c r="B53" s="2" t="b">
        <v>0</v>
      </c>
      <c r="C53" s="2" t="s">
        <v>3887</v>
      </c>
      <c r="D53" s="2" t="s">
        <v>3888</v>
      </c>
      <c r="E53" s="2" t="s">
        <v>3889</v>
      </c>
      <c r="F53" s="1">
        <v>44272</v>
      </c>
      <c r="G53" s="1">
        <v>0.1388888888888889</v>
      </c>
      <c r="H53" s="2">
        <v>44272</v>
      </c>
      <c r="I53" s="2" t="s">
        <v>597</v>
      </c>
      <c r="J53" s="2" t="s">
        <v>3243</v>
      </c>
      <c r="K53" s="2" t="s">
        <v>24</v>
      </c>
      <c r="L53" s="2" t="s">
        <v>585</v>
      </c>
      <c r="M53" s="2" t="s">
        <v>4003</v>
      </c>
      <c r="N53" s="2" t="s">
        <v>1</v>
      </c>
      <c r="O53" s="2" t="s">
        <v>3243</v>
      </c>
      <c r="P53" s="2" t="s">
        <v>157</v>
      </c>
      <c r="Q53" s="2" t="s">
        <v>517</v>
      </c>
      <c r="R53" s="2" t="s">
        <v>3282</v>
      </c>
      <c r="S53" s="2" t="s">
        <v>151</v>
      </c>
      <c r="T53" s="2">
        <v>1269864</v>
      </c>
      <c r="U53" s="2" t="s">
        <v>152</v>
      </c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A54" s="2" t="s">
        <v>29</v>
      </c>
      <c r="B54" s="2" t="b">
        <v>0</v>
      </c>
      <c r="C54" s="2" t="s">
        <v>3887</v>
      </c>
      <c r="D54" s="2" t="s">
        <v>3888</v>
      </c>
      <c r="E54" s="2" t="s">
        <v>3889</v>
      </c>
      <c r="F54" s="1">
        <v>44268</v>
      </c>
      <c r="G54" s="1">
        <v>7.2916666666666671E-2</v>
      </c>
      <c r="H54" s="2">
        <v>44268</v>
      </c>
      <c r="I54" s="2" t="s">
        <v>4017</v>
      </c>
      <c r="J54" s="2" t="s">
        <v>604</v>
      </c>
      <c r="K54" s="2" t="s">
        <v>24</v>
      </c>
      <c r="L54" s="2" t="s">
        <v>585</v>
      </c>
      <c r="M54" s="2" t="s">
        <v>4018</v>
      </c>
      <c r="N54" s="2" t="s">
        <v>1</v>
      </c>
      <c r="O54" s="2" t="s">
        <v>604</v>
      </c>
      <c r="P54" s="2" t="s">
        <v>326</v>
      </c>
      <c r="Q54" s="2" t="s">
        <v>2957</v>
      </c>
      <c r="R54" s="2" t="s">
        <v>2958</v>
      </c>
      <c r="S54" s="2" t="s">
        <v>132</v>
      </c>
      <c r="T54" s="2">
        <v>292033</v>
      </c>
      <c r="U54" s="2" t="s">
        <v>328</v>
      </c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x14ac:dyDescent="0.25">
      <c r="A55" s="2" t="s">
        <v>29</v>
      </c>
      <c r="B55" s="2" t="b">
        <v>0</v>
      </c>
      <c r="C55" s="2" t="s">
        <v>3887</v>
      </c>
      <c r="D55" s="2" t="s">
        <v>3888</v>
      </c>
      <c r="E55" s="2" t="s">
        <v>3889</v>
      </c>
      <c r="F55" s="1">
        <v>44267</v>
      </c>
      <c r="G55" s="1">
        <v>0.34861111111111109</v>
      </c>
      <c r="H55" s="2">
        <v>44267</v>
      </c>
      <c r="I55" s="2" t="s">
        <v>3237</v>
      </c>
      <c r="J55" s="2" t="s">
        <v>3959</v>
      </c>
      <c r="K55" s="2" t="s">
        <v>24</v>
      </c>
      <c r="L55" s="2" t="s">
        <v>585</v>
      </c>
      <c r="M55" s="2" t="s">
        <v>4018</v>
      </c>
      <c r="N55" s="2" t="s">
        <v>1</v>
      </c>
      <c r="O55" s="2" t="s">
        <v>3959</v>
      </c>
      <c r="P55" s="2" t="s">
        <v>326</v>
      </c>
      <c r="Q55" s="2" t="s">
        <v>2957</v>
      </c>
      <c r="R55" s="2" t="s">
        <v>2958</v>
      </c>
      <c r="S55" s="2" t="s">
        <v>132</v>
      </c>
      <c r="T55" s="2">
        <v>292033</v>
      </c>
      <c r="U55" s="2" t="s">
        <v>328</v>
      </c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x14ac:dyDescent="0.25">
      <c r="A56" s="2" t="s">
        <v>29</v>
      </c>
      <c r="B56" s="2" t="b">
        <v>0</v>
      </c>
      <c r="C56" s="2" t="s">
        <v>3887</v>
      </c>
      <c r="D56" s="2" t="s">
        <v>3888</v>
      </c>
      <c r="E56" s="2" t="s">
        <v>3889</v>
      </c>
      <c r="F56" s="1">
        <v>44268</v>
      </c>
      <c r="G56" s="1">
        <v>0.45624999999999999</v>
      </c>
      <c r="H56" s="2">
        <v>44268</v>
      </c>
      <c r="I56" s="2" t="s">
        <v>4010</v>
      </c>
      <c r="J56" s="2" t="s">
        <v>604</v>
      </c>
      <c r="K56" s="2" t="s">
        <v>38</v>
      </c>
      <c r="L56" s="2" t="s">
        <v>585</v>
      </c>
      <c r="M56" s="2" t="s">
        <v>4011</v>
      </c>
      <c r="N56" s="2" t="s">
        <v>1</v>
      </c>
      <c r="O56" s="2" t="s">
        <v>604</v>
      </c>
      <c r="P56" s="2" t="s">
        <v>206</v>
      </c>
      <c r="Q56" s="2" t="s">
        <v>2989</v>
      </c>
      <c r="R56" s="2" t="s">
        <v>2990</v>
      </c>
      <c r="S56" s="2" t="s">
        <v>207</v>
      </c>
      <c r="T56" s="2">
        <v>1269373</v>
      </c>
      <c r="U56" s="2" t="s">
        <v>152</v>
      </c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x14ac:dyDescent="0.25">
      <c r="A57" s="2" t="s">
        <v>29</v>
      </c>
      <c r="B57" s="2" t="b">
        <v>0</v>
      </c>
      <c r="C57" s="2" t="s">
        <v>3887</v>
      </c>
      <c r="D57" s="2" t="s">
        <v>3888</v>
      </c>
      <c r="E57" s="2" t="s">
        <v>3889</v>
      </c>
      <c r="F57" s="1">
        <v>44268</v>
      </c>
      <c r="G57" s="1">
        <v>0.43472222222222223</v>
      </c>
      <c r="H57" s="2">
        <v>44268</v>
      </c>
      <c r="I57" s="2" t="s">
        <v>3234</v>
      </c>
      <c r="J57" s="2" t="s">
        <v>609</v>
      </c>
      <c r="K57" s="2" t="s">
        <v>38</v>
      </c>
      <c r="L57" s="2" t="s">
        <v>585</v>
      </c>
      <c r="M57" s="2" t="s">
        <v>4012</v>
      </c>
      <c r="N57" s="2" t="s">
        <v>1</v>
      </c>
      <c r="O57" s="2" t="s">
        <v>609</v>
      </c>
      <c r="P57" s="2" t="s">
        <v>206</v>
      </c>
      <c r="Q57" s="2" t="s">
        <v>2989</v>
      </c>
      <c r="R57" s="2" t="s">
        <v>2990</v>
      </c>
      <c r="S57" s="2" t="s">
        <v>207</v>
      </c>
      <c r="T57" s="2">
        <v>1269373</v>
      </c>
      <c r="U57" s="2" t="s">
        <v>152</v>
      </c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x14ac:dyDescent="0.25">
      <c r="A58" s="2" t="s">
        <v>29</v>
      </c>
      <c r="B58" s="2" t="b">
        <v>0</v>
      </c>
      <c r="C58" s="2" t="s">
        <v>3887</v>
      </c>
      <c r="D58" s="2" t="s">
        <v>3888</v>
      </c>
      <c r="E58" s="2" t="s">
        <v>3889</v>
      </c>
      <c r="F58" s="1">
        <v>44268</v>
      </c>
      <c r="G58" s="1">
        <v>0.28611111111111109</v>
      </c>
      <c r="H58" s="2">
        <v>44268</v>
      </c>
      <c r="I58" s="2" t="s">
        <v>4000</v>
      </c>
      <c r="J58" s="2" t="s">
        <v>3935</v>
      </c>
      <c r="K58" s="2" t="s">
        <v>24</v>
      </c>
      <c r="L58" s="2" t="s">
        <v>585</v>
      </c>
      <c r="M58" s="2" t="s">
        <v>4016</v>
      </c>
      <c r="N58" s="2" t="s">
        <v>1</v>
      </c>
      <c r="O58" s="2" t="s">
        <v>3935</v>
      </c>
      <c r="P58" s="2" t="s">
        <v>206</v>
      </c>
      <c r="Q58" s="2" t="s">
        <v>2989</v>
      </c>
      <c r="R58" s="2" t="s">
        <v>2990</v>
      </c>
      <c r="S58" s="2" t="s">
        <v>207</v>
      </c>
      <c r="T58" s="2">
        <v>1269373</v>
      </c>
      <c r="U58" s="2" t="s">
        <v>152</v>
      </c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x14ac:dyDescent="0.25">
      <c r="A59" s="2" t="s">
        <v>29</v>
      </c>
      <c r="B59" s="2" t="b">
        <v>0</v>
      </c>
      <c r="C59" s="2" t="s">
        <v>3887</v>
      </c>
      <c r="D59" s="2" t="s">
        <v>3888</v>
      </c>
      <c r="E59" s="2" t="s">
        <v>3889</v>
      </c>
      <c r="F59" s="1">
        <v>44276</v>
      </c>
      <c r="G59" s="1">
        <v>0.38611111111111113</v>
      </c>
      <c r="H59" s="2">
        <v>44276</v>
      </c>
      <c r="I59" s="2" t="s">
        <v>3962</v>
      </c>
      <c r="J59" s="2" t="s">
        <v>609</v>
      </c>
      <c r="K59" s="2" t="s">
        <v>38</v>
      </c>
      <c r="L59" s="2" t="s">
        <v>585</v>
      </c>
      <c r="M59" s="2" t="s">
        <v>3963</v>
      </c>
      <c r="N59" s="2" t="s">
        <v>1</v>
      </c>
      <c r="O59" s="2" t="s">
        <v>609</v>
      </c>
      <c r="P59" s="2" t="s">
        <v>150</v>
      </c>
      <c r="Q59" s="2" t="s">
        <v>256</v>
      </c>
      <c r="R59" s="2" t="s">
        <v>3354</v>
      </c>
      <c r="S59" s="2" t="s">
        <v>151</v>
      </c>
      <c r="T59" s="2">
        <v>303348</v>
      </c>
      <c r="U59" s="2" t="s">
        <v>152</v>
      </c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x14ac:dyDescent="0.25">
      <c r="A60" s="2" t="s">
        <v>29</v>
      </c>
      <c r="B60" s="2" t="b">
        <v>0</v>
      </c>
      <c r="C60" s="2" t="s">
        <v>3887</v>
      </c>
      <c r="D60" s="2" t="s">
        <v>3888</v>
      </c>
      <c r="E60" s="2" t="s">
        <v>3889</v>
      </c>
      <c r="F60" s="1">
        <v>44276</v>
      </c>
      <c r="G60" s="1">
        <v>0.14444444444444443</v>
      </c>
      <c r="H60" s="2">
        <v>44276</v>
      </c>
      <c r="I60" s="2" t="s">
        <v>3962</v>
      </c>
      <c r="J60" s="2" t="s">
        <v>3243</v>
      </c>
      <c r="K60" s="2" t="s">
        <v>24</v>
      </c>
      <c r="L60" s="2" t="s">
        <v>585</v>
      </c>
      <c r="M60" s="2" t="s">
        <v>3970</v>
      </c>
      <c r="N60" s="2" t="s">
        <v>1</v>
      </c>
      <c r="O60" s="2" t="s">
        <v>3243</v>
      </c>
      <c r="P60" s="2" t="s">
        <v>150</v>
      </c>
      <c r="Q60" s="2" t="s">
        <v>256</v>
      </c>
      <c r="R60" s="2" t="s">
        <v>3354</v>
      </c>
      <c r="S60" s="2" t="s">
        <v>151</v>
      </c>
      <c r="T60" s="2">
        <v>303348</v>
      </c>
      <c r="U60" s="2" t="s">
        <v>152</v>
      </c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x14ac:dyDescent="0.25">
      <c r="A61" s="2" t="s">
        <v>29</v>
      </c>
      <c r="B61" s="2" t="b">
        <v>0</v>
      </c>
      <c r="C61" s="2" t="s">
        <v>3887</v>
      </c>
      <c r="D61" s="2" t="s">
        <v>3888</v>
      </c>
      <c r="E61" s="2" t="s">
        <v>3889</v>
      </c>
      <c r="F61" s="1">
        <v>44277</v>
      </c>
      <c r="G61" s="1">
        <v>3.2638888888888891E-2</v>
      </c>
      <c r="H61" s="2">
        <v>44277</v>
      </c>
      <c r="I61" s="2" t="s">
        <v>3956</v>
      </c>
      <c r="J61" s="2" t="s">
        <v>609</v>
      </c>
      <c r="K61" s="2" t="s">
        <v>38</v>
      </c>
      <c r="L61" s="2" t="s">
        <v>585</v>
      </c>
      <c r="M61" s="2" t="s">
        <v>3957</v>
      </c>
      <c r="N61" s="2" t="s">
        <v>1</v>
      </c>
      <c r="O61" s="2" t="s">
        <v>609</v>
      </c>
      <c r="P61" s="2" t="s">
        <v>206</v>
      </c>
      <c r="Q61" s="2" t="s">
        <v>3180</v>
      </c>
      <c r="R61" s="2" t="s">
        <v>3356</v>
      </c>
      <c r="S61" s="2" t="s">
        <v>207</v>
      </c>
      <c r="T61" s="2">
        <v>1270208</v>
      </c>
      <c r="U61" s="2" t="s">
        <v>152</v>
      </c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x14ac:dyDescent="0.25">
      <c r="A62" s="2" t="s">
        <v>29</v>
      </c>
      <c r="B62" s="2" t="b">
        <v>0</v>
      </c>
      <c r="C62" s="2" t="s">
        <v>3887</v>
      </c>
      <c r="D62" s="2" t="s">
        <v>3888</v>
      </c>
      <c r="E62" s="2" t="s">
        <v>3889</v>
      </c>
      <c r="F62" s="1">
        <v>44276</v>
      </c>
      <c r="G62" s="1">
        <v>0.88263888888888875</v>
      </c>
      <c r="H62" s="2">
        <v>44277</v>
      </c>
      <c r="I62" s="2" t="s">
        <v>3956</v>
      </c>
      <c r="J62" s="2" t="s">
        <v>3959</v>
      </c>
      <c r="K62" s="2" t="s">
        <v>24</v>
      </c>
      <c r="L62" s="2" t="s">
        <v>585</v>
      </c>
      <c r="M62" s="2" t="s">
        <v>3960</v>
      </c>
      <c r="N62" s="2" t="s">
        <v>1</v>
      </c>
      <c r="O62" s="2" t="s">
        <v>3959</v>
      </c>
      <c r="P62" s="2" t="s">
        <v>206</v>
      </c>
      <c r="Q62" s="2" t="s">
        <v>3180</v>
      </c>
      <c r="R62" s="2" t="s">
        <v>3356</v>
      </c>
      <c r="S62" s="2" t="s">
        <v>207</v>
      </c>
      <c r="T62" s="2">
        <v>1270208</v>
      </c>
      <c r="U62" s="2" t="s">
        <v>152</v>
      </c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x14ac:dyDescent="0.25">
      <c r="A63" s="2" t="s">
        <v>29</v>
      </c>
      <c r="B63" s="2" t="b">
        <v>0</v>
      </c>
      <c r="C63" s="2" t="s">
        <v>3887</v>
      </c>
      <c r="D63" s="2" t="s">
        <v>3888</v>
      </c>
      <c r="E63" s="2" t="s">
        <v>3889</v>
      </c>
      <c r="F63" s="1">
        <v>44276</v>
      </c>
      <c r="G63" s="1">
        <v>0.47361111111111109</v>
      </c>
      <c r="H63" s="2">
        <v>44276</v>
      </c>
      <c r="I63" s="2" t="s">
        <v>3961</v>
      </c>
      <c r="J63" s="2" t="s">
        <v>604</v>
      </c>
      <c r="K63" s="2" t="s">
        <v>24</v>
      </c>
      <c r="L63" s="2" t="s">
        <v>585</v>
      </c>
      <c r="M63" s="2" t="s">
        <v>3960</v>
      </c>
      <c r="N63" s="2" t="s">
        <v>1</v>
      </c>
      <c r="O63" s="2" t="s">
        <v>604</v>
      </c>
      <c r="P63" s="2" t="s">
        <v>206</v>
      </c>
      <c r="Q63" s="2" t="s">
        <v>3180</v>
      </c>
      <c r="R63" s="2" t="s">
        <v>3356</v>
      </c>
      <c r="S63" s="2" t="s">
        <v>207</v>
      </c>
      <c r="T63" s="2">
        <v>1270208</v>
      </c>
      <c r="U63" s="2" t="s">
        <v>152</v>
      </c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1:35" x14ac:dyDescent="0.25">
      <c r="A64" s="2" t="s">
        <v>29</v>
      </c>
      <c r="B64" s="2" t="b">
        <v>0</v>
      </c>
      <c r="C64" s="2" t="s">
        <v>3887</v>
      </c>
      <c r="D64" s="2" t="s">
        <v>3888</v>
      </c>
      <c r="E64" s="2" t="s">
        <v>3889</v>
      </c>
      <c r="F64" s="1">
        <v>44285</v>
      </c>
      <c r="G64" s="1">
        <v>0.23055555555555557</v>
      </c>
      <c r="H64" s="2">
        <v>44285</v>
      </c>
      <c r="I64" s="2" t="s">
        <v>2616</v>
      </c>
      <c r="J64" s="2" t="s">
        <v>604</v>
      </c>
      <c r="K64" s="2" t="s">
        <v>38</v>
      </c>
      <c r="L64" s="2" t="s">
        <v>585</v>
      </c>
      <c r="M64" s="2" t="s">
        <v>3917</v>
      </c>
      <c r="N64" s="2" t="s">
        <v>1</v>
      </c>
      <c r="O64" s="2" t="s">
        <v>604</v>
      </c>
      <c r="P64" s="2" t="s">
        <v>388</v>
      </c>
      <c r="Q64" s="2" t="s">
        <v>3368</v>
      </c>
      <c r="R64" s="2" t="s">
        <v>3369</v>
      </c>
      <c r="S64" s="2" t="s">
        <v>218</v>
      </c>
      <c r="T64" s="2">
        <v>1270274</v>
      </c>
      <c r="U64" s="2" t="s">
        <v>219</v>
      </c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1:35" x14ac:dyDescent="0.25">
      <c r="A65" s="2" t="s">
        <v>29</v>
      </c>
      <c r="B65" s="2" t="b">
        <v>0</v>
      </c>
      <c r="C65" s="2" t="s">
        <v>3887</v>
      </c>
      <c r="D65" s="2" t="s">
        <v>3888</v>
      </c>
      <c r="E65" s="2" t="s">
        <v>3889</v>
      </c>
      <c r="F65" s="1">
        <v>44285</v>
      </c>
      <c r="G65" s="1">
        <v>6.458333333333334E-2</v>
      </c>
      <c r="H65" s="2">
        <v>44285</v>
      </c>
      <c r="I65" s="2" t="s">
        <v>2620</v>
      </c>
      <c r="J65" s="2" t="s">
        <v>601</v>
      </c>
      <c r="K65" s="2" t="s">
        <v>24</v>
      </c>
      <c r="L65" s="2" t="s">
        <v>585</v>
      </c>
      <c r="M65" s="2" t="s">
        <v>3918</v>
      </c>
      <c r="N65" s="2" t="s">
        <v>1</v>
      </c>
      <c r="O65" s="2" t="s">
        <v>601</v>
      </c>
      <c r="P65" s="2" t="s">
        <v>388</v>
      </c>
      <c r="Q65" s="2" t="s">
        <v>3368</v>
      </c>
      <c r="R65" s="2" t="s">
        <v>3369</v>
      </c>
      <c r="S65" s="2" t="s">
        <v>218</v>
      </c>
      <c r="T65" s="2">
        <v>1270274</v>
      </c>
      <c r="U65" s="2" t="s">
        <v>219</v>
      </c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1:35" x14ac:dyDescent="0.25">
      <c r="A66" s="2" t="s">
        <v>29</v>
      </c>
      <c r="B66" s="2" t="b">
        <v>0</v>
      </c>
      <c r="C66" s="2" t="s">
        <v>3887</v>
      </c>
      <c r="D66" s="2" t="s">
        <v>3888</v>
      </c>
      <c r="E66" s="2" t="s">
        <v>3889</v>
      </c>
      <c r="F66" s="1">
        <v>44284</v>
      </c>
      <c r="G66" s="1">
        <v>0.40972222222222227</v>
      </c>
      <c r="H66" s="2">
        <v>44284</v>
      </c>
      <c r="I66" s="2" t="s">
        <v>3235</v>
      </c>
      <c r="J66" s="2" t="s">
        <v>604</v>
      </c>
      <c r="K66" s="2" t="s">
        <v>24</v>
      </c>
      <c r="L66" s="2" t="s">
        <v>585</v>
      </c>
      <c r="M66" s="2" t="s">
        <v>3918</v>
      </c>
      <c r="N66" s="2" t="s">
        <v>1</v>
      </c>
      <c r="O66" s="2" t="s">
        <v>604</v>
      </c>
      <c r="P66" s="2" t="s">
        <v>388</v>
      </c>
      <c r="Q66" s="2" t="s">
        <v>3368</v>
      </c>
      <c r="R66" s="2" t="s">
        <v>3369</v>
      </c>
      <c r="S66" s="2" t="s">
        <v>218</v>
      </c>
      <c r="T66" s="2">
        <v>1270274</v>
      </c>
      <c r="U66" s="2" t="s">
        <v>219</v>
      </c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67" spans="1:35" x14ac:dyDescent="0.25">
      <c r="A67" s="2" t="s">
        <v>29</v>
      </c>
      <c r="B67" s="2" t="b">
        <v>0</v>
      </c>
      <c r="C67" s="2" t="s">
        <v>3887</v>
      </c>
      <c r="D67" s="2" t="s">
        <v>3888</v>
      </c>
      <c r="E67" s="2" t="s">
        <v>3889</v>
      </c>
      <c r="F67" s="1">
        <v>44280</v>
      </c>
      <c r="G67" s="1">
        <v>0.36736111111111114</v>
      </c>
      <c r="H67" s="2">
        <v>44280</v>
      </c>
      <c r="I67" s="2" t="s">
        <v>3930</v>
      </c>
      <c r="J67" s="2" t="s">
        <v>590</v>
      </c>
      <c r="K67" s="2" t="s">
        <v>24</v>
      </c>
      <c r="L67" s="2" t="s">
        <v>585</v>
      </c>
      <c r="M67" s="2" t="s">
        <v>3931</v>
      </c>
      <c r="N67" s="2" t="s">
        <v>1</v>
      </c>
      <c r="O67" s="2" t="s">
        <v>590</v>
      </c>
      <c r="P67" s="2" t="s">
        <v>326</v>
      </c>
      <c r="Q67" s="2" t="s">
        <v>327</v>
      </c>
      <c r="R67" s="2" t="s">
        <v>3393</v>
      </c>
      <c r="S67" s="2" t="s">
        <v>132</v>
      </c>
      <c r="T67" s="2">
        <v>1270390</v>
      </c>
      <c r="U67" s="2" t="s">
        <v>328</v>
      </c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</row>
    <row r="68" spans="1:35" x14ac:dyDescent="0.25">
      <c r="A68" s="2" t="s">
        <v>15</v>
      </c>
      <c r="B68" s="2" t="b">
        <v>0</v>
      </c>
      <c r="C68" s="2" t="s">
        <v>3887</v>
      </c>
      <c r="D68" s="2" t="s">
        <v>3888</v>
      </c>
      <c r="E68" s="2" t="s">
        <v>3889</v>
      </c>
      <c r="F68" s="1">
        <v>44288</v>
      </c>
      <c r="G68" s="1">
        <v>0.2951388888888889</v>
      </c>
      <c r="H68" s="2">
        <v>44288</v>
      </c>
      <c r="I68" s="2" t="s">
        <v>616</v>
      </c>
      <c r="J68" s="2" t="s">
        <v>3902</v>
      </c>
      <c r="K68" s="2" t="s">
        <v>24</v>
      </c>
      <c r="L68" s="2" t="s">
        <v>585</v>
      </c>
      <c r="M68" s="2" t="s">
        <v>3903</v>
      </c>
      <c r="N68" s="2" t="s">
        <v>1</v>
      </c>
      <c r="O68" s="2" t="s">
        <v>3902</v>
      </c>
      <c r="P68" s="2" t="s">
        <v>390</v>
      </c>
      <c r="Q68" s="2" t="s">
        <v>3429</v>
      </c>
      <c r="R68" s="2" t="s">
        <v>3430</v>
      </c>
      <c r="S68" s="2" t="s">
        <v>2719</v>
      </c>
      <c r="T68" s="2">
        <v>243912</v>
      </c>
      <c r="U68" s="2" t="s">
        <v>296</v>
      </c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</row>
    <row r="69" spans="1:35" x14ac:dyDescent="0.25">
      <c r="A69" s="2" t="s">
        <v>15</v>
      </c>
      <c r="B69" s="2" t="b">
        <v>0</v>
      </c>
      <c r="C69" s="2" t="s">
        <v>3887</v>
      </c>
      <c r="D69" s="2" t="s">
        <v>3888</v>
      </c>
      <c r="E69" s="2" t="s">
        <v>3889</v>
      </c>
      <c r="F69" s="1">
        <v>44285</v>
      </c>
      <c r="G69" s="1">
        <v>0.40486111111111112</v>
      </c>
      <c r="H69" s="2">
        <v>44285</v>
      </c>
      <c r="I69" s="2" t="s">
        <v>2676</v>
      </c>
      <c r="J69" s="2" t="s">
        <v>586</v>
      </c>
      <c r="K69" s="2" t="s">
        <v>24</v>
      </c>
      <c r="L69" s="2" t="s">
        <v>585</v>
      </c>
      <c r="M69" s="2" t="s">
        <v>3903</v>
      </c>
      <c r="N69" s="2" t="s">
        <v>1</v>
      </c>
      <c r="O69" s="2" t="s">
        <v>586</v>
      </c>
      <c r="P69" s="2" t="s">
        <v>390</v>
      </c>
      <c r="Q69" s="2" t="s">
        <v>3429</v>
      </c>
      <c r="R69" s="2" t="s">
        <v>3430</v>
      </c>
      <c r="S69" s="2" t="s">
        <v>2719</v>
      </c>
      <c r="T69" s="2">
        <v>243912</v>
      </c>
      <c r="U69" s="2" t="s">
        <v>296</v>
      </c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</row>
    <row r="70" spans="1:35" x14ac:dyDescent="0.25">
      <c r="A70" s="2" t="s">
        <v>29</v>
      </c>
      <c r="B70" s="2" t="b">
        <v>0</v>
      </c>
      <c r="C70" s="2" t="s">
        <v>3887</v>
      </c>
      <c r="D70" s="2" t="s">
        <v>3888</v>
      </c>
      <c r="E70" s="2" t="s">
        <v>3889</v>
      </c>
      <c r="F70" s="1">
        <v>44284</v>
      </c>
      <c r="G70" s="1">
        <v>0.99166666666666681</v>
      </c>
      <c r="H70" s="2">
        <v>44285</v>
      </c>
      <c r="I70" s="2" t="s">
        <v>3919</v>
      </c>
      <c r="J70" s="2" t="s">
        <v>586</v>
      </c>
      <c r="K70" s="2" t="s">
        <v>24</v>
      </c>
      <c r="L70" s="2" t="s">
        <v>585</v>
      </c>
      <c r="M70" s="2" t="s">
        <v>3920</v>
      </c>
      <c r="N70" s="2" t="s">
        <v>1</v>
      </c>
      <c r="O70" s="2" t="s">
        <v>586</v>
      </c>
      <c r="P70" s="2" t="s">
        <v>315</v>
      </c>
      <c r="Q70" s="2" t="s">
        <v>3435</v>
      </c>
      <c r="R70" s="2" t="s">
        <v>3436</v>
      </c>
      <c r="S70" s="2" t="s">
        <v>316</v>
      </c>
      <c r="T70" s="2">
        <v>47434</v>
      </c>
      <c r="U70" s="2" t="s">
        <v>296</v>
      </c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</row>
    <row r="71" spans="1:35" x14ac:dyDescent="0.25">
      <c r="A71" s="2" t="s">
        <v>29</v>
      </c>
      <c r="B71" s="2" t="b">
        <v>0</v>
      </c>
      <c r="C71" s="2" t="s">
        <v>3887</v>
      </c>
      <c r="D71" s="2" t="s">
        <v>3888</v>
      </c>
      <c r="E71" s="2" t="s">
        <v>3889</v>
      </c>
      <c r="F71" s="1">
        <v>44284</v>
      </c>
      <c r="G71" s="1">
        <v>0.40763888888888888</v>
      </c>
      <c r="H71" s="2">
        <v>44284</v>
      </c>
      <c r="I71" s="2" t="s">
        <v>615</v>
      </c>
      <c r="J71" s="2" t="s">
        <v>586</v>
      </c>
      <c r="K71" s="2" t="s">
        <v>38</v>
      </c>
      <c r="L71" s="2" t="s">
        <v>585</v>
      </c>
      <c r="M71" s="2" t="s">
        <v>3924</v>
      </c>
      <c r="N71" s="2" t="s">
        <v>1</v>
      </c>
      <c r="O71" s="2" t="s">
        <v>586</v>
      </c>
      <c r="P71" s="2" t="s">
        <v>315</v>
      </c>
      <c r="Q71" s="2" t="s">
        <v>3435</v>
      </c>
      <c r="R71" s="2" t="s">
        <v>3436</v>
      </c>
      <c r="S71" s="2" t="s">
        <v>316</v>
      </c>
      <c r="T71" s="2">
        <v>47434</v>
      </c>
      <c r="U71" s="2" t="s">
        <v>296</v>
      </c>
    </row>
    <row r="72" spans="1:35" x14ac:dyDescent="0.25">
      <c r="A72" s="2" t="s">
        <v>29</v>
      </c>
      <c r="B72" s="2" t="b">
        <v>0</v>
      </c>
      <c r="C72" s="2" t="s">
        <v>3887</v>
      </c>
      <c r="D72" s="2" t="s">
        <v>3888</v>
      </c>
      <c r="E72" s="2" t="s">
        <v>3889</v>
      </c>
      <c r="F72" s="1">
        <v>44284</v>
      </c>
      <c r="G72" s="1">
        <v>0.10208333333333332</v>
      </c>
      <c r="H72" s="2">
        <v>44284</v>
      </c>
      <c r="I72" s="2" t="s">
        <v>3244</v>
      </c>
      <c r="J72" s="2" t="s">
        <v>3926</v>
      </c>
      <c r="K72" s="2" t="s">
        <v>24</v>
      </c>
      <c r="L72" s="2" t="s">
        <v>585</v>
      </c>
      <c r="M72" s="2" t="s">
        <v>3920</v>
      </c>
      <c r="N72" s="2" t="s">
        <v>1</v>
      </c>
      <c r="O72" s="2" t="s">
        <v>3926</v>
      </c>
      <c r="P72" s="2" t="s">
        <v>315</v>
      </c>
      <c r="Q72" s="2" t="s">
        <v>3435</v>
      </c>
      <c r="R72" s="2" t="s">
        <v>3436</v>
      </c>
      <c r="S72" s="2" t="s">
        <v>316</v>
      </c>
      <c r="T72" s="2">
        <v>47434</v>
      </c>
      <c r="U72" s="2" t="s">
        <v>296</v>
      </c>
    </row>
    <row r="73" spans="1:35" x14ac:dyDescent="0.25">
      <c r="A73" s="2" t="s">
        <v>29</v>
      </c>
      <c r="B73" s="2" t="b">
        <v>0</v>
      </c>
      <c r="C73" s="2" t="s">
        <v>3887</v>
      </c>
      <c r="D73" s="2" t="s">
        <v>3888</v>
      </c>
      <c r="E73" s="2" t="s">
        <v>3889</v>
      </c>
      <c r="F73" s="1">
        <v>44284</v>
      </c>
      <c r="G73" s="1">
        <v>0.98402777777777772</v>
      </c>
      <c r="H73" s="2">
        <v>44285</v>
      </c>
      <c r="I73" s="2" t="s">
        <v>3921</v>
      </c>
      <c r="J73" s="2" t="s">
        <v>586</v>
      </c>
      <c r="K73" s="2" t="s">
        <v>24</v>
      </c>
      <c r="L73" s="2" t="s">
        <v>585</v>
      </c>
      <c r="M73" s="2" t="s">
        <v>3922</v>
      </c>
      <c r="N73" s="2" t="s">
        <v>1</v>
      </c>
      <c r="O73" s="2" t="s">
        <v>586</v>
      </c>
      <c r="P73" s="2" t="s">
        <v>315</v>
      </c>
      <c r="Q73" s="2" t="s">
        <v>3440</v>
      </c>
      <c r="R73" s="2" t="s">
        <v>3441</v>
      </c>
      <c r="S73" s="2" t="s">
        <v>316</v>
      </c>
      <c r="T73" s="2">
        <v>45161</v>
      </c>
      <c r="U73" s="2" t="s">
        <v>296</v>
      </c>
    </row>
    <row r="74" spans="1:35" x14ac:dyDescent="0.25">
      <c r="A74" s="2" t="s">
        <v>29</v>
      </c>
      <c r="B74" s="2" t="b">
        <v>0</v>
      </c>
      <c r="C74" s="2" t="s">
        <v>3887</v>
      </c>
      <c r="D74" s="2" t="s">
        <v>3888</v>
      </c>
      <c r="E74" s="2" t="s">
        <v>3889</v>
      </c>
      <c r="F74" s="1">
        <v>44284</v>
      </c>
      <c r="G74" s="1">
        <v>0.40833333333333338</v>
      </c>
      <c r="H74" s="2">
        <v>44284</v>
      </c>
      <c r="I74" s="2" t="s">
        <v>2646</v>
      </c>
      <c r="J74" s="2" t="s">
        <v>586</v>
      </c>
      <c r="K74" s="2" t="s">
        <v>38</v>
      </c>
      <c r="L74" s="2" t="s">
        <v>585</v>
      </c>
      <c r="M74" s="2" t="s">
        <v>3923</v>
      </c>
      <c r="N74" s="2" t="s">
        <v>1</v>
      </c>
      <c r="O74" s="2" t="s">
        <v>586</v>
      </c>
      <c r="P74" s="2" t="s">
        <v>315</v>
      </c>
      <c r="Q74" s="2" t="s">
        <v>3440</v>
      </c>
      <c r="R74" s="2" t="s">
        <v>3441</v>
      </c>
      <c r="S74" s="2" t="s">
        <v>316</v>
      </c>
      <c r="T74" s="2">
        <v>45161</v>
      </c>
      <c r="U74" s="2" t="s">
        <v>296</v>
      </c>
    </row>
    <row r="75" spans="1:35" x14ac:dyDescent="0.25">
      <c r="A75" s="2" t="s">
        <v>29</v>
      </c>
      <c r="B75" s="2" t="b">
        <v>0</v>
      </c>
      <c r="C75" s="2" t="s">
        <v>3887</v>
      </c>
      <c r="D75" s="2" t="s">
        <v>3888</v>
      </c>
      <c r="E75" s="2" t="s">
        <v>3889</v>
      </c>
      <c r="F75" s="1">
        <v>44284</v>
      </c>
      <c r="G75" s="1">
        <v>0.10625</v>
      </c>
      <c r="H75" s="2">
        <v>44284</v>
      </c>
      <c r="I75" s="2" t="s">
        <v>3927</v>
      </c>
      <c r="J75" s="2" t="s">
        <v>3926</v>
      </c>
      <c r="K75" s="2" t="s">
        <v>24</v>
      </c>
      <c r="L75" s="2" t="s">
        <v>585</v>
      </c>
      <c r="M75" s="2" t="s">
        <v>3922</v>
      </c>
      <c r="N75" s="2" t="s">
        <v>1</v>
      </c>
      <c r="O75" s="2" t="s">
        <v>3926</v>
      </c>
      <c r="P75" s="2" t="s">
        <v>315</v>
      </c>
      <c r="Q75" s="2" t="s">
        <v>3440</v>
      </c>
      <c r="R75" s="2" t="s">
        <v>3441</v>
      </c>
      <c r="S75" s="2" t="s">
        <v>316</v>
      </c>
      <c r="T75" s="2">
        <v>45161</v>
      </c>
      <c r="U75" s="2" t="s">
        <v>296</v>
      </c>
    </row>
    <row r="76" spans="1:35" x14ac:dyDescent="0.25">
      <c r="A76" s="2" t="s">
        <v>15</v>
      </c>
      <c r="B76" s="2" t="b">
        <v>0</v>
      </c>
      <c r="C76" s="2" t="s">
        <v>3887</v>
      </c>
      <c r="D76" s="2" t="s">
        <v>3888</v>
      </c>
      <c r="E76" s="2" t="s">
        <v>3889</v>
      </c>
      <c r="F76" s="1">
        <v>44291</v>
      </c>
      <c r="G76" s="1">
        <v>0.2013888888888889</v>
      </c>
      <c r="H76" s="2">
        <v>44291</v>
      </c>
      <c r="I76" s="2" t="s">
        <v>3235</v>
      </c>
      <c r="J76" s="2" t="s">
        <v>587</v>
      </c>
      <c r="K76" s="2" t="s">
        <v>24</v>
      </c>
      <c r="L76" s="2" t="s">
        <v>585</v>
      </c>
      <c r="M76" s="2" t="s">
        <v>3899</v>
      </c>
      <c r="N76" s="2" t="s">
        <v>1</v>
      </c>
      <c r="O76" s="2" t="s">
        <v>587</v>
      </c>
      <c r="P76" s="2" t="s">
        <v>223</v>
      </c>
      <c r="Q76" s="2" t="s">
        <v>301</v>
      </c>
      <c r="R76" s="2" t="s">
        <v>3456</v>
      </c>
      <c r="S76" s="2" t="s">
        <v>225</v>
      </c>
      <c r="T76" s="2">
        <v>292026</v>
      </c>
      <c r="U76" s="2" t="s">
        <v>226</v>
      </c>
    </row>
    <row r="77" spans="1:35" x14ac:dyDescent="0.25">
      <c r="A77" s="2" t="s">
        <v>15</v>
      </c>
      <c r="B77" s="2" t="b">
        <v>0</v>
      </c>
      <c r="C77" s="2" t="s">
        <v>3887</v>
      </c>
      <c r="D77" s="2" t="s">
        <v>3888</v>
      </c>
      <c r="E77" s="2" t="s">
        <v>3889</v>
      </c>
      <c r="F77" s="1">
        <v>44291</v>
      </c>
      <c r="G77" s="1">
        <v>0.20208333333333336</v>
      </c>
      <c r="H77" s="2">
        <v>44291</v>
      </c>
      <c r="I77" s="2" t="s">
        <v>3897</v>
      </c>
      <c r="J77" s="2" t="s">
        <v>587</v>
      </c>
      <c r="K77" s="2" t="s">
        <v>24</v>
      </c>
      <c r="L77" s="2" t="s">
        <v>585</v>
      </c>
      <c r="M77" s="2" t="s">
        <v>3898</v>
      </c>
      <c r="N77" s="2" t="s">
        <v>1</v>
      </c>
      <c r="O77" s="2" t="s">
        <v>587</v>
      </c>
      <c r="P77" s="2" t="s">
        <v>223</v>
      </c>
      <c r="Q77" s="2" t="s">
        <v>300</v>
      </c>
      <c r="R77" s="2" t="s">
        <v>3458</v>
      </c>
      <c r="S77" s="2" t="s">
        <v>225</v>
      </c>
      <c r="T77" s="2">
        <v>292028</v>
      </c>
      <c r="U77" s="2" t="s">
        <v>226</v>
      </c>
    </row>
    <row r="78" spans="1:35" x14ac:dyDescent="0.25">
      <c r="A78" s="2" t="s">
        <v>29</v>
      </c>
      <c r="B78" s="2" t="b">
        <v>0</v>
      </c>
      <c r="C78" s="2" t="s">
        <v>3887</v>
      </c>
      <c r="D78" s="2" t="s">
        <v>3888</v>
      </c>
      <c r="E78" s="2" t="s">
        <v>3889</v>
      </c>
      <c r="F78" s="1">
        <v>44280</v>
      </c>
      <c r="G78" s="1">
        <v>0.31041666666666667</v>
      </c>
      <c r="H78" s="2">
        <v>44280</v>
      </c>
      <c r="I78" s="2" t="s">
        <v>3934</v>
      </c>
      <c r="J78" s="2" t="s">
        <v>3935</v>
      </c>
      <c r="K78" s="2" t="s">
        <v>24</v>
      </c>
      <c r="L78" s="2" t="s">
        <v>585</v>
      </c>
      <c r="M78" s="2" t="s">
        <v>3936</v>
      </c>
      <c r="N78" s="2" t="s">
        <v>1</v>
      </c>
      <c r="O78" s="2" t="s">
        <v>3935</v>
      </c>
      <c r="P78" s="2" t="s">
        <v>326</v>
      </c>
      <c r="Q78" s="2" t="s">
        <v>397</v>
      </c>
      <c r="R78" s="2" t="s">
        <v>3470</v>
      </c>
      <c r="S78" s="2" t="s">
        <v>132</v>
      </c>
      <c r="T78" s="2">
        <v>1270591</v>
      </c>
      <c r="U78" s="2" t="s">
        <v>328</v>
      </c>
    </row>
    <row r="79" spans="1:35" x14ac:dyDescent="0.25">
      <c r="A79" s="2" t="s">
        <v>29</v>
      </c>
      <c r="B79" s="2" t="b">
        <v>0</v>
      </c>
      <c r="C79" s="2" t="s">
        <v>3887</v>
      </c>
      <c r="D79" s="2" t="s">
        <v>3888</v>
      </c>
      <c r="E79" s="2" t="s">
        <v>3889</v>
      </c>
      <c r="F79" s="1">
        <v>44288</v>
      </c>
      <c r="G79" s="1">
        <v>0.3743055555555555</v>
      </c>
      <c r="H79" s="2">
        <v>44288</v>
      </c>
      <c r="I79" s="2" t="s">
        <v>3913</v>
      </c>
      <c r="J79" s="2" t="s">
        <v>586</v>
      </c>
      <c r="K79" s="2" t="s">
        <v>24</v>
      </c>
      <c r="L79" s="2" t="s">
        <v>585</v>
      </c>
      <c r="M79" s="2" t="s">
        <v>3914</v>
      </c>
      <c r="N79" s="2" t="s">
        <v>1</v>
      </c>
      <c r="O79" s="2" t="s">
        <v>586</v>
      </c>
      <c r="P79" s="2" t="s">
        <v>294</v>
      </c>
      <c r="Q79" s="2" t="s">
        <v>136</v>
      </c>
      <c r="R79" s="2" t="s">
        <v>3481</v>
      </c>
      <c r="S79" s="2" t="s">
        <v>295</v>
      </c>
      <c r="T79" s="2">
        <v>1270664</v>
      </c>
      <c r="U79" s="2" t="s">
        <v>296</v>
      </c>
    </row>
    <row r="80" spans="1:35" x14ac:dyDescent="0.25">
      <c r="A80" s="2" t="s">
        <v>29</v>
      </c>
      <c r="B80" s="2" t="b">
        <v>0</v>
      </c>
      <c r="C80" s="2" t="s">
        <v>3887</v>
      </c>
      <c r="D80" s="2" t="s">
        <v>3888</v>
      </c>
      <c r="E80" s="2" t="s">
        <v>3889</v>
      </c>
      <c r="F80" s="1">
        <v>44288</v>
      </c>
      <c r="G80" s="1">
        <v>0.37361111111111112</v>
      </c>
      <c r="H80" s="2">
        <v>44288</v>
      </c>
      <c r="I80" s="2" t="s">
        <v>3915</v>
      </c>
      <c r="J80" s="2" t="s">
        <v>586</v>
      </c>
      <c r="K80" s="2" t="s">
        <v>38</v>
      </c>
      <c r="L80" s="2" t="s">
        <v>585</v>
      </c>
      <c r="M80" s="2" t="s">
        <v>3916</v>
      </c>
      <c r="N80" s="2" t="s">
        <v>1</v>
      </c>
      <c r="O80" s="2" t="s">
        <v>586</v>
      </c>
      <c r="P80" s="2" t="s">
        <v>294</v>
      </c>
      <c r="Q80" s="2" t="s">
        <v>136</v>
      </c>
      <c r="R80" s="2" t="s">
        <v>3481</v>
      </c>
      <c r="S80" s="2" t="s">
        <v>295</v>
      </c>
      <c r="T80" s="2">
        <v>1270664</v>
      </c>
      <c r="U80" s="2" t="s">
        <v>296</v>
      </c>
    </row>
    <row r="81" spans="1:21" x14ac:dyDescent="0.25">
      <c r="A81" s="2" t="s">
        <v>29</v>
      </c>
      <c r="B81" s="2" t="b">
        <v>0</v>
      </c>
      <c r="C81" s="2" t="s">
        <v>3887</v>
      </c>
      <c r="D81" s="2" t="s">
        <v>3888</v>
      </c>
      <c r="E81" s="2" t="s">
        <v>3889</v>
      </c>
      <c r="F81" s="1">
        <v>44284</v>
      </c>
      <c r="G81" s="1">
        <v>9.5138888888888884E-2</v>
      </c>
      <c r="H81" s="2">
        <v>44284</v>
      </c>
      <c r="I81" s="2" t="s">
        <v>3929</v>
      </c>
      <c r="J81" s="2" t="s">
        <v>3926</v>
      </c>
      <c r="K81" s="2" t="s">
        <v>24</v>
      </c>
      <c r="L81" s="2" t="s">
        <v>585</v>
      </c>
      <c r="M81" s="2" t="s">
        <v>3914</v>
      </c>
      <c r="N81" s="2" t="s">
        <v>1</v>
      </c>
      <c r="O81" s="2" t="s">
        <v>3926</v>
      </c>
      <c r="P81" s="2" t="s">
        <v>294</v>
      </c>
      <c r="Q81" s="2" t="s">
        <v>136</v>
      </c>
      <c r="R81" s="2" t="s">
        <v>3481</v>
      </c>
      <c r="S81" s="2" t="s">
        <v>295</v>
      </c>
      <c r="T81" s="2">
        <v>1270664</v>
      </c>
      <c r="U81" s="2" t="s">
        <v>296</v>
      </c>
    </row>
    <row r="82" spans="1:21" x14ac:dyDescent="0.25">
      <c r="A82" s="2" t="s">
        <v>29</v>
      </c>
      <c r="B82" s="2" t="b">
        <v>0</v>
      </c>
      <c r="C82" s="2" t="s">
        <v>3887</v>
      </c>
      <c r="D82" s="2" t="s">
        <v>3888</v>
      </c>
      <c r="E82" s="2" t="s">
        <v>3889</v>
      </c>
      <c r="F82" s="1">
        <v>44288</v>
      </c>
      <c r="G82" s="1">
        <v>0.3972222222222222</v>
      </c>
      <c r="H82" s="2">
        <v>44288</v>
      </c>
      <c r="I82" s="2" t="s">
        <v>3909</v>
      </c>
      <c r="J82" s="2" t="s">
        <v>586</v>
      </c>
      <c r="K82" s="2" t="s">
        <v>24</v>
      </c>
      <c r="L82" s="2" t="s">
        <v>585</v>
      </c>
      <c r="M82" s="2" t="s">
        <v>3910</v>
      </c>
      <c r="N82" s="2" t="s">
        <v>1</v>
      </c>
      <c r="O82" s="2" t="s">
        <v>586</v>
      </c>
      <c r="P82" s="2" t="s">
        <v>294</v>
      </c>
      <c r="Q82" s="2" t="s">
        <v>136</v>
      </c>
      <c r="R82" s="2" t="s">
        <v>3488</v>
      </c>
      <c r="S82" s="2" t="s">
        <v>295</v>
      </c>
      <c r="T82" s="2">
        <v>1270685</v>
      </c>
      <c r="U82" s="2" t="s">
        <v>296</v>
      </c>
    </row>
    <row r="83" spans="1:21" x14ac:dyDescent="0.25">
      <c r="A83" s="2" t="s">
        <v>29</v>
      </c>
      <c r="B83" s="2" t="b">
        <v>0</v>
      </c>
      <c r="C83" s="2" t="s">
        <v>3887</v>
      </c>
      <c r="D83" s="2" t="s">
        <v>3888</v>
      </c>
      <c r="E83" s="2" t="s">
        <v>3889</v>
      </c>
      <c r="F83" s="1">
        <v>44288</v>
      </c>
      <c r="G83" s="1">
        <v>0.39444444444444438</v>
      </c>
      <c r="H83" s="2">
        <v>44288</v>
      </c>
      <c r="I83" s="2" t="s">
        <v>3911</v>
      </c>
      <c r="J83" s="2" t="s">
        <v>586</v>
      </c>
      <c r="K83" s="2" t="s">
        <v>38</v>
      </c>
      <c r="L83" s="2" t="s">
        <v>585</v>
      </c>
      <c r="M83" s="2" t="s">
        <v>3912</v>
      </c>
      <c r="N83" s="2" t="s">
        <v>1</v>
      </c>
      <c r="O83" s="2" t="s">
        <v>586</v>
      </c>
      <c r="P83" s="2" t="s">
        <v>294</v>
      </c>
      <c r="Q83" s="2" t="s">
        <v>136</v>
      </c>
      <c r="R83" s="2" t="s">
        <v>3488</v>
      </c>
      <c r="S83" s="2" t="s">
        <v>295</v>
      </c>
      <c r="T83" s="2">
        <v>1270685</v>
      </c>
      <c r="U83" s="2" t="s">
        <v>296</v>
      </c>
    </row>
    <row r="84" spans="1:21" x14ac:dyDescent="0.25">
      <c r="A84" s="2" t="s">
        <v>29</v>
      </c>
      <c r="B84" s="2" t="b">
        <v>0</v>
      </c>
      <c r="C84" s="2" t="s">
        <v>3887</v>
      </c>
      <c r="D84" s="2" t="s">
        <v>3888</v>
      </c>
      <c r="E84" s="2" t="s">
        <v>3889</v>
      </c>
      <c r="F84" s="1">
        <v>44284</v>
      </c>
      <c r="G84" s="1">
        <v>9.8611111111111108E-2</v>
      </c>
      <c r="H84" s="2">
        <v>44284</v>
      </c>
      <c r="I84" s="2" t="s">
        <v>3928</v>
      </c>
      <c r="J84" s="2" t="s">
        <v>3926</v>
      </c>
      <c r="K84" s="2" t="s">
        <v>24</v>
      </c>
      <c r="L84" s="2" t="s">
        <v>585</v>
      </c>
      <c r="M84" s="2" t="s">
        <v>3910</v>
      </c>
      <c r="N84" s="2" t="s">
        <v>1</v>
      </c>
      <c r="O84" s="2" t="s">
        <v>3926</v>
      </c>
      <c r="P84" s="2" t="s">
        <v>294</v>
      </c>
      <c r="Q84" s="2" t="s">
        <v>136</v>
      </c>
      <c r="R84" s="2" t="s">
        <v>3488</v>
      </c>
      <c r="S84" s="2" t="s">
        <v>295</v>
      </c>
      <c r="T84" s="2">
        <v>1270685</v>
      </c>
      <c r="U84" s="2" t="s">
        <v>296</v>
      </c>
    </row>
    <row r="85" spans="1:21" x14ac:dyDescent="0.25">
      <c r="A85" s="2" t="s">
        <v>29</v>
      </c>
      <c r="B85" s="2" t="b">
        <v>0</v>
      </c>
      <c r="C85" s="2" t="s">
        <v>3887</v>
      </c>
      <c r="D85" s="2" t="s">
        <v>3888</v>
      </c>
      <c r="E85" s="2" t="s">
        <v>3889</v>
      </c>
      <c r="F85" s="1">
        <v>44288</v>
      </c>
      <c r="G85" s="1">
        <v>0.4069444444444445</v>
      </c>
      <c r="H85" s="2">
        <v>44288</v>
      </c>
      <c r="I85" s="2" t="s">
        <v>2674</v>
      </c>
      <c r="J85" s="2" t="s">
        <v>586</v>
      </c>
      <c r="K85" s="2" t="s">
        <v>24</v>
      </c>
      <c r="L85" s="2" t="s">
        <v>585</v>
      </c>
      <c r="M85" s="2" t="s">
        <v>3907</v>
      </c>
      <c r="N85" s="2" t="s">
        <v>1</v>
      </c>
      <c r="O85" s="2" t="s">
        <v>586</v>
      </c>
      <c r="P85" s="2" t="s">
        <v>294</v>
      </c>
      <c r="Q85" s="2" t="s">
        <v>3505</v>
      </c>
      <c r="R85" s="2" t="s">
        <v>3506</v>
      </c>
      <c r="S85" s="2" t="s">
        <v>295</v>
      </c>
      <c r="T85" s="2">
        <v>200597</v>
      </c>
      <c r="U85" s="2" t="s">
        <v>296</v>
      </c>
    </row>
    <row r="86" spans="1:21" x14ac:dyDescent="0.25">
      <c r="A86" s="2" t="s">
        <v>29</v>
      </c>
      <c r="B86" s="2" t="b">
        <v>0</v>
      </c>
      <c r="C86" s="2" t="s">
        <v>3887</v>
      </c>
      <c r="D86" s="2" t="s">
        <v>3888</v>
      </c>
      <c r="E86" s="2" t="s">
        <v>3889</v>
      </c>
      <c r="F86" s="1">
        <v>44288</v>
      </c>
      <c r="G86" s="1">
        <v>0.4069444444444445</v>
      </c>
      <c r="H86" s="2">
        <v>44288</v>
      </c>
      <c r="I86" s="2" t="s">
        <v>2674</v>
      </c>
      <c r="J86" s="2" t="s">
        <v>586</v>
      </c>
      <c r="K86" s="2" t="s">
        <v>38</v>
      </c>
      <c r="L86" s="2" t="s">
        <v>585</v>
      </c>
      <c r="M86" s="2" t="s">
        <v>3908</v>
      </c>
      <c r="N86" s="2" t="s">
        <v>1</v>
      </c>
      <c r="O86" s="2" t="s">
        <v>586</v>
      </c>
      <c r="P86" s="2" t="s">
        <v>294</v>
      </c>
      <c r="Q86" s="2" t="s">
        <v>3505</v>
      </c>
      <c r="R86" s="2" t="s">
        <v>3506</v>
      </c>
      <c r="S86" s="2" t="s">
        <v>295</v>
      </c>
      <c r="T86" s="2">
        <v>200597</v>
      </c>
      <c r="U86" s="2" t="s">
        <v>296</v>
      </c>
    </row>
    <row r="87" spans="1:21" x14ac:dyDescent="0.25">
      <c r="A87" s="2" t="s">
        <v>29</v>
      </c>
      <c r="B87" s="2" t="b">
        <v>0</v>
      </c>
      <c r="C87" s="2" t="s">
        <v>3887</v>
      </c>
      <c r="D87" s="2" t="s">
        <v>3888</v>
      </c>
      <c r="E87" s="2" t="s">
        <v>3889</v>
      </c>
      <c r="F87" s="1">
        <v>44284</v>
      </c>
      <c r="G87" s="1">
        <v>0.10972222222222222</v>
      </c>
      <c r="H87" s="2">
        <v>44284</v>
      </c>
      <c r="I87" s="2" t="s">
        <v>3925</v>
      </c>
      <c r="J87" s="2" t="s">
        <v>3926</v>
      </c>
      <c r="K87" s="2" t="s">
        <v>24</v>
      </c>
      <c r="L87" s="2" t="s">
        <v>585</v>
      </c>
      <c r="M87" s="2" t="s">
        <v>3907</v>
      </c>
      <c r="N87" s="2" t="s">
        <v>1</v>
      </c>
      <c r="O87" s="2" t="s">
        <v>3926</v>
      </c>
      <c r="P87" s="2" t="s">
        <v>294</v>
      </c>
      <c r="Q87" s="2" t="s">
        <v>3505</v>
      </c>
      <c r="R87" s="2" t="s">
        <v>3506</v>
      </c>
      <c r="S87" s="2" t="s">
        <v>295</v>
      </c>
      <c r="T87" s="2">
        <v>200597</v>
      </c>
      <c r="U87" s="2" t="s">
        <v>296</v>
      </c>
    </row>
    <row r="88" spans="1:21" x14ac:dyDescent="0.25">
      <c r="A88" s="2" t="s">
        <v>15</v>
      </c>
      <c r="B88" s="2" t="b">
        <v>0</v>
      </c>
      <c r="C88" s="2" t="s">
        <v>3887</v>
      </c>
      <c r="D88" s="2" t="s">
        <v>3888</v>
      </c>
      <c r="E88" s="2" t="s">
        <v>3889</v>
      </c>
      <c r="F88" s="1">
        <v>44291</v>
      </c>
      <c r="G88" s="1">
        <v>0.20277777777777775</v>
      </c>
      <c r="H88" s="2">
        <v>44291</v>
      </c>
      <c r="I88" s="2" t="s">
        <v>3895</v>
      </c>
      <c r="J88" s="2" t="s">
        <v>587</v>
      </c>
      <c r="K88" s="2" t="s">
        <v>24</v>
      </c>
      <c r="L88" s="2" t="s">
        <v>585</v>
      </c>
      <c r="M88" s="2" t="s">
        <v>3896</v>
      </c>
      <c r="N88" s="2" t="s">
        <v>1</v>
      </c>
      <c r="O88" s="2" t="s">
        <v>587</v>
      </c>
      <c r="P88" s="2" t="s">
        <v>223</v>
      </c>
      <c r="Q88" s="2" t="s">
        <v>522</v>
      </c>
      <c r="R88" s="2" t="s">
        <v>3521</v>
      </c>
      <c r="S88" s="2" t="s">
        <v>225</v>
      </c>
      <c r="T88" s="2">
        <v>293029</v>
      </c>
      <c r="U88" s="2" t="s">
        <v>226</v>
      </c>
    </row>
    <row r="89" spans="1:21" x14ac:dyDescent="0.25">
      <c r="A89" s="2" t="s">
        <v>15</v>
      </c>
      <c r="B89" s="2" t="b">
        <v>0</v>
      </c>
      <c r="C89" s="2" t="s">
        <v>3887</v>
      </c>
      <c r="D89" s="2" t="s">
        <v>3888</v>
      </c>
      <c r="E89" s="2" t="s">
        <v>3889</v>
      </c>
      <c r="F89" s="1">
        <v>44291</v>
      </c>
      <c r="G89" s="1">
        <v>0.41249999999999998</v>
      </c>
      <c r="H89" s="2">
        <v>44291</v>
      </c>
      <c r="I89" s="2" t="s">
        <v>3893</v>
      </c>
      <c r="J89" s="2" t="s">
        <v>604</v>
      </c>
      <c r="K89" s="2" t="s">
        <v>24</v>
      </c>
      <c r="L89" s="2" t="s">
        <v>585</v>
      </c>
      <c r="M89" s="2" t="s">
        <v>3894</v>
      </c>
      <c r="N89" s="2" t="s">
        <v>1</v>
      </c>
      <c r="O89" s="2" t="s">
        <v>604</v>
      </c>
      <c r="P89" s="2" t="s">
        <v>400</v>
      </c>
      <c r="Q89" s="2" t="s">
        <v>565</v>
      </c>
      <c r="R89" s="2" t="s">
        <v>3629</v>
      </c>
      <c r="S89" s="2" t="s">
        <v>401</v>
      </c>
      <c r="T89" s="2">
        <v>289403</v>
      </c>
      <c r="U89" s="2" t="s">
        <v>142</v>
      </c>
    </row>
    <row r="90" spans="1:21" x14ac:dyDescent="0.25">
      <c r="A90" s="2" t="s">
        <v>15</v>
      </c>
      <c r="B90" s="2" t="b">
        <v>0</v>
      </c>
      <c r="C90" s="2" t="s">
        <v>3887</v>
      </c>
      <c r="D90" s="2" t="s">
        <v>3888</v>
      </c>
      <c r="E90" s="2" t="s">
        <v>3889</v>
      </c>
      <c r="F90" s="1">
        <v>44288</v>
      </c>
      <c r="G90" s="1">
        <v>0.36458333333333326</v>
      </c>
      <c r="H90" s="2">
        <v>44288</v>
      </c>
      <c r="I90" s="2" t="s">
        <v>3900</v>
      </c>
      <c r="J90" s="2" t="s">
        <v>586</v>
      </c>
      <c r="K90" s="2" t="s">
        <v>24</v>
      </c>
      <c r="L90" s="2" t="s">
        <v>585</v>
      </c>
      <c r="M90" s="2" t="s">
        <v>3901</v>
      </c>
      <c r="N90" s="2" t="s">
        <v>1</v>
      </c>
      <c r="O90" s="2" t="s">
        <v>586</v>
      </c>
      <c r="P90" s="2" t="s">
        <v>315</v>
      </c>
      <c r="Q90" s="2" t="s">
        <v>136</v>
      </c>
      <c r="R90" s="2" t="s">
        <v>3753</v>
      </c>
      <c r="S90" s="2" t="s">
        <v>316</v>
      </c>
      <c r="T90" s="2">
        <v>1273421</v>
      </c>
      <c r="U90" s="2" t="s">
        <v>296</v>
      </c>
    </row>
    <row r="91" spans="1:21" x14ac:dyDescent="0.25">
      <c r="A91" s="2" t="s">
        <v>15</v>
      </c>
      <c r="B91" s="2" t="b">
        <v>0</v>
      </c>
      <c r="C91" s="2" t="s">
        <v>3887</v>
      </c>
      <c r="D91" s="2" t="s">
        <v>3888</v>
      </c>
      <c r="E91" s="2" t="s">
        <v>3889</v>
      </c>
      <c r="F91" s="1">
        <v>44291</v>
      </c>
      <c r="G91" s="1">
        <v>0.41666666666666674</v>
      </c>
      <c r="H91" s="2">
        <v>44291</v>
      </c>
      <c r="I91" s="2" t="s">
        <v>3231</v>
      </c>
      <c r="J91" s="2" t="s">
        <v>604</v>
      </c>
      <c r="K91" s="2" t="s">
        <v>24</v>
      </c>
      <c r="L91" s="2" t="s">
        <v>585</v>
      </c>
      <c r="M91" s="2" t="s">
        <v>3890</v>
      </c>
      <c r="N91" s="2" t="s">
        <v>1</v>
      </c>
      <c r="O91" s="2" t="s">
        <v>604</v>
      </c>
      <c r="P91" s="2" t="s">
        <v>139</v>
      </c>
      <c r="Q91" s="2" t="s">
        <v>3790</v>
      </c>
      <c r="R91" s="2" t="s">
        <v>3791</v>
      </c>
      <c r="S91" s="2" t="s">
        <v>141</v>
      </c>
      <c r="T91" s="2">
        <v>265313</v>
      </c>
      <c r="U91" s="2" t="s">
        <v>142</v>
      </c>
    </row>
    <row r="92" spans="1:21" x14ac:dyDescent="0.25">
      <c r="A92" s="2" t="s">
        <v>15</v>
      </c>
      <c r="B92" s="2" t="b">
        <v>0</v>
      </c>
      <c r="C92" s="2" t="s">
        <v>3887</v>
      </c>
      <c r="D92" s="2" t="s">
        <v>3888</v>
      </c>
      <c r="E92" s="2" t="s">
        <v>3889</v>
      </c>
      <c r="F92" s="1">
        <v>44291</v>
      </c>
      <c r="G92" s="1">
        <v>0.41249999999999998</v>
      </c>
      <c r="H92" s="2">
        <v>44291</v>
      </c>
      <c r="I92" s="2" t="s">
        <v>3893</v>
      </c>
      <c r="J92" s="2" t="s">
        <v>604</v>
      </c>
      <c r="K92" s="2" t="s">
        <v>24</v>
      </c>
      <c r="L92" s="2" t="s">
        <v>585</v>
      </c>
      <c r="M92" s="2" t="s">
        <v>3894</v>
      </c>
      <c r="N92" s="2" t="s">
        <v>1</v>
      </c>
      <c r="O92" s="2" t="s">
        <v>604</v>
      </c>
      <c r="P92" s="2" t="s">
        <v>139</v>
      </c>
      <c r="Q92" s="2" t="s">
        <v>159</v>
      </c>
      <c r="R92" s="2" t="s">
        <v>3629</v>
      </c>
      <c r="S92" s="2" t="s">
        <v>141</v>
      </c>
      <c r="T92" s="2">
        <v>312870</v>
      </c>
      <c r="U92" s="2" t="s">
        <v>142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K98"/>
  <sheetViews>
    <sheetView workbookViewId="0">
      <selection sqref="A1:AK98"/>
    </sheetView>
  </sheetViews>
  <sheetFormatPr defaultRowHeight="15" x14ac:dyDescent="0.25"/>
  <cols>
    <col min="1" max="1" width="8.7109375" bestFit="1" customWidth="1"/>
    <col min="2" max="2" width="10.5703125" bestFit="1" customWidth="1"/>
    <col min="3" max="3" width="15.140625" bestFit="1" customWidth="1"/>
    <col min="4" max="4" width="10.28515625" bestFit="1" customWidth="1"/>
    <col min="5" max="5" width="12" bestFit="1" customWidth="1"/>
    <col min="6" max="6" width="10.5703125" bestFit="1" customWidth="1"/>
    <col min="7" max="7" width="16.28515625" bestFit="1" customWidth="1"/>
    <col min="8" max="8" width="17.7109375" bestFit="1" customWidth="1"/>
    <col min="9" max="9" width="12" bestFit="1" customWidth="1"/>
    <col min="10" max="10" width="11.5703125" bestFit="1" customWidth="1"/>
    <col min="11" max="11" width="11.28515625" bestFit="1" customWidth="1"/>
    <col min="12" max="12" width="17.28515625" bestFit="1" customWidth="1"/>
    <col min="13" max="13" width="37" bestFit="1" customWidth="1"/>
    <col min="14" max="14" width="6.42578125" bestFit="1" customWidth="1"/>
    <col min="15" max="15" width="12.28515625" bestFit="1" customWidth="1"/>
    <col min="16" max="16" width="12.85546875" bestFit="1" customWidth="1"/>
    <col min="17" max="17" width="7.140625" bestFit="1" customWidth="1"/>
    <col min="18" max="18" width="10.140625" bestFit="1" customWidth="1"/>
    <col min="19" max="19" width="7.85546875" bestFit="1" customWidth="1"/>
    <col min="20" max="20" width="11" bestFit="1" customWidth="1"/>
    <col min="21" max="21" width="11.28515625" bestFit="1" customWidth="1"/>
    <col min="22" max="22" width="19.85546875" bestFit="1" customWidth="1"/>
    <col min="23" max="23" width="11.5703125" bestFit="1" customWidth="1"/>
    <col min="24" max="24" width="9.5703125" bestFit="1" customWidth="1"/>
    <col min="25" max="25" width="10.140625" bestFit="1" customWidth="1"/>
    <col min="26" max="26" width="15.5703125" bestFit="1" customWidth="1"/>
    <col min="27" max="27" width="6.85546875" bestFit="1" customWidth="1"/>
    <col min="28" max="28" width="8.42578125" bestFit="1" customWidth="1"/>
    <col min="29" max="29" width="9.85546875" bestFit="1" customWidth="1"/>
    <col min="30" max="30" width="12.42578125" bestFit="1" customWidth="1"/>
    <col min="31" max="31" width="10.140625" bestFit="1" customWidth="1"/>
    <col min="32" max="32" width="12.140625" bestFit="1" customWidth="1"/>
    <col min="33" max="33" width="14.85546875" bestFit="1" customWidth="1"/>
    <col min="34" max="34" width="14" bestFit="1" customWidth="1"/>
    <col min="35" max="35" width="16.28515625" bestFit="1" customWidth="1"/>
    <col min="36" max="36" width="16.5703125" bestFit="1" customWidth="1"/>
    <col min="37" max="37" width="8.42578125" bestFit="1" customWidth="1"/>
  </cols>
  <sheetData>
    <row r="1" spans="1:37" x14ac:dyDescent="0.25">
      <c r="A1" s="2" t="s">
        <v>465</v>
      </c>
      <c r="B1" s="2" t="s">
        <v>466</v>
      </c>
      <c r="C1" s="2" t="s">
        <v>467</v>
      </c>
      <c r="D1" s="2" t="s">
        <v>468</v>
      </c>
      <c r="E1" s="2" t="s">
        <v>117</v>
      </c>
      <c r="F1" s="2" t="s">
        <v>469</v>
      </c>
      <c r="G1" s="2" t="s">
        <v>122</v>
      </c>
      <c r="H1" s="2" t="s">
        <v>470</v>
      </c>
      <c r="I1" s="2" t="s">
        <v>471</v>
      </c>
      <c r="J1" s="2" t="s">
        <v>125</v>
      </c>
      <c r="K1" s="2" t="s">
        <v>472</v>
      </c>
      <c r="L1" s="2" t="s">
        <v>473</v>
      </c>
      <c r="M1" s="2" t="s">
        <v>126</v>
      </c>
      <c r="N1" s="2" t="s">
        <v>474</v>
      </c>
      <c r="O1" s="2" t="s">
        <v>475</v>
      </c>
      <c r="P1" s="2" t="s">
        <v>476</v>
      </c>
      <c r="Q1" s="2" t="s">
        <v>477</v>
      </c>
      <c r="R1" s="2" t="s">
        <v>478</v>
      </c>
      <c r="S1" s="2" t="s">
        <v>479</v>
      </c>
      <c r="T1" s="2" t="s">
        <v>480</v>
      </c>
      <c r="U1" s="2" t="s">
        <v>481</v>
      </c>
      <c r="V1" s="2" t="s">
        <v>482</v>
      </c>
      <c r="W1" s="2" t="s">
        <v>483</v>
      </c>
      <c r="X1" s="2" t="s">
        <v>484</v>
      </c>
      <c r="Y1" s="2" t="s">
        <v>485</v>
      </c>
      <c r="Z1" s="2" t="s">
        <v>486</v>
      </c>
      <c r="AA1" s="2" t="s">
        <v>487</v>
      </c>
      <c r="AB1" s="2" t="s">
        <v>488</v>
      </c>
      <c r="AC1" s="2" t="s">
        <v>489</v>
      </c>
      <c r="AD1" s="2" t="s">
        <v>490</v>
      </c>
      <c r="AE1" s="2" t="s">
        <v>491</v>
      </c>
      <c r="AF1" s="2" t="s">
        <v>492</v>
      </c>
      <c r="AG1" s="2" t="s">
        <v>493</v>
      </c>
      <c r="AH1" s="2" t="s">
        <v>494</v>
      </c>
      <c r="AI1" s="2" t="s">
        <v>495</v>
      </c>
      <c r="AJ1" s="2" t="s">
        <v>496</v>
      </c>
      <c r="AK1" s="2" t="s">
        <v>497</v>
      </c>
    </row>
    <row r="2" spans="1:37" x14ac:dyDescent="0.25">
      <c r="A2" s="2">
        <v>0</v>
      </c>
      <c r="B2" s="2">
        <v>440148</v>
      </c>
      <c r="C2" s="2">
        <v>851550</v>
      </c>
      <c r="D2" s="2" t="s">
        <v>1</v>
      </c>
      <c r="E2" s="2" t="s">
        <v>3469</v>
      </c>
      <c r="F2" s="2">
        <v>1</v>
      </c>
      <c r="G2" s="2" t="s">
        <v>326</v>
      </c>
      <c r="H2" s="2" t="s">
        <v>397</v>
      </c>
      <c r="I2" s="2" t="s">
        <v>623</v>
      </c>
      <c r="J2" s="2">
        <v>307681</v>
      </c>
      <c r="K2" s="2" t="s">
        <v>498</v>
      </c>
      <c r="L2" s="2" t="s">
        <v>3932</v>
      </c>
      <c r="M2" s="2" t="s">
        <v>132</v>
      </c>
      <c r="N2" s="2">
        <v>1</v>
      </c>
      <c r="O2" s="2" t="s">
        <v>499</v>
      </c>
      <c r="P2" s="2" t="b">
        <v>1</v>
      </c>
      <c r="Q2" s="2" t="b">
        <v>0</v>
      </c>
      <c r="R2" s="2" t="s">
        <v>130</v>
      </c>
      <c r="S2" s="2"/>
      <c r="T2" s="2" t="s">
        <v>500</v>
      </c>
      <c r="U2" s="2" t="s">
        <v>1</v>
      </c>
      <c r="V2" s="2" t="s">
        <v>1</v>
      </c>
      <c r="W2" s="1">
        <v>44280</v>
      </c>
      <c r="X2" s="2" t="s">
        <v>501</v>
      </c>
      <c r="Y2" s="2" t="s">
        <v>130</v>
      </c>
      <c r="Z2" s="2" t="s">
        <v>502</v>
      </c>
      <c r="AA2" s="2" t="s">
        <v>1</v>
      </c>
      <c r="AB2" s="2" t="s">
        <v>500</v>
      </c>
      <c r="AC2" s="2" t="s">
        <v>503</v>
      </c>
      <c r="AD2" s="2" t="s">
        <v>504</v>
      </c>
      <c r="AE2" s="2" t="s">
        <v>3887</v>
      </c>
      <c r="AF2" s="1">
        <v>44280</v>
      </c>
      <c r="AG2" s="1">
        <v>44280</v>
      </c>
      <c r="AH2" s="2" t="s">
        <v>3887</v>
      </c>
      <c r="AI2" s="1">
        <v>44280</v>
      </c>
      <c r="AJ2" s="2">
        <v>0.52500000000000002</v>
      </c>
      <c r="AK2" s="2" t="s">
        <v>505</v>
      </c>
    </row>
    <row r="3" spans="1:37" x14ac:dyDescent="0.25">
      <c r="A3" s="2">
        <v>0</v>
      </c>
      <c r="B3" s="2">
        <v>436387</v>
      </c>
      <c r="C3" s="2">
        <v>847691</v>
      </c>
      <c r="D3" s="2" t="s">
        <v>1</v>
      </c>
      <c r="E3" s="2" t="s">
        <v>3355</v>
      </c>
      <c r="F3" s="2">
        <v>1</v>
      </c>
      <c r="G3" s="2" t="s">
        <v>206</v>
      </c>
      <c r="H3" s="2" t="s">
        <v>3180</v>
      </c>
      <c r="I3" s="2" t="s">
        <v>499</v>
      </c>
      <c r="J3" s="2">
        <v>305713</v>
      </c>
      <c r="K3" s="2" t="s">
        <v>498</v>
      </c>
      <c r="L3" s="2" t="s">
        <v>3958</v>
      </c>
      <c r="M3" s="2" t="s">
        <v>207</v>
      </c>
      <c r="N3" s="2">
        <v>1</v>
      </c>
      <c r="O3" s="2" t="s">
        <v>499</v>
      </c>
      <c r="P3" s="2" t="b">
        <v>1</v>
      </c>
      <c r="Q3" s="2" t="b">
        <v>0</v>
      </c>
      <c r="R3" s="2" t="s">
        <v>130</v>
      </c>
      <c r="S3" s="2"/>
      <c r="T3" s="2" t="s">
        <v>500</v>
      </c>
      <c r="U3" s="2" t="s">
        <v>1</v>
      </c>
      <c r="V3" s="2" t="s">
        <v>1</v>
      </c>
      <c r="W3" s="1">
        <v>44277</v>
      </c>
      <c r="X3" s="2" t="s">
        <v>501</v>
      </c>
      <c r="Y3" s="2" t="s">
        <v>130</v>
      </c>
      <c r="Z3" s="2" t="s">
        <v>502</v>
      </c>
      <c r="AA3" s="2" t="s">
        <v>1</v>
      </c>
      <c r="AB3" s="2" t="s">
        <v>500</v>
      </c>
      <c r="AC3" s="2" t="s">
        <v>503</v>
      </c>
      <c r="AD3" s="2" t="s">
        <v>504</v>
      </c>
      <c r="AE3" s="2" t="s">
        <v>3887</v>
      </c>
      <c r="AF3" s="1">
        <v>44277</v>
      </c>
      <c r="AG3" s="1">
        <v>44277</v>
      </c>
      <c r="AH3" s="2" t="s">
        <v>3887</v>
      </c>
      <c r="AI3" s="1">
        <v>44277</v>
      </c>
      <c r="AJ3" s="2">
        <v>9.3055555555555558E-2</v>
      </c>
      <c r="AK3" s="2" t="s">
        <v>505</v>
      </c>
    </row>
    <row r="4" spans="1:37" x14ac:dyDescent="0.25">
      <c r="A4" s="2">
        <v>0</v>
      </c>
      <c r="B4" s="2">
        <v>436510</v>
      </c>
      <c r="C4" s="2">
        <v>847781</v>
      </c>
      <c r="D4" s="2" t="s">
        <v>1</v>
      </c>
      <c r="E4" s="2" t="s">
        <v>3331</v>
      </c>
      <c r="F4" s="2">
        <v>1</v>
      </c>
      <c r="G4" s="2" t="s">
        <v>318</v>
      </c>
      <c r="H4" s="2" t="s">
        <v>3217</v>
      </c>
      <c r="I4" s="2" t="s">
        <v>623</v>
      </c>
      <c r="J4" s="2">
        <v>305768</v>
      </c>
      <c r="K4" s="2" t="s">
        <v>498</v>
      </c>
      <c r="L4" s="2" t="s">
        <v>75</v>
      </c>
      <c r="M4" s="2" t="s">
        <v>257</v>
      </c>
      <c r="N4" s="2">
        <v>1</v>
      </c>
      <c r="O4" s="2" t="s">
        <v>499</v>
      </c>
      <c r="P4" s="2" t="b">
        <v>1</v>
      </c>
      <c r="Q4" s="2" t="b">
        <v>0</v>
      </c>
      <c r="R4" s="2" t="s">
        <v>130</v>
      </c>
      <c r="S4" s="2"/>
      <c r="T4" s="2" t="s">
        <v>500</v>
      </c>
      <c r="U4" s="2" t="s">
        <v>1</v>
      </c>
      <c r="V4" s="2" t="s">
        <v>1</v>
      </c>
      <c r="W4" s="1">
        <v>44277</v>
      </c>
      <c r="X4" s="2" t="s">
        <v>501</v>
      </c>
      <c r="Y4" s="2" t="s">
        <v>130</v>
      </c>
      <c r="Z4" s="2" t="s">
        <v>502</v>
      </c>
      <c r="AA4" s="2" t="s">
        <v>1</v>
      </c>
      <c r="AB4" s="2" t="s">
        <v>500</v>
      </c>
      <c r="AC4" s="2" t="s">
        <v>503</v>
      </c>
      <c r="AD4" s="2" t="s">
        <v>504</v>
      </c>
      <c r="AE4" s="2" t="s">
        <v>3887</v>
      </c>
      <c r="AF4" s="1">
        <v>44277</v>
      </c>
      <c r="AG4" s="1">
        <v>44277</v>
      </c>
      <c r="AH4" s="2" t="s">
        <v>3887</v>
      </c>
      <c r="AI4" s="1">
        <v>44277</v>
      </c>
      <c r="AJ4" s="2">
        <v>0.2013888888888889</v>
      </c>
      <c r="AK4" s="2" t="s">
        <v>505</v>
      </c>
    </row>
    <row r="5" spans="1:37" x14ac:dyDescent="0.25">
      <c r="A5" s="2">
        <v>0</v>
      </c>
      <c r="B5" s="2">
        <v>436835</v>
      </c>
      <c r="C5" s="2">
        <v>848121</v>
      </c>
      <c r="D5" s="2" t="s">
        <v>1</v>
      </c>
      <c r="E5" s="2" t="s">
        <v>2997</v>
      </c>
      <c r="F5" s="2">
        <v>1</v>
      </c>
      <c r="G5" s="2" t="s">
        <v>400</v>
      </c>
      <c r="H5" s="2" t="s">
        <v>2998</v>
      </c>
      <c r="I5" s="2" t="s">
        <v>499</v>
      </c>
      <c r="J5" s="2">
        <v>306047</v>
      </c>
      <c r="K5" s="2" t="s">
        <v>498</v>
      </c>
      <c r="L5" s="2" t="s">
        <v>3891</v>
      </c>
      <c r="M5" s="2" t="s">
        <v>401</v>
      </c>
      <c r="N5" s="2">
        <v>1</v>
      </c>
      <c r="O5" s="2" t="s">
        <v>499</v>
      </c>
      <c r="P5" s="2" t="b">
        <v>1</v>
      </c>
      <c r="Q5" s="2" t="b">
        <v>0</v>
      </c>
      <c r="R5" s="2" t="s">
        <v>130</v>
      </c>
      <c r="S5" s="2"/>
      <c r="T5" s="2" t="s">
        <v>500</v>
      </c>
      <c r="U5" s="2" t="s">
        <v>1</v>
      </c>
      <c r="V5" s="2" t="s">
        <v>1</v>
      </c>
      <c r="W5" s="1">
        <v>44277</v>
      </c>
      <c r="X5" s="2" t="s">
        <v>501</v>
      </c>
      <c r="Y5" s="2" t="s">
        <v>130</v>
      </c>
      <c r="Z5" s="2" t="s">
        <v>502</v>
      </c>
      <c r="AA5" s="2" t="s">
        <v>1</v>
      </c>
      <c r="AB5" s="2" t="s">
        <v>500</v>
      </c>
      <c r="AC5" s="2" t="s">
        <v>503</v>
      </c>
      <c r="AD5" s="2" t="s">
        <v>504</v>
      </c>
      <c r="AE5" s="2" t="s">
        <v>3887</v>
      </c>
      <c r="AF5" s="1">
        <v>44277</v>
      </c>
      <c r="AG5" s="1">
        <v>44277</v>
      </c>
      <c r="AH5" s="2" t="s">
        <v>3887</v>
      </c>
      <c r="AI5" s="1">
        <v>44277</v>
      </c>
      <c r="AJ5" s="2">
        <v>0.35416666666666669</v>
      </c>
      <c r="AK5" s="2" t="s">
        <v>505</v>
      </c>
    </row>
    <row r="6" spans="1:37" x14ac:dyDescent="0.25">
      <c r="A6" s="2">
        <v>0</v>
      </c>
      <c r="B6" s="2">
        <v>436835</v>
      </c>
      <c r="C6" s="2">
        <v>848129</v>
      </c>
      <c r="D6" s="2" t="s">
        <v>1</v>
      </c>
      <c r="E6" s="2" t="s">
        <v>2997</v>
      </c>
      <c r="F6" s="2">
        <v>1</v>
      </c>
      <c r="G6" s="2" t="s">
        <v>139</v>
      </c>
      <c r="H6" s="2" t="s">
        <v>143</v>
      </c>
      <c r="I6" s="2" t="s">
        <v>623</v>
      </c>
      <c r="J6" s="2">
        <v>306051</v>
      </c>
      <c r="K6" s="2" t="s">
        <v>498</v>
      </c>
      <c r="L6" s="2" t="s">
        <v>3891</v>
      </c>
      <c r="M6" s="2" t="s">
        <v>141</v>
      </c>
      <c r="N6" s="2">
        <v>1</v>
      </c>
      <c r="O6" s="2" t="s">
        <v>499</v>
      </c>
      <c r="P6" s="2" t="b">
        <v>1</v>
      </c>
      <c r="Q6" s="2" t="b">
        <v>0</v>
      </c>
      <c r="R6" s="2" t="s">
        <v>130</v>
      </c>
      <c r="S6" s="2"/>
      <c r="T6" s="2" t="s">
        <v>500</v>
      </c>
      <c r="U6" s="2" t="s">
        <v>1</v>
      </c>
      <c r="V6" s="2" t="s">
        <v>1</v>
      </c>
      <c r="W6" s="1">
        <v>44277</v>
      </c>
      <c r="X6" s="2" t="s">
        <v>1</v>
      </c>
      <c r="Y6" s="2" t="s">
        <v>1</v>
      </c>
      <c r="Z6" s="2" t="s">
        <v>507</v>
      </c>
      <c r="AA6" s="2" t="s">
        <v>1</v>
      </c>
      <c r="AB6" s="2" t="s">
        <v>500</v>
      </c>
      <c r="AC6" s="2" t="s">
        <v>503</v>
      </c>
      <c r="AD6" s="2" t="s">
        <v>504</v>
      </c>
      <c r="AE6" s="2" t="s">
        <v>3887</v>
      </c>
      <c r="AF6" s="1">
        <v>44277</v>
      </c>
      <c r="AG6" s="1">
        <v>44277</v>
      </c>
      <c r="AH6" s="2" t="s">
        <v>3887</v>
      </c>
      <c r="AI6" s="1">
        <v>44277</v>
      </c>
      <c r="AJ6" s="2">
        <v>0.35416666666666669</v>
      </c>
      <c r="AK6" s="2" t="s">
        <v>505</v>
      </c>
    </row>
    <row r="7" spans="1:37" x14ac:dyDescent="0.25">
      <c r="A7" s="2">
        <v>0</v>
      </c>
      <c r="B7" s="2">
        <v>436893</v>
      </c>
      <c r="C7" s="2">
        <v>848178</v>
      </c>
      <c r="D7" s="2" t="s">
        <v>1</v>
      </c>
      <c r="E7" s="2" t="s">
        <v>3000</v>
      </c>
      <c r="F7" s="2">
        <v>1</v>
      </c>
      <c r="G7" s="2" t="s">
        <v>400</v>
      </c>
      <c r="H7" s="2" t="s">
        <v>3001</v>
      </c>
      <c r="I7" s="2" t="s">
        <v>499</v>
      </c>
      <c r="J7" s="2">
        <v>306086</v>
      </c>
      <c r="K7" s="2" t="s">
        <v>498</v>
      </c>
      <c r="L7" s="2" t="s">
        <v>3891</v>
      </c>
      <c r="M7" s="2" t="s">
        <v>401</v>
      </c>
      <c r="N7" s="2">
        <v>1</v>
      </c>
      <c r="O7" s="2" t="s">
        <v>499</v>
      </c>
      <c r="P7" s="2" t="b">
        <v>1</v>
      </c>
      <c r="Q7" s="2" t="b">
        <v>0</v>
      </c>
      <c r="R7" s="2" t="s">
        <v>130</v>
      </c>
      <c r="S7" s="2"/>
      <c r="T7" s="2" t="s">
        <v>500</v>
      </c>
      <c r="U7" s="2" t="s">
        <v>1</v>
      </c>
      <c r="V7" s="2" t="s">
        <v>1</v>
      </c>
      <c r="W7" s="1">
        <v>44277</v>
      </c>
      <c r="X7" s="2" t="s">
        <v>501</v>
      </c>
      <c r="Y7" s="2" t="s">
        <v>130</v>
      </c>
      <c r="Z7" s="2" t="s">
        <v>502</v>
      </c>
      <c r="AA7" s="2" t="s">
        <v>1</v>
      </c>
      <c r="AB7" s="2" t="s">
        <v>500</v>
      </c>
      <c r="AC7" s="2" t="s">
        <v>503</v>
      </c>
      <c r="AD7" s="2" t="s">
        <v>504</v>
      </c>
      <c r="AE7" s="2" t="s">
        <v>3887</v>
      </c>
      <c r="AF7" s="1">
        <v>44277</v>
      </c>
      <c r="AG7" s="1">
        <v>44277</v>
      </c>
      <c r="AH7" s="2" t="s">
        <v>3887</v>
      </c>
      <c r="AI7" s="1">
        <v>44277</v>
      </c>
      <c r="AJ7" s="2">
        <v>0.40555555555555556</v>
      </c>
      <c r="AK7" s="2" t="s">
        <v>505</v>
      </c>
    </row>
    <row r="8" spans="1:37" x14ac:dyDescent="0.25">
      <c r="A8" s="2">
        <v>0</v>
      </c>
      <c r="B8" s="2">
        <v>436893</v>
      </c>
      <c r="C8" s="2">
        <v>848195</v>
      </c>
      <c r="D8" s="2" t="s">
        <v>1</v>
      </c>
      <c r="E8" s="2" t="s">
        <v>3000</v>
      </c>
      <c r="F8" s="2">
        <v>1</v>
      </c>
      <c r="G8" s="2" t="s">
        <v>139</v>
      </c>
      <c r="H8" s="2" t="s">
        <v>2750</v>
      </c>
      <c r="I8" s="2" t="s">
        <v>623</v>
      </c>
      <c r="J8" s="2">
        <v>306100</v>
      </c>
      <c r="K8" s="2" t="s">
        <v>498</v>
      </c>
      <c r="L8" s="2" t="s">
        <v>3891</v>
      </c>
      <c r="M8" s="2" t="s">
        <v>141</v>
      </c>
      <c r="N8" s="2">
        <v>1</v>
      </c>
      <c r="O8" s="2" t="s">
        <v>499</v>
      </c>
      <c r="P8" s="2" t="b">
        <v>1</v>
      </c>
      <c r="Q8" s="2" t="b">
        <v>0</v>
      </c>
      <c r="R8" s="2" t="s">
        <v>130</v>
      </c>
      <c r="S8" s="2"/>
      <c r="T8" s="2" t="s">
        <v>500</v>
      </c>
      <c r="U8" s="2" t="s">
        <v>1</v>
      </c>
      <c r="V8" s="2" t="s">
        <v>1</v>
      </c>
      <c r="W8" s="1">
        <v>44277</v>
      </c>
      <c r="X8" s="2" t="s">
        <v>1</v>
      </c>
      <c r="Y8" s="2" t="s">
        <v>1</v>
      </c>
      <c r="Z8" s="2" t="s">
        <v>507</v>
      </c>
      <c r="AA8" s="2" t="s">
        <v>1</v>
      </c>
      <c r="AB8" s="2" t="s">
        <v>500</v>
      </c>
      <c r="AC8" s="2" t="s">
        <v>503</v>
      </c>
      <c r="AD8" s="2" t="s">
        <v>504</v>
      </c>
      <c r="AE8" s="2" t="s">
        <v>3887</v>
      </c>
      <c r="AF8" s="1">
        <v>44277</v>
      </c>
      <c r="AG8" s="1">
        <v>44277</v>
      </c>
      <c r="AH8" s="2" t="s">
        <v>3887</v>
      </c>
      <c r="AI8" s="1">
        <v>44277</v>
      </c>
      <c r="AJ8" s="2">
        <v>0.40555555555555556</v>
      </c>
      <c r="AK8" s="2" t="s">
        <v>505</v>
      </c>
    </row>
    <row r="9" spans="1:37" x14ac:dyDescent="0.25">
      <c r="A9" s="2">
        <v>0</v>
      </c>
      <c r="B9" s="2">
        <v>435912</v>
      </c>
      <c r="C9" s="2">
        <v>847314</v>
      </c>
      <c r="D9" s="2" t="s">
        <v>1</v>
      </c>
      <c r="E9" s="2" t="s">
        <v>3353</v>
      </c>
      <c r="F9" s="2">
        <v>1</v>
      </c>
      <c r="G9" s="2" t="s">
        <v>150</v>
      </c>
      <c r="H9" s="2" t="s">
        <v>256</v>
      </c>
      <c r="I9" s="2" t="s">
        <v>499</v>
      </c>
      <c r="J9" s="2">
        <v>305532</v>
      </c>
      <c r="K9" s="2" t="s">
        <v>498</v>
      </c>
      <c r="L9" s="2" t="s">
        <v>3964</v>
      </c>
      <c r="M9" s="2" t="s">
        <v>151</v>
      </c>
      <c r="N9" s="2">
        <v>1</v>
      </c>
      <c r="O9" s="2" t="s">
        <v>499</v>
      </c>
      <c r="P9" s="2" t="b">
        <v>1</v>
      </c>
      <c r="Q9" s="2" t="b">
        <v>0</v>
      </c>
      <c r="R9" s="2" t="s">
        <v>130</v>
      </c>
      <c r="S9" s="2"/>
      <c r="T9" s="2" t="s">
        <v>500</v>
      </c>
      <c r="U9" s="2" t="s">
        <v>1</v>
      </c>
      <c r="V9" s="2" t="s">
        <v>1</v>
      </c>
      <c r="W9" s="1">
        <v>44276</v>
      </c>
      <c r="X9" s="2" t="s">
        <v>501</v>
      </c>
      <c r="Y9" s="2" t="s">
        <v>130</v>
      </c>
      <c r="Z9" s="2" t="s">
        <v>502</v>
      </c>
      <c r="AA9" s="2" t="s">
        <v>1</v>
      </c>
      <c r="AB9" s="2" t="s">
        <v>500</v>
      </c>
      <c r="AC9" s="2" t="s">
        <v>503</v>
      </c>
      <c r="AD9" s="2" t="s">
        <v>504</v>
      </c>
      <c r="AE9" s="2" t="s">
        <v>3887</v>
      </c>
      <c r="AF9" s="1">
        <v>44276</v>
      </c>
      <c r="AG9" s="1">
        <v>44276</v>
      </c>
      <c r="AH9" s="2" t="s">
        <v>3887</v>
      </c>
      <c r="AI9" s="1">
        <v>44276</v>
      </c>
      <c r="AJ9" s="2">
        <v>0.41597222222222224</v>
      </c>
      <c r="AK9" s="2" t="s">
        <v>505</v>
      </c>
    </row>
    <row r="10" spans="1:37" x14ac:dyDescent="0.25">
      <c r="A10" s="2">
        <v>0</v>
      </c>
      <c r="B10" s="2">
        <v>435920</v>
      </c>
      <c r="C10" s="2">
        <v>847324</v>
      </c>
      <c r="D10" s="2" t="s">
        <v>1</v>
      </c>
      <c r="E10" s="2" t="s">
        <v>2751</v>
      </c>
      <c r="F10" s="2">
        <v>1</v>
      </c>
      <c r="G10" s="2" t="s">
        <v>326</v>
      </c>
      <c r="H10" s="2" t="s">
        <v>566</v>
      </c>
      <c r="I10" s="2" t="s">
        <v>499</v>
      </c>
      <c r="J10" s="2">
        <v>305539</v>
      </c>
      <c r="K10" s="2" t="s">
        <v>498</v>
      </c>
      <c r="L10" s="2" t="s">
        <v>3932</v>
      </c>
      <c r="M10" s="2" t="s">
        <v>132</v>
      </c>
      <c r="N10" s="2">
        <v>1</v>
      </c>
      <c r="O10" s="2" t="s">
        <v>499</v>
      </c>
      <c r="P10" s="2" t="b">
        <v>1</v>
      </c>
      <c r="Q10" s="2" t="b">
        <v>0</v>
      </c>
      <c r="R10" s="2" t="s">
        <v>130</v>
      </c>
      <c r="S10" s="2"/>
      <c r="T10" s="2" t="s">
        <v>500</v>
      </c>
      <c r="U10" s="2" t="s">
        <v>1</v>
      </c>
      <c r="V10" s="2" t="s">
        <v>1</v>
      </c>
      <c r="W10" s="1">
        <v>44276</v>
      </c>
      <c r="X10" s="2" t="s">
        <v>501</v>
      </c>
      <c r="Y10" s="2" t="s">
        <v>130</v>
      </c>
      <c r="Z10" s="2" t="s">
        <v>502</v>
      </c>
      <c r="AA10" s="2" t="s">
        <v>1</v>
      </c>
      <c r="AB10" s="2" t="s">
        <v>500</v>
      </c>
      <c r="AC10" s="2" t="s">
        <v>503</v>
      </c>
      <c r="AD10" s="2" t="s">
        <v>504</v>
      </c>
      <c r="AE10" s="2" t="s">
        <v>3887</v>
      </c>
      <c r="AF10" s="1">
        <v>44276</v>
      </c>
      <c r="AG10" s="1">
        <v>44276</v>
      </c>
      <c r="AH10" s="2" t="s">
        <v>3887</v>
      </c>
      <c r="AI10" s="1">
        <v>44276</v>
      </c>
      <c r="AJ10" s="2">
        <v>0.43333333333333335</v>
      </c>
      <c r="AK10" s="2" t="s">
        <v>505</v>
      </c>
    </row>
    <row r="11" spans="1:37" x14ac:dyDescent="0.25">
      <c r="A11" s="2">
        <v>0</v>
      </c>
      <c r="B11" s="2">
        <v>433335</v>
      </c>
      <c r="C11" s="2">
        <v>844622</v>
      </c>
      <c r="D11" s="2" t="s">
        <v>1</v>
      </c>
      <c r="E11" s="2" t="s">
        <v>3094</v>
      </c>
      <c r="F11" s="2">
        <v>1</v>
      </c>
      <c r="G11" s="2" t="s">
        <v>139</v>
      </c>
      <c r="H11" s="2" t="s">
        <v>3095</v>
      </c>
      <c r="I11" s="2" t="s">
        <v>623</v>
      </c>
      <c r="J11" s="2">
        <v>304498</v>
      </c>
      <c r="K11" s="2" t="s">
        <v>498</v>
      </c>
      <c r="L11" s="2" t="s">
        <v>3891</v>
      </c>
      <c r="M11" s="2" t="s">
        <v>141</v>
      </c>
      <c r="N11" s="2">
        <v>1</v>
      </c>
      <c r="O11" s="2" t="s">
        <v>499</v>
      </c>
      <c r="P11" s="2" t="b">
        <v>1</v>
      </c>
      <c r="Q11" s="2" t="b">
        <v>0</v>
      </c>
      <c r="R11" s="2" t="s">
        <v>130</v>
      </c>
      <c r="S11" s="2"/>
      <c r="T11" s="2" t="s">
        <v>500</v>
      </c>
      <c r="U11" s="2" t="s">
        <v>1</v>
      </c>
      <c r="V11" s="2" t="s">
        <v>1</v>
      </c>
      <c r="W11" s="1">
        <v>44273</v>
      </c>
      <c r="X11" s="2" t="s">
        <v>501</v>
      </c>
      <c r="Y11" s="2" t="s">
        <v>130</v>
      </c>
      <c r="Z11" s="2" t="s">
        <v>502</v>
      </c>
      <c r="AA11" s="2" t="s">
        <v>1</v>
      </c>
      <c r="AB11" s="2" t="s">
        <v>500</v>
      </c>
      <c r="AC11" s="2" t="s">
        <v>503</v>
      </c>
      <c r="AD11" s="2" t="s">
        <v>504</v>
      </c>
      <c r="AE11" s="2" t="s">
        <v>3887</v>
      </c>
      <c r="AF11" s="1">
        <v>44273</v>
      </c>
      <c r="AG11" s="1">
        <v>44273</v>
      </c>
      <c r="AH11" s="2" t="s">
        <v>3887</v>
      </c>
      <c r="AI11" s="1">
        <v>44273</v>
      </c>
      <c r="AJ11" s="2">
        <v>0.32708333333333334</v>
      </c>
      <c r="AK11" s="2" t="s">
        <v>505</v>
      </c>
    </row>
    <row r="12" spans="1:37" x14ac:dyDescent="0.25">
      <c r="A12" s="2">
        <v>0</v>
      </c>
      <c r="B12" s="2">
        <v>433353</v>
      </c>
      <c r="C12" s="2">
        <v>844638</v>
      </c>
      <c r="D12" s="2" t="s">
        <v>1</v>
      </c>
      <c r="E12" s="2" t="s">
        <v>3098</v>
      </c>
      <c r="F12" s="2">
        <v>1</v>
      </c>
      <c r="G12" s="2" t="s">
        <v>139</v>
      </c>
      <c r="H12" s="2" t="s">
        <v>3099</v>
      </c>
      <c r="I12" s="2" t="s">
        <v>623</v>
      </c>
      <c r="J12" s="2">
        <v>304503</v>
      </c>
      <c r="K12" s="2" t="s">
        <v>498</v>
      </c>
      <c r="L12" s="2" t="s">
        <v>3891</v>
      </c>
      <c r="M12" s="2" t="s">
        <v>141</v>
      </c>
      <c r="N12" s="2">
        <v>1</v>
      </c>
      <c r="O12" s="2" t="s">
        <v>499</v>
      </c>
      <c r="P12" s="2" t="b">
        <v>1</v>
      </c>
      <c r="Q12" s="2" t="b">
        <v>0</v>
      </c>
      <c r="R12" s="2" t="s">
        <v>130</v>
      </c>
      <c r="S12" s="2"/>
      <c r="T12" s="2" t="s">
        <v>500</v>
      </c>
      <c r="U12" s="2" t="s">
        <v>1</v>
      </c>
      <c r="V12" s="2" t="s">
        <v>1</v>
      </c>
      <c r="W12" s="1">
        <v>44273</v>
      </c>
      <c r="X12" s="2" t="s">
        <v>501</v>
      </c>
      <c r="Y12" s="2" t="s">
        <v>130</v>
      </c>
      <c r="Z12" s="2" t="s">
        <v>502</v>
      </c>
      <c r="AA12" s="2" t="s">
        <v>1</v>
      </c>
      <c r="AB12" s="2" t="s">
        <v>500</v>
      </c>
      <c r="AC12" s="2" t="s">
        <v>503</v>
      </c>
      <c r="AD12" s="2" t="s">
        <v>504</v>
      </c>
      <c r="AE12" s="2" t="s">
        <v>3887</v>
      </c>
      <c r="AF12" s="1">
        <v>44273</v>
      </c>
      <c r="AG12" s="1">
        <v>44273</v>
      </c>
      <c r="AH12" s="2" t="s">
        <v>3887</v>
      </c>
      <c r="AI12" s="1">
        <v>44273</v>
      </c>
      <c r="AJ12" s="2">
        <v>0.33402777777777776</v>
      </c>
      <c r="AK12" s="2" t="s">
        <v>505</v>
      </c>
    </row>
    <row r="13" spans="1:37" x14ac:dyDescent="0.25">
      <c r="A13" s="2">
        <v>0</v>
      </c>
      <c r="B13" s="2">
        <v>433387</v>
      </c>
      <c r="C13" s="2">
        <v>844685</v>
      </c>
      <c r="D13" s="2" t="s">
        <v>1</v>
      </c>
      <c r="E13" s="2" t="s">
        <v>3003</v>
      </c>
      <c r="F13" s="2">
        <v>1</v>
      </c>
      <c r="G13" s="2" t="s">
        <v>400</v>
      </c>
      <c r="H13" s="2" t="s">
        <v>3004</v>
      </c>
      <c r="I13" s="2" t="s">
        <v>623</v>
      </c>
      <c r="J13" s="2">
        <v>304529</v>
      </c>
      <c r="K13" s="2" t="s">
        <v>498</v>
      </c>
      <c r="L13" s="2" t="s">
        <v>3891</v>
      </c>
      <c r="M13" s="2" t="s">
        <v>401</v>
      </c>
      <c r="N13" s="2">
        <v>1</v>
      </c>
      <c r="O13" s="2" t="s">
        <v>499</v>
      </c>
      <c r="P13" s="2" t="b">
        <v>1</v>
      </c>
      <c r="Q13" s="2" t="b">
        <v>0</v>
      </c>
      <c r="R13" s="2" t="s">
        <v>130</v>
      </c>
      <c r="S13" s="2"/>
      <c r="T13" s="2" t="s">
        <v>500</v>
      </c>
      <c r="U13" s="2" t="s">
        <v>1</v>
      </c>
      <c r="V13" s="2" t="s">
        <v>1</v>
      </c>
      <c r="W13" s="1">
        <v>44273</v>
      </c>
      <c r="X13" s="2" t="s">
        <v>501</v>
      </c>
      <c r="Y13" s="2" t="s">
        <v>130</v>
      </c>
      <c r="Z13" s="2" t="s">
        <v>502</v>
      </c>
      <c r="AA13" s="2" t="s">
        <v>1</v>
      </c>
      <c r="AB13" s="2" t="s">
        <v>500</v>
      </c>
      <c r="AC13" s="2" t="s">
        <v>503</v>
      </c>
      <c r="AD13" s="2" t="s">
        <v>504</v>
      </c>
      <c r="AE13" s="2" t="s">
        <v>3887</v>
      </c>
      <c r="AF13" s="1">
        <v>44273</v>
      </c>
      <c r="AG13" s="1">
        <v>44273</v>
      </c>
      <c r="AH13" s="2" t="s">
        <v>3887</v>
      </c>
      <c r="AI13" s="1">
        <v>44273</v>
      </c>
      <c r="AJ13" s="2">
        <v>0.34930555555555554</v>
      </c>
      <c r="AK13" s="2" t="s">
        <v>505</v>
      </c>
    </row>
    <row r="14" spans="1:37" x14ac:dyDescent="0.25">
      <c r="A14" s="2">
        <v>0</v>
      </c>
      <c r="B14" s="2">
        <v>433387</v>
      </c>
      <c r="C14" s="2">
        <v>844687</v>
      </c>
      <c r="D14" s="2" t="s">
        <v>1</v>
      </c>
      <c r="E14" s="2" t="s">
        <v>3003</v>
      </c>
      <c r="F14" s="2">
        <v>1</v>
      </c>
      <c r="G14" s="2" t="s">
        <v>139</v>
      </c>
      <c r="H14" s="2" t="s">
        <v>3099</v>
      </c>
      <c r="I14" s="2" t="s">
        <v>623</v>
      </c>
      <c r="J14" s="2">
        <v>304532</v>
      </c>
      <c r="K14" s="2" t="s">
        <v>498</v>
      </c>
      <c r="L14" s="2" t="s">
        <v>3891</v>
      </c>
      <c r="M14" s="2" t="s">
        <v>141</v>
      </c>
      <c r="N14" s="2">
        <v>1</v>
      </c>
      <c r="O14" s="2" t="s">
        <v>499</v>
      </c>
      <c r="P14" s="2" t="b">
        <v>1</v>
      </c>
      <c r="Q14" s="2" t="b">
        <v>0</v>
      </c>
      <c r="R14" s="2" t="s">
        <v>130</v>
      </c>
      <c r="S14" s="2"/>
      <c r="T14" s="2" t="s">
        <v>500</v>
      </c>
      <c r="U14" s="2" t="s">
        <v>1</v>
      </c>
      <c r="V14" s="2" t="s">
        <v>1</v>
      </c>
      <c r="W14" s="1">
        <v>44273</v>
      </c>
      <c r="X14" s="2" t="s">
        <v>1</v>
      </c>
      <c r="Y14" s="2" t="s">
        <v>1</v>
      </c>
      <c r="Z14" s="2" t="s">
        <v>507</v>
      </c>
      <c r="AA14" s="2" t="s">
        <v>1</v>
      </c>
      <c r="AB14" s="2" t="s">
        <v>500</v>
      </c>
      <c r="AC14" s="2" t="s">
        <v>503</v>
      </c>
      <c r="AD14" s="2" t="s">
        <v>504</v>
      </c>
      <c r="AE14" s="2" t="s">
        <v>3887</v>
      </c>
      <c r="AF14" s="1">
        <v>44273</v>
      </c>
      <c r="AG14" s="1">
        <v>44273</v>
      </c>
      <c r="AH14" s="2" t="s">
        <v>3887</v>
      </c>
      <c r="AI14" s="1">
        <v>44273</v>
      </c>
      <c r="AJ14" s="2">
        <v>0.34930555555555554</v>
      </c>
      <c r="AK14" s="2" t="s">
        <v>505</v>
      </c>
    </row>
    <row r="15" spans="1:37" x14ac:dyDescent="0.25">
      <c r="A15" s="2">
        <v>0</v>
      </c>
      <c r="B15" s="2">
        <v>433410</v>
      </c>
      <c r="C15" s="2">
        <v>844706</v>
      </c>
      <c r="D15" s="2" t="s">
        <v>1</v>
      </c>
      <c r="E15" s="2" t="s">
        <v>3006</v>
      </c>
      <c r="F15" s="2">
        <v>1</v>
      </c>
      <c r="G15" s="2" t="s">
        <v>400</v>
      </c>
      <c r="H15" s="2" t="s">
        <v>3007</v>
      </c>
      <c r="I15" s="2" t="s">
        <v>623</v>
      </c>
      <c r="J15" s="2">
        <v>304547</v>
      </c>
      <c r="K15" s="2" t="s">
        <v>498</v>
      </c>
      <c r="L15" s="2" t="s">
        <v>3891</v>
      </c>
      <c r="M15" s="2" t="s">
        <v>401</v>
      </c>
      <c r="N15" s="2">
        <v>1</v>
      </c>
      <c r="O15" s="2" t="s">
        <v>499</v>
      </c>
      <c r="P15" s="2" t="b">
        <v>1</v>
      </c>
      <c r="Q15" s="2" t="b">
        <v>0</v>
      </c>
      <c r="R15" s="2" t="s">
        <v>130</v>
      </c>
      <c r="S15" s="2"/>
      <c r="T15" s="2" t="s">
        <v>500</v>
      </c>
      <c r="U15" s="2" t="s">
        <v>1</v>
      </c>
      <c r="V15" s="2" t="s">
        <v>1</v>
      </c>
      <c r="W15" s="1">
        <v>44273</v>
      </c>
      <c r="X15" s="2" t="s">
        <v>501</v>
      </c>
      <c r="Y15" s="2" t="s">
        <v>130</v>
      </c>
      <c r="Z15" s="2" t="s">
        <v>502</v>
      </c>
      <c r="AA15" s="2" t="s">
        <v>1</v>
      </c>
      <c r="AB15" s="2" t="s">
        <v>500</v>
      </c>
      <c r="AC15" s="2" t="s">
        <v>503</v>
      </c>
      <c r="AD15" s="2" t="s">
        <v>504</v>
      </c>
      <c r="AE15" s="2" t="s">
        <v>3887</v>
      </c>
      <c r="AF15" s="1">
        <v>44273</v>
      </c>
      <c r="AG15" s="1">
        <v>44273</v>
      </c>
      <c r="AH15" s="2" t="s">
        <v>3887</v>
      </c>
      <c r="AI15" s="1">
        <v>44273</v>
      </c>
      <c r="AJ15" s="2">
        <v>0.36319444444444443</v>
      </c>
      <c r="AK15" s="2" t="s">
        <v>505</v>
      </c>
    </row>
    <row r="16" spans="1:37" x14ac:dyDescent="0.25">
      <c r="A16" s="2">
        <v>0</v>
      </c>
      <c r="B16" s="2">
        <v>433410</v>
      </c>
      <c r="C16" s="2">
        <v>844707</v>
      </c>
      <c r="D16" s="2" t="s">
        <v>1</v>
      </c>
      <c r="E16" s="2" t="s">
        <v>3006</v>
      </c>
      <c r="F16" s="2">
        <v>1</v>
      </c>
      <c r="G16" s="2" t="s">
        <v>139</v>
      </c>
      <c r="H16" s="2" t="s">
        <v>3095</v>
      </c>
      <c r="I16" s="2" t="s">
        <v>623</v>
      </c>
      <c r="J16" s="2">
        <v>304548</v>
      </c>
      <c r="K16" s="2" t="s">
        <v>498</v>
      </c>
      <c r="L16" s="2" t="s">
        <v>3891</v>
      </c>
      <c r="M16" s="2" t="s">
        <v>141</v>
      </c>
      <c r="N16" s="2">
        <v>1</v>
      </c>
      <c r="O16" s="2" t="s">
        <v>499</v>
      </c>
      <c r="P16" s="2" t="b">
        <v>1</v>
      </c>
      <c r="Q16" s="2" t="b">
        <v>0</v>
      </c>
      <c r="R16" s="2" t="s">
        <v>130</v>
      </c>
      <c r="S16" s="2"/>
      <c r="T16" s="2" t="s">
        <v>500</v>
      </c>
      <c r="U16" s="2" t="s">
        <v>1</v>
      </c>
      <c r="V16" s="2" t="s">
        <v>1</v>
      </c>
      <c r="W16" s="1">
        <v>44273</v>
      </c>
      <c r="X16" s="2" t="s">
        <v>1</v>
      </c>
      <c r="Y16" s="2" t="s">
        <v>1</v>
      </c>
      <c r="Z16" s="2" t="s">
        <v>507</v>
      </c>
      <c r="AA16" s="2" t="s">
        <v>1</v>
      </c>
      <c r="AB16" s="2" t="s">
        <v>500</v>
      </c>
      <c r="AC16" s="2" t="s">
        <v>503</v>
      </c>
      <c r="AD16" s="2" t="s">
        <v>504</v>
      </c>
      <c r="AE16" s="2" t="s">
        <v>3887</v>
      </c>
      <c r="AF16" s="1">
        <v>44273</v>
      </c>
      <c r="AG16" s="1">
        <v>44273</v>
      </c>
      <c r="AH16" s="2" t="s">
        <v>3887</v>
      </c>
      <c r="AI16" s="1">
        <v>44273</v>
      </c>
      <c r="AJ16" s="2">
        <v>0.36319444444444443</v>
      </c>
      <c r="AK16" s="2" t="s">
        <v>505</v>
      </c>
    </row>
    <row r="17" spans="1:37" x14ac:dyDescent="0.25">
      <c r="A17" s="2">
        <v>0</v>
      </c>
      <c r="B17" s="2">
        <v>433442</v>
      </c>
      <c r="C17" s="2">
        <v>844810</v>
      </c>
      <c r="D17" s="2" t="s">
        <v>1</v>
      </c>
      <c r="E17" s="2" t="s">
        <v>2758</v>
      </c>
      <c r="F17" s="2">
        <v>1</v>
      </c>
      <c r="G17" s="2" t="s">
        <v>223</v>
      </c>
      <c r="H17" s="2" t="s">
        <v>349</v>
      </c>
      <c r="I17" s="2" t="s">
        <v>623</v>
      </c>
      <c r="J17" s="2">
        <v>304633</v>
      </c>
      <c r="K17" s="2" t="s">
        <v>498</v>
      </c>
      <c r="L17" s="2" t="s">
        <v>75</v>
      </c>
      <c r="M17" s="2" t="s">
        <v>225</v>
      </c>
      <c r="N17" s="2">
        <v>1</v>
      </c>
      <c r="O17" s="2" t="s">
        <v>499</v>
      </c>
      <c r="P17" s="2" t="b">
        <v>1</v>
      </c>
      <c r="Q17" s="2" t="b">
        <v>0</v>
      </c>
      <c r="R17" s="2" t="s">
        <v>130</v>
      </c>
      <c r="S17" s="2"/>
      <c r="T17" s="2" t="s">
        <v>500</v>
      </c>
      <c r="U17" s="2" t="s">
        <v>1</v>
      </c>
      <c r="V17" s="2" t="s">
        <v>1</v>
      </c>
      <c r="W17" s="1">
        <v>44273</v>
      </c>
      <c r="X17" s="2" t="s">
        <v>501</v>
      </c>
      <c r="Y17" s="2" t="s">
        <v>130</v>
      </c>
      <c r="Z17" s="2" t="s">
        <v>502</v>
      </c>
      <c r="AA17" s="2" t="s">
        <v>1</v>
      </c>
      <c r="AB17" s="2" t="s">
        <v>500</v>
      </c>
      <c r="AC17" s="2" t="s">
        <v>503</v>
      </c>
      <c r="AD17" s="2" t="s">
        <v>504</v>
      </c>
      <c r="AE17" s="2" t="s">
        <v>3887</v>
      </c>
      <c r="AF17" s="1">
        <v>44273</v>
      </c>
      <c r="AG17" s="1">
        <v>44273</v>
      </c>
      <c r="AH17" s="2" t="s">
        <v>3887</v>
      </c>
      <c r="AI17" s="1">
        <v>44273</v>
      </c>
      <c r="AJ17" s="2">
        <v>0.40416666666666667</v>
      </c>
      <c r="AK17" s="2" t="s">
        <v>505</v>
      </c>
    </row>
    <row r="18" spans="1:37" x14ac:dyDescent="0.25">
      <c r="A18" s="2">
        <v>0</v>
      </c>
      <c r="B18" s="2">
        <v>433442</v>
      </c>
      <c r="C18" s="2">
        <v>844813</v>
      </c>
      <c r="D18" s="2" t="s">
        <v>1</v>
      </c>
      <c r="E18" s="2" t="s">
        <v>2758</v>
      </c>
      <c r="F18" s="2">
        <v>1</v>
      </c>
      <c r="G18" s="2" t="s">
        <v>4048</v>
      </c>
      <c r="H18" s="2" t="s">
        <v>4049</v>
      </c>
      <c r="I18" s="2" t="s">
        <v>506</v>
      </c>
      <c r="J18" s="2">
        <v>304634</v>
      </c>
      <c r="K18" s="2" t="s">
        <v>498</v>
      </c>
      <c r="L18" s="2" t="s">
        <v>75</v>
      </c>
      <c r="M18" s="2" t="s">
        <v>4050</v>
      </c>
      <c r="N18" s="2">
        <v>1</v>
      </c>
      <c r="O18" s="2" t="s">
        <v>499</v>
      </c>
      <c r="P18" s="2" t="b">
        <v>1</v>
      </c>
      <c r="Q18" s="2" t="b">
        <v>0</v>
      </c>
      <c r="R18" s="2" t="s">
        <v>130</v>
      </c>
      <c r="S18" s="2"/>
      <c r="T18" s="2" t="s">
        <v>3246</v>
      </c>
      <c r="U18" s="2" t="s">
        <v>1</v>
      </c>
      <c r="V18" s="2" t="s">
        <v>1</v>
      </c>
      <c r="W18" s="1">
        <v>44273</v>
      </c>
      <c r="X18" s="2" t="s">
        <v>1</v>
      </c>
      <c r="Y18" s="2" t="s">
        <v>1</v>
      </c>
      <c r="Z18" s="2" t="s">
        <v>507</v>
      </c>
      <c r="AA18" s="2" t="s">
        <v>1</v>
      </c>
      <c r="AB18" s="2" t="s">
        <v>500</v>
      </c>
      <c r="AC18" s="2" t="s">
        <v>503</v>
      </c>
      <c r="AD18" s="2" t="s">
        <v>504</v>
      </c>
      <c r="AE18" s="2" t="s">
        <v>3887</v>
      </c>
      <c r="AF18" s="1">
        <v>44273</v>
      </c>
      <c r="AG18" s="1">
        <v>44273</v>
      </c>
      <c r="AH18" s="2" t="s">
        <v>3887</v>
      </c>
      <c r="AI18" s="1">
        <v>44273</v>
      </c>
      <c r="AJ18" s="2">
        <v>0.40416666666666667</v>
      </c>
      <c r="AK18" s="2" t="s">
        <v>505</v>
      </c>
    </row>
    <row r="19" spans="1:37" x14ac:dyDescent="0.25">
      <c r="A19" s="2">
        <v>0</v>
      </c>
      <c r="B19" s="2">
        <v>433461</v>
      </c>
      <c r="C19" s="2">
        <v>844826</v>
      </c>
      <c r="D19" s="2" t="s">
        <v>1</v>
      </c>
      <c r="E19" s="2" t="s">
        <v>2760</v>
      </c>
      <c r="F19" s="2">
        <v>1</v>
      </c>
      <c r="G19" s="2" t="s">
        <v>223</v>
      </c>
      <c r="H19" s="2" t="s">
        <v>543</v>
      </c>
      <c r="I19" s="2" t="s">
        <v>623</v>
      </c>
      <c r="J19" s="2">
        <v>304643</v>
      </c>
      <c r="K19" s="2" t="s">
        <v>498</v>
      </c>
      <c r="L19" s="2" t="s">
        <v>75</v>
      </c>
      <c r="M19" s="2" t="s">
        <v>225</v>
      </c>
      <c r="N19" s="2">
        <v>1</v>
      </c>
      <c r="O19" s="2" t="s">
        <v>499</v>
      </c>
      <c r="P19" s="2" t="b">
        <v>1</v>
      </c>
      <c r="Q19" s="2" t="b">
        <v>0</v>
      </c>
      <c r="R19" s="2" t="s">
        <v>130</v>
      </c>
      <c r="S19" s="2"/>
      <c r="T19" s="2" t="s">
        <v>500</v>
      </c>
      <c r="U19" s="2" t="s">
        <v>1</v>
      </c>
      <c r="V19" s="2" t="s">
        <v>1</v>
      </c>
      <c r="W19" s="1">
        <v>44273</v>
      </c>
      <c r="X19" s="2" t="s">
        <v>501</v>
      </c>
      <c r="Y19" s="2" t="s">
        <v>130</v>
      </c>
      <c r="Z19" s="2" t="s">
        <v>502</v>
      </c>
      <c r="AA19" s="2" t="s">
        <v>1</v>
      </c>
      <c r="AB19" s="2" t="s">
        <v>500</v>
      </c>
      <c r="AC19" s="2" t="s">
        <v>503</v>
      </c>
      <c r="AD19" s="2" t="s">
        <v>504</v>
      </c>
      <c r="AE19" s="2" t="s">
        <v>3887</v>
      </c>
      <c r="AF19" s="1">
        <v>44273</v>
      </c>
      <c r="AG19" s="1">
        <v>44273</v>
      </c>
      <c r="AH19" s="2" t="s">
        <v>3887</v>
      </c>
      <c r="AI19" s="1">
        <v>44273</v>
      </c>
      <c r="AJ19" s="2">
        <v>0.41319444444444442</v>
      </c>
      <c r="AK19" s="2" t="s">
        <v>505</v>
      </c>
    </row>
    <row r="20" spans="1:37" x14ac:dyDescent="0.25">
      <c r="A20" s="2">
        <v>0</v>
      </c>
      <c r="B20" s="2">
        <v>433551</v>
      </c>
      <c r="C20" s="2">
        <v>844935</v>
      </c>
      <c r="D20" s="2" t="s">
        <v>1</v>
      </c>
      <c r="E20" s="2" t="s">
        <v>3146</v>
      </c>
      <c r="F20" s="2">
        <v>1</v>
      </c>
      <c r="G20" s="2" t="s">
        <v>206</v>
      </c>
      <c r="H20" s="2" t="s">
        <v>3147</v>
      </c>
      <c r="I20" s="2" t="s">
        <v>499</v>
      </c>
      <c r="J20" s="2">
        <v>304676</v>
      </c>
      <c r="K20" s="2" t="s">
        <v>498</v>
      </c>
      <c r="L20" s="2" t="s">
        <v>3958</v>
      </c>
      <c r="M20" s="2" t="s">
        <v>207</v>
      </c>
      <c r="N20" s="2">
        <v>1</v>
      </c>
      <c r="O20" s="2" t="s">
        <v>499</v>
      </c>
      <c r="P20" s="2" t="b">
        <v>1</v>
      </c>
      <c r="Q20" s="2" t="b">
        <v>0</v>
      </c>
      <c r="R20" s="2" t="s">
        <v>130</v>
      </c>
      <c r="S20" s="2"/>
      <c r="T20" s="2" t="s">
        <v>500</v>
      </c>
      <c r="U20" s="2" t="s">
        <v>1</v>
      </c>
      <c r="V20" s="2" t="s">
        <v>1</v>
      </c>
      <c r="W20" s="1">
        <v>44273</v>
      </c>
      <c r="X20" s="2" t="s">
        <v>501</v>
      </c>
      <c r="Y20" s="2" t="s">
        <v>130</v>
      </c>
      <c r="Z20" s="2" t="s">
        <v>502</v>
      </c>
      <c r="AA20" s="2" t="s">
        <v>1</v>
      </c>
      <c r="AB20" s="2" t="s">
        <v>500</v>
      </c>
      <c r="AC20" s="2" t="s">
        <v>503</v>
      </c>
      <c r="AD20" s="2" t="s">
        <v>504</v>
      </c>
      <c r="AE20" s="2" t="s">
        <v>3887</v>
      </c>
      <c r="AF20" s="1">
        <v>44273</v>
      </c>
      <c r="AG20" s="1">
        <v>44273</v>
      </c>
      <c r="AH20" s="2" t="s">
        <v>3887</v>
      </c>
      <c r="AI20" s="1">
        <v>44273</v>
      </c>
      <c r="AJ20" s="2">
        <v>0.48888888888888887</v>
      </c>
      <c r="AK20" s="2" t="s">
        <v>505</v>
      </c>
    </row>
    <row r="21" spans="1:37" x14ac:dyDescent="0.25">
      <c r="A21" s="2">
        <v>0</v>
      </c>
      <c r="B21" s="2">
        <v>432263</v>
      </c>
      <c r="C21" s="2">
        <v>842945</v>
      </c>
      <c r="D21" s="2" t="s">
        <v>1</v>
      </c>
      <c r="E21" s="2" t="s">
        <v>2746</v>
      </c>
      <c r="F21" s="2">
        <v>1</v>
      </c>
      <c r="G21" s="2" t="s">
        <v>738</v>
      </c>
      <c r="H21" s="2" t="s">
        <v>2747</v>
      </c>
      <c r="I21" s="2" t="s">
        <v>499</v>
      </c>
      <c r="J21" s="2">
        <v>303578</v>
      </c>
      <c r="K21" s="2" t="s">
        <v>498</v>
      </c>
      <c r="L21" s="2" t="s">
        <v>42</v>
      </c>
      <c r="M21" s="2" t="s">
        <v>2720</v>
      </c>
      <c r="N21" s="2">
        <v>1</v>
      </c>
      <c r="O21" s="2" t="s">
        <v>499</v>
      </c>
      <c r="P21" s="2" t="b">
        <v>1</v>
      </c>
      <c r="Q21" s="2" t="b">
        <v>0</v>
      </c>
      <c r="R21" s="2" t="s">
        <v>130</v>
      </c>
      <c r="S21" s="2"/>
      <c r="T21" s="2" t="s">
        <v>500</v>
      </c>
      <c r="U21" s="2" t="s">
        <v>1</v>
      </c>
      <c r="V21" s="2" t="s">
        <v>1</v>
      </c>
      <c r="W21" s="1">
        <v>44272</v>
      </c>
      <c r="X21" s="2" t="s">
        <v>501</v>
      </c>
      <c r="Y21" s="2" t="s">
        <v>130</v>
      </c>
      <c r="Z21" s="2" t="s">
        <v>502</v>
      </c>
      <c r="AA21" s="2" t="s">
        <v>1</v>
      </c>
      <c r="AB21" s="2" t="s">
        <v>500</v>
      </c>
      <c r="AC21" s="2" t="s">
        <v>503</v>
      </c>
      <c r="AD21" s="2" t="s">
        <v>504</v>
      </c>
      <c r="AE21" s="2" t="s">
        <v>3887</v>
      </c>
      <c r="AF21" s="1">
        <v>44272</v>
      </c>
      <c r="AG21" s="1">
        <v>44272</v>
      </c>
      <c r="AH21" s="2" t="s">
        <v>3887</v>
      </c>
      <c r="AI21" s="1">
        <v>44272</v>
      </c>
      <c r="AJ21" s="2">
        <v>0.19236111111111112</v>
      </c>
      <c r="AK21" s="2" t="s">
        <v>505</v>
      </c>
    </row>
    <row r="22" spans="1:37" x14ac:dyDescent="0.25">
      <c r="A22" s="2">
        <v>0</v>
      </c>
      <c r="B22" s="2">
        <v>432499</v>
      </c>
      <c r="C22" s="2">
        <v>843538</v>
      </c>
      <c r="D22" s="2" t="s">
        <v>1</v>
      </c>
      <c r="E22" s="2" t="s">
        <v>3281</v>
      </c>
      <c r="F22" s="2">
        <v>1</v>
      </c>
      <c r="G22" s="2" t="s">
        <v>157</v>
      </c>
      <c r="H22" s="2" t="s">
        <v>517</v>
      </c>
      <c r="I22" s="2" t="s">
        <v>499</v>
      </c>
      <c r="J22" s="2">
        <v>303985</v>
      </c>
      <c r="K22" s="2" t="s">
        <v>498</v>
      </c>
      <c r="L22" s="2" t="s">
        <v>3964</v>
      </c>
      <c r="M22" s="2" t="s">
        <v>151</v>
      </c>
      <c r="N22" s="2">
        <v>1</v>
      </c>
      <c r="O22" s="2" t="s">
        <v>499</v>
      </c>
      <c r="P22" s="2" t="b">
        <v>1</v>
      </c>
      <c r="Q22" s="2" t="b">
        <v>0</v>
      </c>
      <c r="R22" s="2" t="s">
        <v>130</v>
      </c>
      <c r="S22" s="2"/>
      <c r="T22" s="2" t="s">
        <v>500</v>
      </c>
      <c r="U22" s="2" t="s">
        <v>1</v>
      </c>
      <c r="V22" s="2" t="s">
        <v>1</v>
      </c>
      <c r="W22" s="1">
        <v>44272</v>
      </c>
      <c r="X22" s="2" t="s">
        <v>501</v>
      </c>
      <c r="Y22" s="2" t="s">
        <v>130</v>
      </c>
      <c r="Z22" s="2" t="s">
        <v>502</v>
      </c>
      <c r="AA22" s="2" t="s">
        <v>1</v>
      </c>
      <c r="AB22" s="2" t="s">
        <v>500</v>
      </c>
      <c r="AC22" s="2" t="s">
        <v>503</v>
      </c>
      <c r="AD22" s="2" t="s">
        <v>504</v>
      </c>
      <c r="AE22" s="2" t="s">
        <v>3887</v>
      </c>
      <c r="AF22" s="1">
        <v>44272</v>
      </c>
      <c r="AG22" s="1">
        <v>44272</v>
      </c>
      <c r="AH22" s="2" t="s">
        <v>3887</v>
      </c>
      <c r="AI22" s="1">
        <v>44272</v>
      </c>
      <c r="AJ22" s="2">
        <v>0.40694444444444444</v>
      </c>
      <c r="AK22" s="2" t="s">
        <v>505</v>
      </c>
    </row>
    <row r="23" spans="1:37" x14ac:dyDescent="0.25">
      <c r="A23" s="2">
        <v>0</v>
      </c>
      <c r="B23" s="2">
        <v>428741</v>
      </c>
      <c r="C23" s="2">
        <v>839067</v>
      </c>
      <c r="D23" s="2" t="s">
        <v>1</v>
      </c>
      <c r="E23" s="2" t="s">
        <v>2956</v>
      </c>
      <c r="F23" s="2">
        <v>1</v>
      </c>
      <c r="G23" s="2" t="s">
        <v>326</v>
      </c>
      <c r="H23" s="2" t="s">
        <v>2957</v>
      </c>
      <c r="I23" s="2" t="s">
        <v>623</v>
      </c>
      <c r="J23" s="2">
        <v>301229</v>
      </c>
      <c r="K23" s="2" t="s">
        <v>498</v>
      </c>
      <c r="L23" s="2" t="s">
        <v>3932</v>
      </c>
      <c r="M23" s="2" t="s">
        <v>132</v>
      </c>
      <c r="N23" s="2">
        <v>1</v>
      </c>
      <c r="O23" s="2" t="s">
        <v>499</v>
      </c>
      <c r="P23" s="2" t="b">
        <v>1</v>
      </c>
      <c r="Q23" s="2" t="b">
        <v>0</v>
      </c>
      <c r="R23" s="2" t="s">
        <v>130</v>
      </c>
      <c r="S23" s="2"/>
      <c r="T23" s="2" t="s">
        <v>500</v>
      </c>
      <c r="U23" s="2" t="s">
        <v>1</v>
      </c>
      <c r="V23" s="2" t="s">
        <v>1</v>
      </c>
      <c r="W23" s="1">
        <v>44268</v>
      </c>
      <c r="X23" s="2" t="s">
        <v>501</v>
      </c>
      <c r="Y23" s="2" t="s">
        <v>130</v>
      </c>
      <c r="Z23" s="2" t="s">
        <v>502</v>
      </c>
      <c r="AA23" s="2" t="s">
        <v>1</v>
      </c>
      <c r="AB23" s="2" t="s">
        <v>500</v>
      </c>
      <c r="AC23" s="2" t="s">
        <v>503</v>
      </c>
      <c r="AD23" s="2" t="s">
        <v>504</v>
      </c>
      <c r="AE23" s="2" t="s">
        <v>3887</v>
      </c>
      <c r="AF23" s="1">
        <v>44268</v>
      </c>
      <c r="AG23" s="1">
        <v>44268</v>
      </c>
      <c r="AH23" s="2" t="s">
        <v>3887</v>
      </c>
      <c r="AI23" s="1">
        <v>44268</v>
      </c>
      <c r="AJ23" s="2">
        <v>0.11874999999999999</v>
      </c>
      <c r="AK23" s="2" t="s">
        <v>505</v>
      </c>
    </row>
    <row r="24" spans="1:37" x14ac:dyDescent="0.25">
      <c r="A24" s="2">
        <v>0</v>
      </c>
      <c r="B24" s="2">
        <v>428803</v>
      </c>
      <c r="C24" s="2">
        <v>839115</v>
      </c>
      <c r="D24" s="2" t="s">
        <v>1</v>
      </c>
      <c r="E24" s="2" t="s">
        <v>2887</v>
      </c>
      <c r="F24" s="2">
        <v>1</v>
      </c>
      <c r="G24" s="2" t="s">
        <v>326</v>
      </c>
      <c r="H24" s="2" t="s">
        <v>2888</v>
      </c>
      <c r="I24" s="2" t="s">
        <v>623</v>
      </c>
      <c r="J24" s="2">
        <v>301247</v>
      </c>
      <c r="K24" s="2" t="s">
        <v>498</v>
      </c>
      <c r="L24" s="2" t="s">
        <v>3932</v>
      </c>
      <c r="M24" s="2" t="s">
        <v>132</v>
      </c>
      <c r="N24" s="2">
        <v>1</v>
      </c>
      <c r="O24" s="2" t="s">
        <v>499</v>
      </c>
      <c r="P24" s="2" t="b">
        <v>1</v>
      </c>
      <c r="Q24" s="2" t="b">
        <v>0</v>
      </c>
      <c r="R24" s="2" t="s">
        <v>130</v>
      </c>
      <c r="S24" s="2"/>
      <c r="T24" s="2" t="s">
        <v>500</v>
      </c>
      <c r="U24" s="2" t="s">
        <v>1</v>
      </c>
      <c r="V24" s="2" t="s">
        <v>1</v>
      </c>
      <c r="W24" s="1">
        <v>44268</v>
      </c>
      <c r="X24" s="2" t="s">
        <v>501</v>
      </c>
      <c r="Y24" s="2" t="s">
        <v>130</v>
      </c>
      <c r="Z24" s="2" t="s">
        <v>502</v>
      </c>
      <c r="AA24" s="2" t="s">
        <v>1</v>
      </c>
      <c r="AB24" s="2" t="s">
        <v>500</v>
      </c>
      <c r="AC24" s="2" t="s">
        <v>503</v>
      </c>
      <c r="AD24" s="2" t="s">
        <v>504</v>
      </c>
      <c r="AE24" s="2" t="s">
        <v>3887</v>
      </c>
      <c r="AF24" s="1">
        <v>44268</v>
      </c>
      <c r="AG24" s="1">
        <v>44268</v>
      </c>
      <c r="AH24" s="2" t="s">
        <v>3887</v>
      </c>
      <c r="AI24" s="1">
        <v>44268</v>
      </c>
      <c r="AJ24" s="2">
        <v>0.15972222222222221</v>
      </c>
      <c r="AK24" s="2" t="s">
        <v>505</v>
      </c>
    </row>
    <row r="25" spans="1:37" x14ac:dyDescent="0.25">
      <c r="A25" s="2">
        <v>0</v>
      </c>
      <c r="B25" s="2">
        <v>429020</v>
      </c>
      <c r="C25" s="2">
        <v>839567</v>
      </c>
      <c r="D25" s="2" t="s">
        <v>1</v>
      </c>
      <c r="E25" s="2" t="s">
        <v>2915</v>
      </c>
      <c r="F25" s="2">
        <v>1</v>
      </c>
      <c r="G25" s="2" t="s">
        <v>206</v>
      </c>
      <c r="H25" s="2" t="s">
        <v>2916</v>
      </c>
      <c r="I25" s="2" t="s">
        <v>499</v>
      </c>
      <c r="J25" s="2">
        <v>301545</v>
      </c>
      <c r="K25" s="2" t="s">
        <v>498</v>
      </c>
      <c r="L25" s="2" t="s">
        <v>3958</v>
      </c>
      <c r="M25" s="2" t="s">
        <v>207</v>
      </c>
      <c r="N25" s="2">
        <v>1</v>
      </c>
      <c r="O25" s="2" t="s">
        <v>499</v>
      </c>
      <c r="P25" s="2" t="b">
        <v>1</v>
      </c>
      <c r="Q25" s="2" t="b">
        <v>0</v>
      </c>
      <c r="R25" s="2" t="s">
        <v>130</v>
      </c>
      <c r="S25" s="2"/>
      <c r="T25" s="2" t="s">
        <v>500</v>
      </c>
      <c r="U25" s="2" t="s">
        <v>1</v>
      </c>
      <c r="V25" s="2" t="s">
        <v>1</v>
      </c>
      <c r="W25" s="1">
        <v>44268</v>
      </c>
      <c r="X25" s="2" t="s">
        <v>501</v>
      </c>
      <c r="Y25" s="2" t="s">
        <v>130</v>
      </c>
      <c r="Z25" s="2" t="s">
        <v>502</v>
      </c>
      <c r="AA25" s="2" t="s">
        <v>1</v>
      </c>
      <c r="AB25" s="2" t="s">
        <v>500</v>
      </c>
      <c r="AC25" s="2" t="s">
        <v>503</v>
      </c>
      <c r="AD25" s="2" t="s">
        <v>504</v>
      </c>
      <c r="AE25" s="2" t="s">
        <v>3887</v>
      </c>
      <c r="AF25" s="1">
        <v>44268</v>
      </c>
      <c r="AG25" s="1">
        <v>44268</v>
      </c>
      <c r="AH25" s="2" t="s">
        <v>3887</v>
      </c>
      <c r="AI25" s="1">
        <v>44268</v>
      </c>
      <c r="AJ25" s="2">
        <v>0.48888888888888887</v>
      </c>
      <c r="AK25" s="2" t="s">
        <v>505</v>
      </c>
    </row>
    <row r="26" spans="1:37" x14ac:dyDescent="0.25">
      <c r="A26" s="2">
        <v>0</v>
      </c>
      <c r="B26" s="2">
        <v>429036</v>
      </c>
      <c r="C26" s="2">
        <v>839753</v>
      </c>
      <c r="D26" s="2" t="s">
        <v>1</v>
      </c>
      <c r="E26" s="2" t="s">
        <v>2988</v>
      </c>
      <c r="F26" s="2">
        <v>1</v>
      </c>
      <c r="G26" s="2" t="s">
        <v>206</v>
      </c>
      <c r="H26" s="2" t="s">
        <v>2989</v>
      </c>
      <c r="I26" s="2" t="s">
        <v>499</v>
      </c>
      <c r="J26" s="2">
        <v>301722</v>
      </c>
      <c r="K26" s="2" t="s">
        <v>498</v>
      </c>
      <c r="L26" s="2" t="s">
        <v>3958</v>
      </c>
      <c r="M26" s="2" t="s">
        <v>207</v>
      </c>
      <c r="N26" s="2">
        <v>1</v>
      </c>
      <c r="O26" s="2" t="s">
        <v>499</v>
      </c>
      <c r="P26" s="2" t="b">
        <v>1</v>
      </c>
      <c r="Q26" s="2" t="b">
        <v>0</v>
      </c>
      <c r="R26" s="2" t="s">
        <v>130</v>
      </c>
      <c r="S26" s="2"/>
      <c r="T26" s="2" t="s">
        <v>500</v>
      </c>
      <c r="U26" s="2" t="s">
        <v>1</v>
      </c>
      <c r="V26" s="2" t="s">
        <v>1</v>
      </c>
      <c r="W26" s="1">
        <v>44268</v>
      </c>
      <c r="X26" s="2" t="s">
        <v>501</v>
      </c>
      <c r="Y26" s="2" t="s">
        <v>130</v>
      </c>
      <c r="Z26" s="2" t="s">
        <v>502</v>
      </c>
      <c r="AA26" s="2" t="s">
        <v>1</v>
      </c>
      <c r="AB26" s="2" t="s">
        <v>500</v>
      </c>
      <c r="AC26" s="2" t="s">
        <v>503</v>
      </c>
      <c r="AD26" s="2" t="s">
        <v>504</v>
      </c>
      <c r="AE26" s="2" t="s">
        <v>3887</v>
      </c>
      <c r="AF26" s="1">
        <v>44268</v>
      </c>
      <c r="AG26" s="1">
        <v>44268</v>
      </c>
      <c r="AH26" s="2" t="s">
        <v>3887</v>
      </c>
      <c r="AI26" s="1">
        <v>44268</v>
      </c>
      <c r="AJ26" s="2">
        <v>0.50347222222222221</v>
      </c>
      <c r="AK26" s="2" t="s">
        <v>505</v>
      </c>
    </row>
    <row r="27" spans="1:37" x14ac:dyDescent="0.25">
      <c r="A27" s="2">
        <v>0</v>
      </c>
      <c r="B27" s="2">
        <v>428346</v>
      </c>
      <c r="C27" s="2">
        <v>838396</v>
      </c>
      <c r="D27" s="2" t="s">
        <v>1</v>
      </c>
      <c r="E27" s="2" t="s">
        <v>2911</v>
      </c>
      <c r="F27" s="2">
        <v>1</v>
      </c>
      <c r="G27" s="2" t="s">
        <v>326</v>
      </c>
      <c r="H27" s="2" t="s">
        <v>398</v>
      </c>
      <c r="I27" s="2" t="s">
        <v>623</v>
      </c>
      <c r="J27" s="2">
        <v>300928</v>
      </c>
      <c r="K27" s="2" t="s">
        <v>498</v>
      </c>
      <c r="L27" s="2" t="s">
        <v>3932</v>
      </c>
      <c r="M27" s="2" t="s">
        <v>132</v>
      </c>
      <c r="N27" s="2">
        <v>1</v>
      </c>
      <c r="O27" s="2" t="s">
        <v>499</v>
      </c>
      <c r="P27" s="2" t="b">
        <v>1</v>
      </c>
      <c r="Q27" s="2" t="b">
        <v>0</v>
      </c>
      <c r="R27" s="2" t="s">
        <v>130</v>
      </c>
      <c r="S27" s="2"/>
      <c r="T27" s="2" t="s">
        <v>500</v>
      </c>
      <c r="U27" s="2" t="s">
        <v>1</v>
      </c>
      <c r="V27" s="2" t="s">
        <v>1</v>
      </c>
      <c r="W27" s="1">
        <v>44267</v>
      </c>
      <c r="X27" s="2" t="s">
        <v>501</v>
      </c>
      <c r="Y27" s="2" t="s">
        <v>130</v>
      </c>
      <c r="Z27" s="2" t="s">
        <v>502</v>
      </c>
      <c r="AA27" s="2" t="s">
        <v>1</v>
      </c>
      <c r="AB27" s="2" t="s">
        <v>500</v>
      </c>
      <c r="AC27" s="2" t="s">
        <v>503</v>
      </c>
      <c r="AD27" s="2" t="s">
        <v>504</v>
      </c>
      <c r="AE27" s="2" t="s">
        <v>3887</v>
      </c>
      <c r="AF27" s="1">
        <v>44267</v>
      </c>
      <c r="AG27" s="1">
        <v>44267</v>
      </c>
      <c r="AH27" s="2" t="s">
        <v>3887</v>
      </c>
      <c r="AI27" s="1">
        <v>44267</v>
      </c>
      <c r="AJ27" s="2">
        <v>0.41041666666666665</v>
      </c>
      <c r="AK27" s="2" t="s">
        <v>505</v>
      </c>
    </row>
    <row r="28" spans="1:37" x14ac:dyDescent="0.25">
      <c r="A28" s="2">
        <v>0</v>
      </c>
      <c r="B28" s="2">
        <v>425964</v>
      </c>
      <c r="C28" s="2">
        <v>835264</v>
      </c>
      <c r="D28" s="2" t="s">
        <v>1</v>
      </c>
      <c r="E28" s="2" t="s">
        <v>2744</v>
      </c>
      <c r="F28" s="2">
        <v>1</v>
      </c>
      <c r="G28" s="2" t="s">
        <v>223</v>
      </c>
      <c r="H28" s="2" t="s">
        <v>529</v>
      </c>
      <c r="I28" s="2" t="s">
        <v>623</v>
      </c>
      <c r="J28" s="2">
        <v>299133</v>
      </c>
      <c r="K28" s="2" t="s">
        <v>498</v>
      </c>
      <c r="L28" s="2" t="s">
        <v>75</v>
      </c>
      <c r="M28" s="2" t="s">
        <v>225</v>
      </c>
      <c r="N28" s="2">
        <v>1</v>
      </c>
      <c r="O28" s="2" t="s">
        <v>499</v>
      </c>
      <c r="P28" s="2" t="b">
        <v>1</v>
      </c>
      <c r="Q28" s="2" t="b">
        <v>0</v>
      </c>
      <c r="R28" s="2" t="s">
        <v>130</v>
      </c>
      <c r="S28" s="2"/>
      <c r="T28" s="2" t="s">
        <v>500</v>
      </c>
      <c r="U28" s="2" t="s">
        <v>1</v>
      </c>
      <c r="V28" s="2" t="s">
        <v>1</v>
      </c>
      <c r="W28" s="1">
        <v>44265</v>
      </c>
      <c r="X28" s="2" t="s">
        <v>501</v>
      </c>
      <c r="Y28" s="2" t="s">
        <v>130</v>
      </c>
      <c r="Z28" s="2" t="s">
        <v>502</v>
      </c>
      <c r="AA28" s="2" t="s">
        <v>1</v>
      </c>
      <c r="AB28" s="2" t="s">
        <v>500</v>
      </c>
      <c r="AC28" s="2" t="s">
        <v>503</v>
      </c>
      <c r="AD28" s="2" t="s">
        <v>504</v>
      </c>
      <c r="AE28" s="2" t="s">
        <v>3887</v>
      </c>
      <c r="AF28" s="1">
        <v>44265</v>
      </c>
      <c r="AG28" s="1">
        <v>44265</v>
      </c>
      <c r="AH28" s="2" t="s">
        <v>3887</v>
      </c>
      <c r="AI28" s="1">
        <v>44265</v>
      </c>
      <c r="AJ28" s="2">
        <v>0.25763888888888886</v>
      </c>
      <c r="AK28" s="2" t="s">
        <v>505</v>
      </c>
    </row>
    <row r="29" spans="1:37" x14ac:dyDescent="0.25">
      <c r="A29" s="2">
        <v>0</v>
      </c>
      <c r="B29" s="2">
        <v>426113</v>
      </c>
      <c r="C29" s="2">
        <v>835439</v>
      </c>
      <c r="D29" s="2" t="s">
        <v>1</v>
      </c>
      <c r="E29" s="2" t="s">
        <v>2753</v>
      </c>
      <c r="F29" s="2">
        <v>1</v>
      </c>
      <c r="G29" s="2" t="s">
        <v>223</v>
      </c>
      <c r="H29" s="2" t="s">
        <v>523</v>
      </c>
      <c r="I29" s="2" t="s">
        <v>623</v>
      </c>
      <c r="J29" s="2">
        <v>299249</v>
      </c>
      <c r="K29" s="2" t="s">
        <v>498</v>
      </c>
      <c r="L29" s="2" t="s">
        <v>75</v>
      </c>
      <c r="M29" s="2" t="s">
        <v>225</v>
      </c>
      <c r="N29" s="2">
        <v>1</v>
      </c>
      <c r="O29" s="2" t="s">
        <v>499</v>
      </c>
      <c r="P29" s="2" t="b">
        <v>1</v>
      </c>
      <c r="Q29" s="2" t="b">
        <v>0</v>
      </c>
      <c r="R29" s="2" t="s">
        <v>130</v>
      </c>
      <c r="S29" s="2"/>
      <c r="T29" s="2" t="s">
        <v>500</v>
      </c>
      <c r="U29" s="2" t="s">
        <v>1</v>
      </c>
      <c r="V29" s="2" t="s">
        <v>1</v>
      </c>
      <c r="W29" s="1">
        <v>44265</v>
      </c>
      <c r="X29" s="2" t="s">
        <v>501</v>
      </c>
      <c r="Y29" s="2" t="s">
        <v>130</v>
      </c>
      <c r="Z29" s="2" t="s">
        <v>502</v>
      </c>
      <c r="AA29" s="2" t="s">
        <v>1</v>
      </c>
      <c r="AB29" s="2" t="s">
        <v>500</v>
      </c>
      <c r="AC29" s="2" t="s">
        <v>503</v>
      </c>
      <c r="AD29" s="2" t="s">
        <v>504</v>
      </c>
      <c r="AE29" s="2" t="s">
        <v>3887</v>
      </c>
      <c r="AF29" s="1">
        <v>44265</v>
      </c>
      <c r="AG29" s="1">
        <v>44265</v>
      </c>
      <c r="AH29" s="2" t="s">
        <v>3887</v>
      </c>
      <c r="AI29" s="1">
        <v>44265</v>
      </c>
      <c r="AJ29" s="2">
        <v>0.33541666666666664</v>
      </c>
      <c r="AK29" s="2" t="s">
        <v>505</v>
      </c>
    </row>
    <row r="30" spans="1:37" x14ac:dyDescent="0.25">
      <c r="A30" s="2">
        <v>0</v>
      </c>
      <c r="B30" s="2">
        <v>426113</v>
      </c>
      <c r="C30" s="2">
        <v>835444</v>
      </c>
      <c r="D30" s="2" t="s">
        <v>1</v>
      </c>
      <c r="E30" s="2" t="s">
        <v>2753</v>
      </c>
      <c r="F30" s="2">
        <v>1</v>
      </c>
      <c r="G30" s="2" t="s">
        <v>4048</v>
      </c>
      <c r="H30" s="2" t="s">
        <v>4051</v>
      </c>
      <c r="I30" s="2" t="s">
        <v>506</v>
      </c>
      <c r="J30" s="2">
        <v>299253</v>
      </c>
      <c r="K30" s="2" t="s">
        <v>498</v>
      </c>
      <c r="L30" s="2" t="s">
        <v>75</v>
      </c>
      <c r="M30" s="2" t="s">
        <v>4050</v>
      </c>
      <c r="N30" s="2">
        <v>1</v>
      </c>
      <c r="O30" s="2" t="s">
        <v>499</v>
      </c>
      <c r="P30" s="2" t="b">
        <v>1</v>
      </c>
      <c r="Q30" s="2" t="b">
        <v>0</v>
      </c>
      <c r="R30" s="2" t="s">
        <v>130</v>
      </c>
      <c r="S30" s="2"/>
      <c r="T30" s="2" t="s">
        <v>500</v>
      </c>
      <c r="U30" s="2" t="s">
        <v>1</v>
      </c>
      <c r="V30" s="2" t="s">
        <v>1</v>
      </c>
      <c r="W30" s="1">
        <v>44265</v>
      </c>
      <c r="X30" s="2" t="s">
        <v>1</v>
      </c>
      <c r="Y30" s="2" t="s">
        <v>1</v>
      </c>
      <c r="Z30" s="2" t="s">
        <v>507</v>
      </c>
      <c r="AA30" s="2" t="s">
        <v>1</v>
      </c>
      <c r="AB30" s="2" t="s">
        <v>500</v>
      </c>
      <c r="AC30" s="2" t="s">
        <v>503</v>
      </c>
      <c r="AD30" s="2" t="s">
        <v>504</v>
      </c>
      <c r="AE30" s="2" t="s">
        <v>3887</v>
      </c>
      <c r="AF30" s="1">
        <v>44265</v>
      </c>
      <c r="AG30" s="1">
        <v>44265</v>
      </c>
      <c r="AH30" s="2" t="s">
        <v>3887</v>
      </c>
      <c r="AI30" s="1">
        <v>44265</v>
      </c>
      <c r="AJ30" s="2">
        <v>0.33541666666666664</v>
      </c>
      <c r="AK30" s="2" t="s">
        <v>505</v>
      </c>
    </row>
    <row r="31" spans="1:37" x14ac:dyDescent="0.25">
      <c r="A31" s="2">
        <v>0</v>
      </c>
      <c r="B31" s="2">
        <v>426209</v>
      </c>
      <c r="C31" s="2">
        <v>835553</v>
      </c>
      <c r="D31" s="2" t="s">
        <v>1</v>
      </c>
      <c r="E31" s="2" t="s">
        <v>2740</v>
      </c>
      <c r="F31" s="2">
        <v>1</v>
      </c>
      <c r="G31" s="2" t="s">
        <v>223</v>
      </c>
      <c r="H31" s="2" t="s">
        <v>348</v>
      </c>
      <c r="I31" s="2" t="s">
        <v>623</v>
      </c>
      <c r="J31" s="2">
        <v>299308</v>
      </c>
      <c r="K31" s="2" t="s">
        <v>498</v>
      </c>
      <c r="L31" s="2" t="s">
        <v>75</v>
      </c>
      <c r="M31" s="2" t="s">
        <v>225</v>
      </c>
      <c r="N31" s="2">
        <v>1</v>
      </c>
      <c r="O31" s="2" t="s">
        <v>499</v>
      </c>
      <c r="P31" s="2" t="b">
        <v>1</v>
      </c>
      <c r="Q31" s="2" t="b">
        <v>0</v>
      </c>
      <c r="R31" s="2" t="s">
        <v>130</v>
      </c>
      <c r="S31" s="2"/>
      <c r="T31" s="2" t="s">
        <v>500</v>
      </c>
      <c r="U31" s="2" t="s">
        <v>1</v>
      </c>
      <c r="V31" s="2" t="s">
        <v>1</v>
      </c>
      <c r="W31" s="1">
        <v>44265</v>
      </c>
      <c r="X31" s="2" t="s">
        <v>501</v>
      </c>
      <c r="Y31" s="2" t="s">
        <v>130</v>
      </c>
      <c r="Z31" s="2" t="s">
        <v>502</v>
      </c>
      <c r="AA31" s="2" t="s">
        <v>1</v>
      </c>
      <c r="AB31" s="2" t="s">
        <v>500</v>
      </c>
      <c r="AC31" s="2" t="s">
        <v>503</v>
      </c>
      <c r="AD31" s="2" t="s">
        <v>504</v>
      </c>
      <c r="AE31" s="2" t="s">
        <v>3887</v>
      </c>
      <c r="AF31" s="1">
        <v>44265</v>
      </c>
      <c r="AG31" s="1">
        <v>44265</v>
      </c>
      <c r="AH31" s="2" t="s">
        <v>3887</v>
      </c>
      <c r="AI31" s="1">
        <v>44265</v>
      </c>
      <c r="AJ31" s="2">
        <v>0.40972222222222221</v>
      </c>
      <c r="AK31" s="2" t="s">
        <v>505</v>
      </c>
    </row>
    <row r="32" spans="1:37" x14ac:dyDescent="0.25">
      <c r="A32" s="2">
        <v>0</v>
      </c>
      <c r="B32" s="2">
        <v>424945</v>
      </c>
      <c r="C32" s="2">
        <v>834039</v>
      </c>
      <c r="D32" s="2" t="s">
        <v>1</v>
      </c>
      <c r="E32" s="2" t="s">
        <v>2705</v>
      </c>
      <c r="F32" s="2">
        <v>1</v>
      </c>
      <c r="G32" s="2" t="s">
        <v>206</v>
      </c>
      <c r="H32" s="2" t="s">
        <v>2706</v>
      </c>
      <c r="I32" s="2" t="s">
        <v>499</v>
      </c>
      <c r="J32" s="2">
        <v>298402</v>
      </c>
      <c r="K32" s="2" t="s">
        <v>498</v>
      </c>
      <c r="L32" s="2" t="s">
        <v>3958</v>
      </c>
      <c r="M32" s="2" t="s">
        <v>207</v>
      </c>
      <c r="N32" s="2">
        <v>1</v>
      </c>
      <c r="O32" s="2" t="s">
        <v>499</v>
      </c>
      <c r="P32" s="2" t="b">
        <v>1</v>
      </c>
      <c r="Q32" s="2" t="b">
        <v>0</v>
      </c>
      <c r="R32" s="2" t="s">
        <v>130</v>
      </c>
      <c r="S32" s="2"/>
      <c r="T32" s="2" t="s">
        <v>500</v>
      </c>
      <c r="U32" s="2" t="s">
        <v>1</v>
      </c>
      <c r="V32" s="2" t="s">
        <v>1</v>
      </c>
      <c r="W32" s="1">
        <v>44264</v>
      </c>
      <c r="X32" s="2" t="s">
        <v>501</v>
      </c>
      <c r="Y32" s="2" t="s">
        <v>130</v>
      </c>
      <c r="Z32" s="2" t="s">
        <v>502</v>
      </c>
      <c r="AA32" s="2" t="s">
        <v>1</v>
      </c>
      <c r="AB32" s="2" t="s">
        <v>500</v>
      </c>
      <c r="AC32" s="2" t="s">
        <v>503</v>
      </c>
      <c r="AD32" s="2" t="s">
        <v>504</v>
      </c>
      <c r="AE32" s="2" t="s">
        <v>3887</v>
      </c>
      <c r="AF32" s="1">
        <v>44264</v>
      </c>
      <c r="AG32" s="1">
        <v>44264</v>
      </c>
      <c r="AH32" s="2" t="s">
        <v>3887</v>
      </c>
      <c r="AI32" s="1">
        <v>44264</v>
      </c>
      <c r="AJ32" s="2">
        <v>0.19652777777777777</v>
      </c>
      <c r="AK32" s="2" t="s">
        <v>505</v>
      </c>
    </row>
    <row r="33" spans="1:37" x14ac:dyDescent="0.25">
      <c r="A33" s="2">
        <v>0</v>
      </c>
      <c r="B33" s="2">
        <v>425187</v>
      </c>
      <c r="C33" s="2">
        <v>834351</v>
      </c>
      <c r="D33" s="2" t="s">
        <v>1</v>
      </c>
      <c r="E33" s="2" t="s">
        <v>2816</v>
      </c>
      <c r="F33" s="2">
        <v>1</v>
      </c>
      <c r="G33" s="2" t="s">
        <v>150</v>
      </c>
      <c r="H33" s="2" t="s">
        <v>2817</v>
      </c>
      <c r="I33" s="2" t="s">
        <v>499</v>
      </c>
      <c r="J33" s="2">
        <v>298580</v>
      </c>
      <c r="K33" s="2" t="s">
        <v>498</v>
      </c>
      <c r="L33" s="2" t="s">
        <v>3964</v>
      </c>
      <c r="M33" s="2" t="s">
        <v>151</v>
      </c>
      <c r="N33" s="2">
        <v>1</v>
      </c>
      <c r="O33" s="2" t="s">
        <v>499</v>
      </c>
      <c r="P33" s="2" t="b">
        <v>1</v>
      </c>
      <c r="Q33" s="2" t="b">
        <v>0</v>
      </c>
      <c r="R33" s="2" t="s">
        <v>130</v>
      </c>
      <c r="S33" s="2"/>
      <c r="T33" s="2" t="s">
        <v>500</v>
      </c>
      <c r="U33" s="2" t="s">
        <v>1</v>
      </c>
      <c r="V33" s="2" t="s">
        <v>1</v>
      </c>
      <c r="W33" s="1">
        <v>44264</v>
      </c>
      <c r="X33" s="2" t="s">
        <v>501</v>
      </c>
      <c r="Y33" s="2" t="s">
        <v>130</v>
      </c>
      <c r="Z33" s="2" t="s">
        <v>502</v>
      </c>
      <c r="AA33" s="2" t="s">
        <v>1</v>
      </c>
      <c r="AB33" s="2" t="s">
        <v>500</v>
      </c>
      <c r="AC33" s="2" t="s">
        <v>503</v>
      </c>
      <c r="AD33" s="2" t="s">
        <v>504</v>
      </c>
      <c r="AE33" s="2" t="s">
        <v>3887</v>
      </c>
      <c r="AF33" s="1">
        <v>44264</v>
      </c>
      <c r="AG33" s="1">
        <v>44264</v>
      </c>
      <c r="AH33" s="2" t="s">
        <v>3887</v>
      </c>
      <c r="AI33" s="1">
        <v>44264</v>
      </c>
      <c r="AJ33" s="2">
        <v>0.35347222222222224</v>
      </c>
      <c r="AK33" s="2" t="s">
        <v>505</v>
      </c>
    </row>
    <row r="34" spans="1:37" x14ac:dyDescent="0.25">
      <c r="A34" s="2">
        <v>0</v>
      </c>
      <c r="B34" s="2">
        <v>425379</v>
      </c>
      <c r="C34" s="2">
        <v>834674</v>
      </c>
      <c r="D34" s="2" t="s">
        <v>1</v>
      </c>
      <c r="E34" s="2" t="s">
        <v>2762</v>
      </c>
      <c r="F34" s="2">
        <v>1</v>
      </c>
      <c r="G34" s="2" t="s">
        <v>157</v>
      </c>
      <c r="H34" s="2" t="s">
        <v>2763</v>
      </c>
      <c r="I34" s="2" t="s">
        <v>623</v>
      </c>
      <c r="J34" s="2">
        <v>298822</v>
      </c>
      <c r="K34" s="2" t="s">
        <v>498</v>
      </c>
      <c r="L34" s="2" t="s">
        <v>3964</v>
      </c>
      <c r="M34" s="2" t="s">
        <v>151</v>
      </c>
      <c r="N34" s="2">
        <v>1</v>
      </c>
      <c r="O34" s="2" t="s">
        <v>499</v>
      </c>
      <c r="P34" s="2" t="b">
        <v>1</v>
      </c>
      <c r="Q34" s="2" t="b">
        <v>0</v>
      </c>
      <c r="R34" s="2" t="s">
        <v>130</v>
      </c>
      <c r="S34" s="2"/>
      <c r="T34" s="2" t="s">
        <v>500</v>
      </c>
      <c r="U34" s="2" t="s">
        <v>1</v>
      </c>
      <c r="V34" s="2" t="s">
        <v>1</v>
      </c>
      <c r="W34" s="1">
        <v>44264</v>
      </c>
      <c r="X34" s="2" t="s">
        <v>501</v>
      </c>
      <c r="Y34" s="2" t="s">
        <v>130</v>
      </c>
      <c r="Z34" s="2" t="s">
        <v>502</v>
      </c>
      <c r="AA34" s="2" t="s">
        <v>1</v>
      </c>
      <c r="AB34" s="2" t="s">
        <v>500</v>
      </c>
      <c r="AC34" s="2" t="s">
        <v>503</v>
      </c>
      <c r="AD34" s="2" t="s">
        <v>504</v>
      </c>
      <c r="AE34" s="2" t="s">
        <v>3887</v>
      </c>
      <c r="AF34" s="1">
        <v>44264</v>
      </c>
      <c r="AG34" s="1">
        <v>44264</v>
      </c>
      <c r="AH34" s="2" t="s">
        <v>3887</v>
      </c>
      <c r="AI34" s="1">
        <v>44264</v>
      </c>
      <c r="AJ34" s="2">
        <v>0.50763888888888886</v>
      </c>
      <c r="AK34" s="2" t="s">
        <v>505</v>
      </c>
    </row>
    <row r="35" spans="1:37" x14ac:dyDescent="0.25">
      <c r="A35" s="2">
        <v>0</v>
      </c>
      <c r="B35" s="2">
        <v>422957</v>
      </c>
      <c r="C35" s="2">
        <v>832160</v>
      </c>
      <c r="D35" s="2" t="s">
        <v>1</v>
      </c>
      <c r="E35" s="2" t="s">
        <v>2736</v>
      </c>
      <c r="F35" s="2">
        <v>1</v>
      </c>
      <c r="G35" s="2" t="s">
        <v>929</v>
      </c>
      <c r="H35" s="2" t="s">
        <v>2737</v>
      </c>
      <c r="I35" s="2" t="s">
        <v>499</v>
      </c>
      <c r="J35" s="2">
        <v>297597</v>
      </c>
      <c r="K35" s="2" t="s">
        <v>498</v>
      </c>
      <c r="L35" s="2" t="s">
        <v>42</v>
      </c>
      <c r="M35" s="2" t="s">
        <v>2739</v>
      </c>
      <c r="N35" s="2">
        <v>1</v>
      </c>
      <c r="O35" s="2" t="s">
        <v>499</v>
      </c>
      <c r="P35" s="2" t="b">
        <v>1</v>
      </c>
      <c r="Q35" s="2" t="b">
        <v>0</v>
      </c>
      <c r="R35" s="2" t="s">
        <v>130</v>
      </c>
      <c r="S35" s="2"/>
      <c r="T35" s="2" t="s">
        <v>500</v>
      </c>
      <c r="U35" s="2" t="s">
        <v>1</v>
      </c>
      <c r="V35" s="2" t="s">
        <v>1</v>
      </c>
      <c r="W35" s="1">
        <v>44261</v>
      </c>
      <c r="X35" s="2" t="s">
        <v>501</v>
      </c>
      <c r="Y35" s="2" t="s">
        <v>130</v>
      </c>
      <c r="Z35" s="2" t="s">
        <v>502</v>
      </c>
      <c r="AA35" s="2" t="s">
        <v>1</v>
      </c>
      <c r="AB35" s="2" t="s">
        <v>500</v>
      </c>
      <c r="AC35" s="2" t="s">
        <v>503</v>
      </c>
      <c r="AD35" s="2" t="s">
        <v>504</v>
      </c>
      <c r="AE35" s="2" t="s">
        <v>3887</v>
      </c>
      <c r="AF35" s="1">
        <v>44261</v>
      </c>
      <c r="AG35" s="1">
        <v>44261</v>
      </c>
      <c r="AH35" s="2" t="s">
        <v>3887</v>
      </c>
      <c r="AI35" s="1">
        <v>44261</v>
      </c>
      <c r="AJ35" s="2">
        <v>0.4777777777777778</v>
      </c>
      <c r="AK35" s="2" t="s">
        <v>505</v>
      </c>
    </row>
    <row r="36" spans="1:37" x14ac:dyDescent="0.25">
      <c r="A36" s="2">
        <v>0</v>
      </c>
      <c r="B36" s="2">
        <v>422974</v>
      </c>
      <c r="C36" s="2">
        <v>832311</v>
      </c>
      <c r="D36" s="2" t="s">
        <v>1</v>
      </c>
      <c r="E36" s="2" t="s">
        <v>2742</v>
      </c>
      <c r="F36" s="2">
        <v>1</v>
      </c>
      <c r="G36" s="2" t="s">
        <v>223</v>
      </c>
      <c r="H36" s="2" t="s">
        <v>524</v>
      </c>
      <c r="I36" s="2" t="s">
        <v>623</v>
      </c>
      <c r="J36" s="2">
        <v>297741</v>
      </c>
      <c r="K36" s="2" t="s">
        <v>498</v>
      </c>
      <c r="L36" s="2" t="s">
        <v>75</v>
      </c>
      <c r="M36" s="2" t="s">
        <v>225</v>
      </c>
      <c r="N36" s="2">
        <v>1</v>
      </c>
      <c r="O36" s="2" t="s">
        <v>499</v>
      </c>
      <c r="P36" s="2" t="b">
        <v>1</v>
      </c>
      <c r="Q36" s="2" t="b">
        <v>0</v>
      </c>
      <c r="R36" s="2" t="s">
        <v>130</v>
      </c>
      <c r="S36" s="2"/>
      <c r="T36" s="2" t="s">
        <v>500</v>
      </c>
      <c r="U36" s="2" t="s">
        <v>1</v>
      </c>
      <c r="V36" s="2" t="s">
        <v>1</v>
      </c>
      <c r="W36" s="1">
        <v>44261</v>
      </c>
      <c r="X36" s="2" t="s">
        <v>501</v>
      </c>
      <c r="Y36" s="2" t="s">
        <v>130</v>
      </c>
      <c r="Z36" s="2" t="s">
        <v>502</v>
      </c>
      <c r="AA36" s="2" t="s">
        <v>1</v>
      </c>
      <c r="AB36" s="2" t="s">
        <v>500</v>
      </c>
      <c r="AC36" s="2" t="s">
        <v>503</v>
      </c>
      <c r="AD36" s="2" t="s">
        <v>504</v>
      </c>
      <c r="AE36" s="2" t="s">
        <v>3887</v>
      </c>
      <c r="AF36" s="1">
        <v>44261</v>
      </c>
      <c r="AG36" s="1">
        <v>44261</v>
      </c>
      <c r="AH36" s="2" t="s">
        <v>3887</v>
      </c>
      <c r="AI36" s="1">
        <v>44261</v>
      </c>
      <c r="AJ36" s="2">
        <v>0.49236111111111114</v>
      </c>
      <c r="AK36" s="2" t="s">
        <v>505</v>
      </c>
    </row>
    <row r="37" spans="1:37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1"/>
      <c r="X37" s="2"/>
      <c r="Y37" s="2"/>
      <c r="Z37" s="2"/>
      <c r="AA37" s="2"/>
      <c r="AB37" s="2"/>
      <c r="AC37" s="2"/>
      <c r="AD37" s="2"/>
      <c r="AE37" s="2"/>
      <c r="AF37" s="1"/>
      <c r="AG37" s="1"/>
      <c r="AH37" s="2"/>
      <c r="AI37" s="1"/>
      <c r="AJ37" s="2"/>
      <c r="AK37" s="2"/>
    </row>
    <row r="38" spans="1:37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1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2"/>
      <c r="AI38" s="1"/>
      <c r="AJ38" s="2"/>
      <c r="AK38" s="2"/>
    </row>
    <row r="39" spans="1:3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1"/>
      <c r="X39" s="2"/>
      <c r="Y39" s="2"/>
      <c r="Z39" s="2"/>
      <c r="AA39" s="2"/>
      <c r="AB39" s="2"/>
      <c r="AC39" s="2"/>
      <c r="AD39" s="2"/>
      <c r="AE39" s="2"/>
      <c r="AF39" s="1"/>
      <c r="AG39" s="1"/>
      <c r="AH39" s="2"/>
      <c r="AI39" s="1"/>
      <c r="AJ39" s="2"/>
      <c r="AK39" s="2"/>
    </row>
    <row r="40" spans="1:37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1"/>
      <c r="X40" s="2"/>
      <c r="Y40" s="2"/>
      <c r="Z40" s="2"/>
      <c r="AA40" s="2"/>
      <c r="AB40" s="2"/>
      <c r="AC40" s="2"/>
      <c r="AD40" s="2"/>
      <c r="AE40" s="2"/>
      <c r="AF40" s="1"/>
      <c r="AG40" s="1"/>
      <c r="AH40" s="2"/>
      <c r="AI40" s="1"/>
      <c r="AJ40" s="2"/>
      <c r="AK40" s="2"/>
    </row>
    <row r="41" spans="1:37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1"/>
      <c r="X41" s="2"/>
      <c r="Y41" s="2"/>
      <c r="Z41" s="2"/>
      <c r="AA41" s="2"/>
      <c r="AB41" s="2"/>
      <c r="AC41" s="2"/>
      <c r="AD41" s="2"/>
      <c r="AE41" s="2"/>
      <c r="AF41" s="1"/>
      <c r="AG41" s="1"/>
      <c r="AH41" s="2"/>
      <c r="AI41" s="1"/>
      <c r="AJ41" s="2"/>
      <c r="AK41" s="2"/>
    </row>
    <row r="42" spans="1:3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1"/>
      <c r="X42" s="2"/>
      <c r="Y42" s="2"/>
      <c r="Z42" s="2"/>
      <c r="AA42" s="2"/>
      <c r="AB42" s="2"/>
      <c r="AC42" s="2"/>
      <c r="AD42" s="2"/>
      <c r="AE42" s="2"/>
      <c r="AF42" s="1"/>
      <c r="AG42" s="1"/>
      <c r="AH42" s="2"/>
      <c r="AI42" s="1"/>
      <c r="AJ42" s="2"/>
      <c r="AK42" s="2"/>
    </row>
    <row r="43" spans="1:3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1"/>
      <c r="X43" s="2"/>
      <c r="Y43" s="2"/>
      <c r="Z43" s="2"/>
      <c r="AA43" s="2"/>
      <c r="AB43" s="2"/>
      <c r="AC43" s="2"/>
      <c r="AD43" s="2"/>
      <c r="AE43" s="2"/>
      <c r="AF43" s="1"/>
      <c r="AG43" s="1"/>
      <c r="AH43" s="2"/>
      <c r="AI43" s="1"/>
      <c r="AJ43" s="2"/>
      <c r="AK43" s="2"/>
    </row>
    <row r="44" spans="1:3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1"/>
      <c r="X44" s="2"/>
      <c r="Y44" s="2"/>
      <c r="Z44" s="2"/>
      <c r="AA44" s="2"/>
      <c r="AB44" s="2"/>
      <c r="AC44" s="2"/>
      <c r="AD44" s="2"/>
      <c r="AE44" s="2"/>
      <c r="AF44" s="1"/>
      <c r="AG44" s="1"/>
      <c r="AH44" s="2"/>
      <c r="AI44" s="1"/>
      <c r="AJ44" s="2"/>
      <c r="AK44" s="2"/>
    </row>
    <row r="45" spans="1:3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1"/>
      <c r="X45" s="2"/>
      <c r="Y45" s="2"/>
      <c r="Z45" s="2"/>
      <c r="AA45" s="2"/>
      <c r="AB45" s="2"/>
      <c r="AC45" s="2"/>
      <c r="AD45" s="2"/>
      <c r="AE45" s="2"/>
      <c r="AF45" s="1"/>
      <c r="AG45" s="1"/>
      <c r="AH45" s="2"/>
      <c r="AI45" s="1"/>
      <c r="AJ45" s="2"/>
      <c r="AK45" s="2"/>
    </row>
    <row r="46" spans="1:37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1"/>
      <c r="X46" s="2"/>
      <c r="Y46" s="2"/>
      <c r="Z46" s="2"/>
      <c r="AA46" s="2"/>
      <c r="AB46" s="2"/>
      <c r="AC46" s="2"/>
      <c r="AD46" s="2"/>
      <c r="AE46" s="2"/>
      <c r="AF46" s="1"/>
      <c r="AG46" s="1"/>
      <c r="AH46" s="2"/>
      <c r="AI46" s="1"/>
      <c r="AJ46" s="2"/>
      <c r="AK46" s="2"/>
    </row>
    <row r="47" spans="1:37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1"/>
      <c r="X47" s="2"/>
      <c r="Y47" s="2"/>
      <c r="Z47" s="2"/>
      <c r="AA47" s="2"/>
      <c r="AB47" s="2"/>
      <c r="AC47" s="2"/>
      <c r="AD47" s="2"/>
      <c r="AE47" s="2"/>
      <c r="AF47" s="1"/>
      <c r="AG47" s="1"/>
      <c r="AH47" s="2"/>
      <c r="AI47" s="1"/>
      <c r="AJ47" s="2"/>
      <c r="AK47" s="2"/>
    </row>
    <row r="48" spans="1:37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1"/>
      <c r="X48" s="2"/>
      <c r="Y48" s="2"/>
      <c r="Z48" s="2"/>
      <c r="AA48" s="2"/>
      <c r="AB48" s="2"/>
      <c r="AC48" s="2"/>
      <c r="AD48" s="2"/>
      <c r="AE48" s="2"/>
      <c r="AF48" s="1"/>
      <c r="AG48" s="1"/>
      <c r="AH48" s="2"/>
      <c r="AI48" s="1"/>
      <c r="AJ48" s="2"/>
      <c r="AK48" s="2"/>
    </row>
    <row r="49" spans="1:37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1"/>
      <c r="X49" s="2"/>
      <c r="Y49" s="2"/>
      <c r="Z49" s="2"/>
      <c r="AA49" s="2"/>
      <c r="AB49" s="2"/>
      <c r="AC49" s="2"/>
      <c r="AD49" s="2"/>
      <c r="AE49" s="2"/>
      <c r="AF49" s="1"/>
      <c r="AG49" s="1"/>
      <c r="AH49" s="2"/>
      <c r="AI49" s="1"/>
      <c r="AJ49" s="2"/>
      <c r="AK49" s="2"/>
    </row>
    <row r="50" spans="1:37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1"/>
      <c r="X50" s="2"/>
      <c r="Y50" s="2"/>
      <c r="Z50" s="2"/>
      <c r="AA50" s="2"/>
      <c r="AB50" s="2"/>
      <c r="AC50" s="2"/>
      <c r="AD50" s="2"/>
      <c r="AE50" s="2"/>
      <c r="AF50" s="1"/>
      <c r="AG50" s="1"/>
      <c r="AH50" s="2"/>
      <c r="AI50" s="1"/>
      <c r="AJ50" s="2"/>
      <c r="AK50" s="2"/>
    </row>
    <row r="51" spans="1:37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1"/>
      <c r="X51" s="2"/>
      <c r="Y51" s="2"/>
      <c r="Z51" s="2"/>
      <c r="AA51" s="2"/>
      <c r="AB51" s="2"/>
      <c r="AC51" s="2"/>
      <c r="AD51" s="2"/>
      <c r="AE51" s="2"/>
      <c r="AF51" s="1"/>
      <c r="AG51" s="1"/>
      <c r="AH51" s="2"/>
      <c r="AI51" s="1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1"/>
      <c r="X52" s="2"/>
      <c r="Y52" s="2"/>
      <c r="Z52" s="2"/>
      <c r="AA52" s="2"/>
      <c r="AB52" s="2"/>
      <c r="AC52" s="2"/>
      <c r="AD52" s="2"/>
      <c r="AE52" s="2"/>
      <c r="AF52" s="1"/>
      <c r="AG52" s="1"/>
      <c r="AH52" s="2"/>
      <c r="AI52" s="1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1"/>
      <c r="X53" s="2"/>
      <c r="Y53" s="2"/>
      <c r="Z53" s="2"/>
      <c r="AA53" s="2"/>
      <c r="AB53" s="2"/>
      <c r="AC53" s="2"/>
      <c r="AD53" s="2"/>
      <c r="AE53" s="2"/>
      <c r="AF53" s="1"/>
      <c r="AG53" s="1"/>
      <c r="AH53" s="2"/>
      <c r="AI53" s="1"/>
      <c r="AJ53" s="2"/>
      <c r="AK53" s="2"/>
    </row>
    <row r="54" spans="1:37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1"/>
      <c r="X54" s="2"/>
      <c r="Y54" s="2"/>
      <c r="Z54" s="2"/>
      <c r="AA54" s="2"/>
      <c r="AB54" s="2"/>
      <c r="AC54" s="2"/>
      <c r="AD54" s="2"/>
      <c r="AE54" s="2"/>
      <c r="AF54" s="1"/>
      <c r="AG54" s="1"/>
      <c r="AH54" s="2"/>
      <c r="AI54" s="1"/>
      <c r="AJ54" s="2"/>
      <c r="AK54" s="2"/>
    </row>
    <row r="55" spans="1:37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1"/>
      <c r="X55" s="2"/>
      <c r="Y55" s="2"/>
      <c r="Z55" s="2"/>
      <c r="AA55" s="2"/>
      <c r="AB55" s="2"/>
      <c r="AC55" s="2"/>
      <c r="AD55" s="2"/>
      <c r="AE55" s="2"/>
      <c r="AF55" s="1"/>
      <c r="AG55" s="1"/>
      <c r="AH55" s="2"/>
      <c r="AI55" s="1"/>
      <c r="AJ55" s="2"/>
      <c r="AK55" s="2"/>
    </row>
    <row r="56" spans="1:37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1"/>
      <c r="X56" s="2"/>
      <c r="Y56" s="2"/>
      <c r="Z56" s="2"/>
      <c r="AA56" s="2"/>
      <c r="AB56" s="2"/>
      <c r="AC56" s="2"/>
      <c r="AD56" s="2"/>
      <c r="AE56" s="2"/>
      <c r="AF56" s="1"/>
      <c r="AG56" s="1"/>
      <c r="AH56" s="2"/>
      <c r="AI56" s="1"/>
      <c r="AJ56" s="2"/>
      <c r="AK56" s="2"/>
    </row>
    <row r="57" spans="1:3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1"/>
      <c r="X57" s="2"/>
      <c r="Y57" s="2"/>
      <c r="Z57" s="2"/>
      <c r="AA57" s="2"/>
      <c r="AB57" s="2"/>
      <c r="AC57" s="2"/>
      <c r="AD57" s="2"/>
      <c r="AE57" s="2"/>
      <c r="AF57" s="1"/>
      <c r="AG57" s="1"/>
      <c r="AH57" s="2"/>
      <c r="AI57" s="1"/>
      <c r="AJ57" s="2"/>
      <c r="AK57" s="2"/>
    </row>
    <row r="58" spans="1:3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1"/>
      <c r="X58" s="2"/>
      <c r="Y58" s="2"/>
      <c r="Z58" s="2"/>
      <c r="AA58" s="2"/>
      <c r="AB58" s="2"/>
      <c r="AC58" s="2"/>
      <c r="AD58" s="2"/>
      <c r="AE58" s="2"/>
      <c r="AF58" s="1"/>
      <c r="AG58" s="1"/>
      <c r="AH58" s="2"/>
      <c r="AI58" s="1"/>
      <c r="AJ58" s="2"/>
      <c r="AK58" s="2"/>
    </row>
    <row r="59" spans="1:3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1"/>
      <c r="X59" s="2"/>
      <c r="Y59" s="2"/>
      <c r="Z59" s="2"/>
      <c r="AA59" s="2"/>
      <c r="AB59" s="2"/>
      <c r="AC59" s="2"/>
      <c r="AD59" s="2"/>
      <c r="AE59" s="2"/>
      <c r="AF59" s="1"/>
      <c r="AG59" s="1"/>
      <c r="AH59" s="2"/>
      <c r="AI59" s="1"/>
      <c r="AJ59" s="2"/>
      <c r="AK59" s="2"/>
    </row>
    <row r="60" spans="1:37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1"/>
      <c r="X60" s="2"/>
      <c r="Y60" s="2"/>
      <c r="Z60" s="2"/>
      <c r="AA60" s="2"/>
      <c r="AB60" s="2"/>
      <c r="AC60" s="2"/>
      <c r="AD60" s="2"/>
      <c r="AE60" s="2"/>
      <c r="AF60" s="1"/>
      <c r="AG60" s="1"/>
      <c r="AH60" s="2"/>
      <c r="AI60" s="1"/>
      <c r="AJ60" s="2"/>
      <c r="AK60" s="2"/>
    </row>
    <row r="61" spans="1:37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1"/>
      <c r="X61" s="2"/>
      <c r="Y61" s="2"/>
      <c r="Z61" s="2"/>
      <c r="AA61" s="2"/>
      <c r="AB61" s="2"/>
      <c r="AC61" s="2"/>
      <c r="AD61" s="2"/>
      <c r="AE61" s="2"/>
      <c r="AF61" s="1"/>
      <c r="AG61" s="1"/>
      <c r="AH61" s="2"/>
      <c r="AI61" s="1"/>
      <c r="AJ61" s="2"/>
      <c r="AK61" s="2"/>
    </row>
    <row r="62" spans="1:37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1"/>
      <c r="X62" s="2"/>
      <c r="Y62" s="2"/>
      <c r="Z62" s="2"/>
      <c r="AA62" s="2"/>
      <c r="AB62" s="2"/>
      <c r="AC62" s="2"/>
      <c r="AD62" s="2"/>
      <c r="AE62" s="2"/>
      <c r="AF62" s="1"/>
      <c r="AG62" s="1"/>
      <c r="AH62" s="2"/>
      <c r="AI62" s="1"/>
      <c r="AJ62" s="2"/>
      <c r="AK62" s="2"/>
    </row>
    <row r="63" spans="1:37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1"/>
      <c r="X63" s="2"/>
      <c r="Y63" s="2"/>
      <c r="Z63" s="2"/>
      <c r="AA63" s="2"/>
      <c r="AB63" s="2"/>
      <c r="AC63" s="2"/>
      <c r="AD63" s="2"/>
      <c r="AE63" s="2"/>
      <c r="AF63" s="1"/>
      <c r="AG63" s="1"/>
      <c r="AH63" s="2"/>
      <c r="AI63" s="1"/>
      <c r="AJ63" s="2"/>
      <c r="AK63" s="2"/>
    </row>
    <row r="64" spans="1:37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1"/>
      <c r="X64" s="2"/>
      <c r="Y64" s="2"/>
      <c r="Z64" s="2"/>
      <c r="AA64" s="2"/>
      <c r="AB64" s="2"/>
      <c r="AC64" s="2"/>
      <c r="AD64" s="2"/>
      <c r="AE64" s="2"/>
      <c r="AF64" s="1"/>
      <c r="AG64" s="1"/>
      <c r="AH64" s="2"/>
      <c r="AI64" s="1"/>
      <c r="AJ64" s="2"/>
      <c r="AK64" s="2"/>
    </row>
    <row r="65" spans="1:37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1"/>
      <c r="X65" s="2"/>
      <c r="Y65" s="2"/>
      <c r="Z65" s="2"/>
      <c r="AA65" s="2"/>
      <c r="AB65" s="2"/>
      <c r="AC65" s="2"/>
      <c r="AD65" s="2"/>
      <c r="AE65" s="2"/>
      <c r="AF65" s="1"/>
      <c r="AG65" s="1"/>
      <c r="AH65" s="2"/>
      <c r="AI65" s="1"/>
      <c r="AJ65" s="2"/>
      <c r="AK65" s="2"/>
    </row>
    <row r="66" spans="1:37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1"/>
      <c r="X66" s="2"/>
      <c r="Y66" s="2"/>
      <c r="Z66" s="2"/>
      <c r="AA66" s="2"/>
      <c r="AB66" s="2"/>
      <c r="AC66" s="2"/>
      <c r="AD66" s="2"/>
      <c r="AE66" s="2"/>
      <c r="AF66" s="1"/>
      <c r="AG66" s="1"/>
      <c r="AH66" s="2"/>
      <c r="AI66" s="1"/>
      <c r="AJ66" s="2"/>
      <c r="AK66" s="2"/>
    </row>
    <row r="67" spans="1:37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1"/>
      <c r="X67" s="2"/>
      <c r="Y67" s="2"/>
      <c r="Z67" s="2"/>
      <c r="AA67" s="2"/>
      <c r="AB67" s="2"/>
      <c r="AC67" s="2"/>
      <c r="AD67" s="2"/>
      <c r="AE67" s="2"/>
      <c r="AF67" s="1"/>
      <c r="AG67" s="1"/>
      <c r="AH67" s="2"/>
      <c r="AI67" s="1"/>
      <c r="AJ67" s="2"/>
      <c r="AK67" s="2"/>
    </row>
    <row r="68" spans="1:37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1"/>
      <c r="X68" s="2"/>
      <c r="Y68" s="2"/>
      <c r="Z68" s="2"/>
      <c r="AA68" s="2"/>
      <c r="AB68" s="2"/>
      <c r="AC68" s="2"/>
      <c r="AD68" s="2"/>
      <c r="AE68" s="2"/>
      <c r="AF68" s="1"/>
      <c r="AG68" s="1"/>
      <c r="AH68" s="2"/>
      <c r="AI68" s="1"/>
      <c r="AJ68" s="2"/>
      <c r="AK68" s="2"/>
    </row>
    <row r="69" spans="1:37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1"/>
      <c r="X69" s="2"/>
      <c r="Y69" s="2"/>
      <c r="Z69" s="2"/>
      <c r="AA69" s="2"/>
      <c r="AB69" s="2"/>
      <c r="AC69" s="2"/>
      <c r="AD69" s="2"/>
      <c r="AE69" s="2"/>
      <c r="AF69" s="1"/>
      <c r="AG69" s="1"/>
      <c r="AH69" s="2"/>
      <c r="AI69" s="1"/>
      <c r="AJ69" s="2"/>
      <c r="AK69" s="2"/>
    </row>
    <row r="70" spans="1:37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1"/>
      <c r="X70" s="2"/>
      <c r="Y70" s="2"/>
      <c r="Z70" s="2"/>
      <c r="AA70" s="2"/>
      <c r="AB70" s="2"/>
      <c r="AC70" s="2"/>
      <c r="AD70" s="2"/>
      <c r="AE70" s="2"/>
      <c r="AF70" s="1"/>
      <c r="AG70" s="1"/>
      <c r="AH70" s="2"/>
      <c r="AI70" s="1"/>
      <c r="AJ70" s="2"/>
      <c r="AK70" s="2"/>
    </row>
    <row r="71" spans="1:37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1"/>
      <c r="X71" s="2"/>
      <c r="Y71" s="2"/>
      <c r="Z71" s="2"/>
      <c r="AA71" s="2"/>
      <c r="AB71" s="2"/>
      <c r="AC71" s="2"/>
      <c r="AD71" s="2"/>
      <c r="AE71" s="2"/>
      <c r="AF71" s="1"/>
      <c r="AG71" s="1"/>
      <c r="AH71" s="2"/>
      <c r="AI71" s="1"/>
      <c r="AJ71" s="2"/>
      <c r="AK71" s="2"/>
    </row>
    <row r="72" spans="1:37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1"/>
      <c r="X72" s="2"/>
      <c r="Y72" s="2"/>
      <c r="Z72" s="2"/>
      <c r="AA72" s="2"/>
      <c r="AB72" s="2"/>
      <c r="AC72" s="2"/>
      <c r="AD72" s="2"/>
      <c r="AE72" s="2"/>
      <c r="AF72" s="1"/>
      <c r="AG72" s="1"/>
      <c r="AH72" s="2"/>
      <c r="AI72" s="1"/>
      <c r="AJ72" s="2"/>
      <c r="AK72" s="2"/>
    </row>
    <row r="73" spans="1:37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1"/>
      <c r="X73" s="2"/>
      <c r="Y73" s="2"/>
      <c r="Z73" s="2"/>
      <c r="AA73" s="2"/>
      <c r="AB73" s="2"/>
      <c r="AC73" s="2"/>
      <c r="AD73" s="2"/>
      <c r="AE73" s="2"/>
      <c r="AF73" s="1"/>
      <c r="AG73" s="1"/>
      <c r="AH73" s="2"/>
      <c r="AI73" s="1"/>
      <c r="AJ73" s="2"/>
      <c r="AK73" s="2"/>
    </row>
    <row r="74" spans="1:37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2"/>
      <c r="Y74" s="2"/>
      <c r="Z74" s="2"/>
      <c r="AA74" s="2"/>
      <c r="AB74" s="2"/>
      <c r="AC74" s="2"/>
      <c r="AD74" s="2"/>
      <c r="AE74" s="2"/>
      <c r="AF74" s="1"/>
      <c r="AG74" s="1"/>
      <c r="AH74" s="2"/>
      <c r="AI74" s="1"/>
      <c r="AJ74" s="2"/>
      <c r="AK74" s="2"/>
    </row>
    <row r="75" spans="1:37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1"/>
      <c r="X75" s="2"/>
      <c r="Y75" s="2"/>
      <c r="Z75" s="2"/>
      <c r="AA75" s="2"/>
      <c r="AB75" s="2"/>
      <c r="AC75" s="2"/>
      <c r="AD75" s="2"/>
      <c r="AE75" s="2"/>
      <c r="AF75" s="1"/>
      <c r="AG75" s="1"/>
      <c r="AH75" s="2"/>
      <c r="AI75" s="1"/>
      <c r="AJ75" s="2"/>
      <c r="AK75" s="2"/>
    </row>
    <row r="76" spans="1:37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1"/>
      <c r="X76" s="2"/>
      <c r="Y76" s="2"/>
      <c r="Z76" s="2"/>
      <c r="AA76" s="2"/>
      <c r="AB76" s="2"/>
      <c r="AC76" s="2"/>
      <c r="AD76" s="2"/>
      <c r="AE76" s="2"/>
      <c r="AF76" s="1"/>
      <c r="AG76" s="1"/>
      <c r="AH76" s="2"/>
      <c r="AI76" s="1"/>
      <c r="AJ76" s="2"/>
      <c r="AK76" s="2"/>
    </row>
    <row r="77" spans="1:37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1"/>
      <c r="X77" s="2"/>
      <c r="Y77" s="2"/>
      <c r="Z77" s="2"/>
      <c r="AA77" s="2"/>
      <c r="AB77" s="2"/>
      <c r="AC77" s="2"/>
      <c r="AD77" s="2"/>
      <c r="AE77" s="2"/>
      <c r="AF77" s="1"/>
      <c r="AG77" s="1"/>
      <c r="AH77" s="2"/>
      <c r="AI77" s="1"/>
      <c r="AJ77" s="2"/>
      <c r="AK77" s="2"/>
    </row>
    <row r="78" spans="1:37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1"/>
      <c r="X78" s="2"/>
      <c r="Y78" s="2"/>
      <c r="Z78" s="2"/>
      <c r="AA78" s="2"/>
      <c r="AB78" s="2"/>
      <c r="AC78" s="2"/>
      <c r="AD78" s="2"/>
      <c r="AE78" s="2"/>
      <c r="AF78" s="1"/>
      <c r="AG78" s="1"/>
      <c r="AH78" s="2"/>
      <c r="AI78" s="1"/>
      <c r="AJ78" s="2"/>
      <c r="AK78" s="2"/>
    </row>
    <row r="79" spans="1:37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1"/>
      <c r="X79" s="2"/>
      <c r="Y79" s="2"/>
      <c r="Z79" s="2"/>
      <c r="AA79" s="2"/>
      <c r="AB79" s="2"/>
      <c r="AC79" s="2"/>
      <c r="AD79" s="2"/>
      <c r="AE79" s="2"/>
      <c r="AF79" s="1"/>
      <c r="AG79" s="1"/>
      <c r="AH79" s="2"/>
      <c r="AI79" s="1"/>
      <c r="AJ79" s="2"/>
      <c r="AK79" s="2"/>
    </row>
    <row r="80" spans="1:37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1"/>
      <c r="X80" s="2"/>
      <c r="Y80" s="2"/>
      <c r="Z80" s="2"/>
      <c r="AA80" s="2"/>
      <c r="AB80" s="2"/>
      <c r="AC80" s="2"/>
      <c r="AD80" s="2"/>
      <c r="AE80" s="2"/>
      <c r="AF80" s="1"/>
      <c r="AG80" s="1"/>
      <c r="AH80" s="2"/>
      <c r="AI80" s="1"/>
      <c r="AJ80" s="2"/>
      <c r="AK80" s="2"/>
    </row>
    <row r="81" spans="1:37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1"/>
      <c r="X81" s="2"/>
      <c r="Y81" s="2"/>
      <c r="Z81" s="2"/>
      <c r="AA81" s="2"/>
      <c r="AB81" s="2"/>
      <c r="AC81" s="2"/>
      <c r="AD81" s="2"/>
      <c r="AE81" s="2"/>
      <c r="AF81" s="1"/>
      <c r="AG81" s="1"/>
      <c r="AH81" s="2"/>
      <c r="AI81" s="1"/>
      <c r="AJ81" s="2"/>
      <c r="AK81" s="2"/>
    </row>
    <row r="82" spans="1:37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1"/>
      <c r="X82" s="2"/>
      <c r="Y82" s="2"/>
      <c r="Z82" s="2"/>
      <c r="AA82" s="2"/>
      <c r="AB82" s="2"/>
      <c r="AC82" s="2"/>
      <c r="AD82" s="2"/>
      <c r="AE82" s="2"/>
      <c r="AF82" s="1"/>
      <c r="AG82" s="1"/>
      <c r="AH82" s="2"/>
      <c r="AI82" s="1"/>
      <c r="AJ82" s="2"/>
      <c r="AK82" s="2"/>
    </row>
    <row r="83" spans="1:37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1"/>
      <c r="X83" s="2"/>
      <c r="Y83" s="2"/>
      <c r="Z83" s="2"/>
      <c r="AA83" s="2"/>
      <c r="AB83" s="2"/>
      <c r="AC83" s="2"/>
      <c r="AD83" s="2"/>
      <c r="AE83" s="2"/>
      <c r="AF83" s="1"/>
      <c r="AG83" s="1"/>
      <c r="AH83" s="2"/>
      <c r="AI83" s="1"/>
      <c r="AJ83" s="2"/>
      <c r="AK83" s="2"/>
    </row>
    <row r="84" spans="1:37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1"/>
      <c r="X84" s="2"/>
      <c r="Y84" s="2"/>
      <c r="Z84" s="2"/>
      <c r="AA84" s="2"/>
      <c r="AB84" s="2"/>
      <c r="AC84" s="2"/>
      <c r="AD84" s="2"/>
      <c r="AE84" s="2"/>
      <c r="AF84" s="1"/>
      <c r="AG84" s="1"/>
      <c r="AH84" s="2"/>
      <c r="AI84" s="1"/>
      <c r="AJ84" s="2"/>
      <c r="AK84" s="2"/>
    </row>
    <row r="85" spans="1:37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1"/>
      <c r="X85" s="2"/>
      <c r="Y85" s="2"/>
      <c r="Z85" s="2"/>
      <c r="AA85" s="2"/>
      <c r="AB85" s="2"/>
      <c r="AC85" s="2"/>
      <c r="AD85" s="2"/>
      <c r="AE85" s="2"/>
      <c r="AF85" s="1"/>
      <c r="AG85" s="1"/>
      <c r="AH85" s="2"/>
      <c r="AI85" s="1"/>
      <c r="AJ85" s="2"/>
      <c r="AK85" s="2"/>
    </row>
    <row r="86" spans="1:37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1"/>
      <c r="X86" s="2"/>
      <c r="Y86" s="2"/>
      <c r="Z86" s="2"/>
      <c r="AA86" s="2"/>
      <c r="AB86" s="2"/>
      <c r="AC86" s="2"/>
      <c r="AD86" s="2"/>
      <c r="AE86" s="2"/>
      <c r="AF86" s="1"/>
      <c r="AG86" s="1"/>
      <c r="AH86" s="2"/>
      <c r="AI86" s="1"/>
      <c r="AJ86" s="2"/>
      <c r="AK86" s="2"/>
    </row>
    <row r="87" spans="1:37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1"/>
      <c r="X87" s="2"/>
      <c r="Y87" s="2"/>
      <c r="Z87" s="2"/>
      <c r="AA87" s="2"/>
      <c r="AB87" s="2"/>
      <c r="AC87" s="2"/>
      <c r="AD87" s="2"/>
      <c r="AE87" s="2"/>
      <c r="AF87" s="1"/>
      <c r="AG87" s="1"/>
      <c r="AH87" s="2"/>
      <c r="AI87" s="1"/>
      <c r="AJ87" s="2"/>
      <c r="AK87" s="2"/>
    </row>
    <row r="88" spans="1:37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1"/>
      <c r="X88" s="2"/>
      <c r="Y88" s="2"/>
      <c r="Z88" s="2"/>
      <c r="AA88" s="2"/>
      <c r="AB88" s="2"/>
      <c r="AC88" s="2"/>
      <c r="AD88" s="2"/>
      <c r="AE88" s="2"/>
      <c r="AF88" s="1"/>
      <c r="AG88" s="1"/>
      <c r="AH88" s="2"/>
      <c r="AI88" s="1"/>
      <c r="AJ88" s="2"/>
      <c r="AK88" s="2"/>
    </row>
    <row r="89" spans="1:37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1"/>
      <c r="X89" s="2"/>
      <c r="Y89" s="2"/>
      <c r="Z89" s="2"/>
      <c r="AA89" s="2"/>
      <c r="AB89" s="2"/>
      <c r="AC89" s="2"/>
      <c r="AD89" s="2"/>
      <c r="AE89" s="2"/>
      <c r="AF89" s="1"/>
      <c r="AG89" s="1"/>
      <c r="AH89" s="2"/>
      <c r="AI89" s="1"/>
      <c r="AJ89" s="2"/>
      <c r="AK89" s="2"/>
    </row>
    <row r="90" spans="1:37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1"/>
      <c r="X90" s="2"/>
      <c r="Y90" s="2"/>
      <c r="Z90" s="2"/>
      <c r="AA90" s="2"/>
      <c r="AB90" s="2"/>
      <c r="AC90" s="2"/>
      <c r="AD90" s="2"/>
      <c r="AE90" s="2"/>
      <c r="AF90" s="1"/>
      <c r="AG90" s="1"/>
      <c r="AH90" s="2"/>
      <c r="AI90" s="1"/>
      <c r="AJ90" s="2"/>
      <c r="AK90" s="2"/>
    </row>
    <row r="91" spans="1:37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1"/>
      <c r="X91" s="2"/>
      <c r="Y91" s="2"/>
      <c r="Z91" s="2"/>
      <c r="AA91" s="2"/>
      <c r="AB91" s="2"/>
      <c r="AC91" s="2"/>
      <c r="AD91" s="2"/>
      <c r="AE91" s="2"/>
      <c r="AF91" s="1"/>
      <c r="AG91" s="1"/>
      <c r="AH91" s="2"/>
      <c r="AI91" s="1"/>
      <c r="AJ91" s="2"/>
      <c r="AK91" s="2"/>
    </row>
    <row r="92" spans="1:37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1"/>
      <c r="X92" s="2"/>
      <c r="Y92" s="2"/>
      <c r="Z92" s="2"/>
      <c r="AA92" s="2"/>
      <c r="AB92" s="2"/>
      <c r="AC92" s="2"/>
      <c r="AD92" s="2"/>
      <c r="AE92" s="2"/>
      <c r="AF92" s="1"/>
      <c r="AG92" s="1"/>
      <c r="AH92" s="2"/>
      <c r="AI92" s="1"/>
      <c r="AJ92" s="2"/>
      <c r="AK92" s="2"/>
    </row>
    <row r="93" spans="1:37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1"/>
      <c r="X93" s="2"/>
      <c r="Y93" s="2"/>
      <c r="Z93" s="2"/>
      <c r="AA93" s="2"/>
      <c r="AB93" s="2"/>
      <c r="AC93" s="2"/>
      <c r="AD93" s="2"/>
      <c r="AE93" s="2"/>
      <c r="AF93" s="1"/>
      <c r="AG93" s="1"/>
      <c r="AH93" s="2"/>
      <c r="AI93" s="1"/>
      <c r="AJ93" s="2"/>
      <c r="AK93" s="2"/>
    </row>
    <row r="94" spans="1:37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1"/>
      <c r="X94" s="2"/>
      <c r="Y94" s="2"/>
      <c r="Z94" s="2"/>
      <c r="AA94" s="2"/>
      <c r="AB94" s="2"/>
      <c r="AC94" s="2"/>
      <c r="AD94" s="2"/>
      <c r="AE94" s="2"/>
      <c r="AF94" s="1"/>
      <c r="AG94" s="1"/>
      <c r="AH94" s="2"/>
      <c r="AI94" s="1"/>
      <c r="AJ94" s="2"/>
      <c r="AK94" s="2"/>
    </row>
    <row r="95" spans="1:37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1"/>
      <c r="X95" s="2"/>
      <c r="Y95" s="2"/>
      <c r="Z95" s="2"/>
      <c r="AA95" s="2"/>
      <c r="AB95" s="2"/>
      <c r="AC95" s="2"/>
      <c r="AD95" s="2"/>
      <c r="AE95" s="2"/>
      <c r="AF95" s="1"/>
      <c r="AG95" s="1"/>
      <c r="AH95" s="2"/>
      <c r="AI95" s="1"/>
      <c r="AJ95" s="2"/>
      <c r="AK95" s="2"/>
    </row>
    <row r="96" spans="1:37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1"/>
      <c r="X96" s="2"/>
      <c r="Y96" s="2"/>
      <c r="Z96" s="2"/>
      <c r="AA96" s="2"/>
      <c r="AB96" s="2"/>
      <c r="AC96" s="2"/>
      <c r="AD96" s="2"/>
      <c r="AE96" s="2"/>
      <c r="AF96" s="1"/>
      <c r="AG96" s="1"/>
      <c r="AH96" s="2"/>
      <c r="AI96" s="1"/>
      <c r="AJ96" s="2"/>
      <c r="AK96" s="2"/>
    </row>
    <row r="97" spans="1:37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1"/>
      <c r="X97" s="2"/>
      <c r="Y97" s="2"/>
      <c r="Z97" s="2"/>
      <c r="AA97" s="2"/>
      <c r="AB97" s="2"/>
      <c r="AC97" s="2"/>
      <c r="AD97" s="2"/>
      <c r="AE97" s="2"/>
      <c r="AF97" s="1"/>
      <c r="AG97" s="1"/>
      <c r="AH97" s="2"/>
      <c r="AI97" s="1"/>
      <c r="AJ97" s="2"/>
      <c r="AK97" s="2"/>
    </row>
    <row r="98" spans="1:37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1"/>
      <c r="X98" s="2"/>
      <c r="Y98" s="2"/>
      <c r="Z98" s="2"/>
      <c r="AA98" s="2"/>
      <c r="AB98" s="2"/>
      <c r="AC98" s="2"/>
      <c r="AD98" s="2"/>
      <c r="AE98" s="2"/>
      <c r="AF98" s="1"/>
      <c r="AG98" s="1"/>
      <c r="AH98" s="2"/>
      <c r="AI98" s="1"/>
      <c r="AJ98" s="2"/>
      <c r="AK98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W117"/>
  <sheetViews>
    <sheetView workbookViewId="0">
      <selection sqref="A1:W117"/>
    </sheetView>
  </sheetViews>
  <sheetFormatPr defaultRowHeight="15" x14ac:dyDescent="0.25"/>
  <cols>
    <col min="1" max="1" width="14" bestFit="1" customWidth="1"/>
    <col min="2" max="3" width="11.140625" bestFit="1" customWidth="1"/>
    <col min="4" max="4" width="20.85546875" bestFit="1" customWidth="1"/>
    <col min="5" max="7" width="11.140625" bestFit="1" customWidth="1"/>
    <col min="8" max="8" width="12" bestFit="1" customWidth="1"/>
    <col min="9" max="9" width="11.140625" bestFit="1" customWidth="1"/>
    <col min="10" max="10" width="80.5703125" bestFit="1" customWidth="1"/>
    <col min="11" max="13" width="12.140625" bestFit="1" customWidth="1"/>
    <col min="14" max="14" width="17.28515625" bestFit="1" customWidth="1"/>
    <col min="15" max="15" width="43.7109375" bestFit="1" customWidth="1"/>
    <col min="16" max="16" width="15" bestFit="1" customWidth="1"/>
    <col min="17" max="17" width="27" bestFit="1" customWidth="1"/>
    <col min="18" max="18" width="21.42578125" bestFit="1" customWidth="1"/>
    <col min="19" max="19" width="16.28515625" bestFit="1" customWidth="1"/>
    <col min="20" max="20" width="19" bestFit="1" customWidth="1"/>
    <col min="21" max="21" width="16.28515625" bestFit="1" customWidth="1"/>
    <col min="22" max="22" width="14.7109375" bestFit="1" customWidth="1"/>
    <col min="23" max="23" width="16.85546875" bestFit="1" customWidth="1"/>
  </cols>
  <sheetData>
    <row r="1" spans="1:23" x14ac:dyDescent="0.25">
      <c r="A1" s="2" t="s">
        <v>431</v>
      </c>
      <c r="B1" s="2" t="s">
        <v>432</v>
      </c>
      <c r="C1" s="2" t="s">
        <v>433</v>
      </c>
      <c r="D1" s="2" t="s">
        <v>434</v>
      </c>
      <c r="E1" s="2" t="s">
        <v>435</v>
      </c>
      <c r="F1" s="2" t="s">
        <v>436</v>
      </c>
      <c r="G1" s="2" t="s">
        <v>437</v>
      </c>
      <c r="H1" s="2" t="s">
        <v>438</v>
      </c>
      <c r="I1" s="2" t="s">
        <v>439</v>
      </c>
      <c r="J1" s="2" t="s">
        <v>440</v>
      </c>
      <c r="K1" s="2" t="s">
        <v>441</v>
      </c>
      <c r="L1" s="2" t="s">
        <v>442</v>
      </c>
      <c r="M1" s="2" t="s">
        <v>443</v>
      </c>
      <c r="N1" s="2" t="s">
        <v>444</v>
      </c>
      <c r="O1" s="2" t="s">
        <v>445</v>
      </c>
      <c r="P1" s="2" t="s">
        <v>460</v>
      </c>
      <c r="Q1" s="2" t="s">
        <v>461</v>
      </c>
      <c r="R1" s="2" t="s">
        <v>462</v>
      </c>
      <c r="S1" s="2" t="s">
        <v>463</v>
      </c>
      <c r="T1" s="2" t="s">
        <v>464</v>
      </c>
      <c r="U1" s="2" t="s">
        <v>509</v>
      </c>
      <c r="V1" s="2" t="s">
        <v>510</v>
      </c>
      <c r="W1" s="2" t="s">
        <v>511</v>
      </c>
    </row>
    <row r="2" spans="1:23" x14ac:dyDescent="0.25">
      <c r="A2" s="2" t="s">
        <v>15</v>
      </c>
      <c r="B2" s="2" t="b">
        <v>0</v>
      </c>
      <c r="C2" s="2" t="s">
        <v>16</v>
      </c>
      <c r="D2" s="2" t="s">
        <v>17</v>
      </c>
      <c r="E2" s="2" t="s">
        <v>18</v>
      </c>
      <c r="F2" s="2">
        <v>44207</v>
      </c>
      <c r="G2" s="2">
        <v>44207</v>
      </c>
      <c r="H2" s="2">
        <v>0.45833333333333326</v>
      </c>
      <c r="I2" s="2" t="s">
        <v>19</v>
      </c>
      <c r="J2" s="2" t="s">
        <v>20</v>
      </c>
      <c r="K2" s="2">
        <v>0.45833333333333326</v>
      </c>
      <c r="L2" s="2" t="s">
        <v>1</v>
      </c>
      <c r="M2" s="2" t="s">
        <v>21</v>
      </c>
      <c r="N2" s="2" t="s">
        <v>22</v>
      </c>
      <c r="O2" s="2" t="s">
        <v>23</v>
      </c>
      <c r="P2" s="2" t="s">
        <v>280</v>
      </c>
      <c r="Q2" s="2" t="s">
        <v>281</v>
      </c>
      <c r="R2" s="2" t="s">
        <v>21</v>
      </c>
      <c r="S2" s="2">
        <v>257670</v>
      </c>
      <c r="T2" s="2" t="s">
        <v>192</v>
      </c>
      <c r="U2" s="2"/>
      <c r="V2" s="2"/>
      <c r="W2" s="1"/>
    </row>
    <row r="3" spans="1:23" x14ac:dyDescent="0.25">
      <c r="A3" s="2" t="s">
        <v>15</v>
      </c>
      <c r="B3" s="2" t="b">
        <v>0</v>
      </c>
      <c r="C3" s="2" t="s">
        <v>16</v>
      </c>
      <c r="D3" s="2" t="s">
        <v>17</v>
      </c>
      <c r="E3" s="2" t="s">
        <v>18</v>
      </c>
      <c r="F3" s="2">
        <v>44207</v>
      </c>
      <c r="G3" s="2">
        <v>44207</v>
      </c>
      <c r="H3" s="2">
        <v>0.45833333333333326</v>
      </c>
      <c r="I3" s="2" t="s">
        <v>19</v>
      </c>
      <c r="J3" s="2" t="s">
        <v>20</v>
      </c>
      <c r="K3" s="2">
        <v>0.45833333333333326</v>
      </c>
      <c r="L3" s="2" t="s">
        <v>1</v>
      </c>
      <c r="M3" s="2" t="s">
        <v>21</v>
      </c>
      <c r="N3" s="2" t="s">
        <v>22</v>
      </c>
      <c r="O3" s="2" t="s">
        <v>23</v>
      </c>
      <c r="P3" s="2" t="s">
        <v>290</v>
      </c>
      <c r="Q3" s="2" t="s">
        <v>291</v>
      </c>
      <c r="R3" s="2" t="s">
        <v>21</v>
      </c>
      <c r="S3" s="2">
        <v>268808</v>
      </c>
      <c r="T3" s="2" t="s">
        <v>289</v>
      </c>
      <c r="U3" s="2"/>
      <c r="V3" s="2"/>
      <c r="W3" s="1"/>
    </row>
    <row r="4" spans="1:23" x14ac:dyDescent="0.25">
      <c r="A4" s="2" t="s">
        <v>29</v>
      </c>
      <c r="B4" s="2" t="b">
        <v>0</v>
      </c>
      <c r="C4" s="2" t="s">
        <v>16</v>
      </c>
      <c r="D4" s="2" t="s">
        <v>17</v>
      </c>
      <c r="E4" s="2" t="s">
        <v>18</v>
      </c>
      <c r="F4" s="2">
        <v>44154</v>
      </c>
      <c r="G4" s="2">
        <v>44156</v>
      </c>
      <c r="H4" s="2">
        <v>1.4583333333333333</v>
      </c>
      <c r="I4" s="2" t="s">
        <v>19</v>
      </c>
      <c r="J4" s="2" t="s">
        <v>115</v>
      </c>
      <c r="K4" s="2">
        <v>1.4583333333333333</v>
      </c>
      <c r="L4" s="2" t="s">
        <v>1</v>
      </c>
      <c r="M4" s="2" t="s">
        <v>116</v>
      </c>
      <c r="N4" s="2" t="s">
        <v>22</v>
      </c>
      <c r="O4" s="2" t="s">
        <v>23</v>
      </c>
      <c r="P4" s="2" t="s">
        <v>270</v>
      </c>
      <c r="Q4" s="2" t="s">
        <v>304</v>
      </c>
      <c r="R4" s="2" t="s">
        <v>116</v>
      </c>
      <c r="S4" s="2">
        <v>233692</v>
      </c>
      <c r="T4" s="2" t="s">
        <v>192</v>
      </c>
      <c r="U4" s="2"/>
      <c r="V4" s="2"/>
      <c r="W4" s="1"/>
    </row>
    <row r="5" spans="1:23" x14ac:dyDescent="0.25">
      <c r="A5" s="2" t="s">
        <v>29</v>
      </c>
      <c r="B5" s="2" t="b">
        <v>0</v>
      </c>
      <c r="C5" s="2" t="s">
        <v>16</v>
      </c>
      <c r="D5" s="2" t="s">
        <v>17</v>
      </c>
      <c r="E5" s="2" t="s">
        <v>18</v>
      </c>
      <c r="F5" s="2">
        <v>44185</v>
      </c>
      <c r="G5" s="2">
        <v>44186</v>
      </c>
      <c r="H5" s="2">
        <v>1</v>
      </c>
      <c r="I5" s="2" t="s">
        <v>19</v>
      </c>
      <c r="J5" s="2" t="s">
        <v>71</v>
      </c>
      <c r="K5" s="2">
        <v>1</v>
      </c>
      <c r="L5" s="2" t="s">
        <v>1</v>
      </c>
      <c r="M5" s="2" t="s">
        <v>72</v>
      </c>
      <c r="N5" s="2" t="s">
        <v>61</v>
      </c>
      <c r="O5" s="2" t="s">
        <v>62</v>
      </c>
      <c r="P5" s="2" t="s">
        <v>241</v>
      </c>
      <c r="Q5" s="2" t="s">
        <v>305</v>
      </c>
      <c r="R5" s="2" t="s">
        <v>72</v>
      </c>
      <c r="S5" s="2">
        <v>244470</v>
      </c>
      <c r="T5" s="2" t="s">
        <v>243</v>
      </c>
      <c r="U5" s="2"/>
      <c r="V5" s="2"/>
      <c r="W5" s="1"/>
    </row>
    <row r="6" spans="1:23" x14ac:dyDescent="0.25">
      <c r="A6" s="2" t="s">
        <v>29</v>
      </c>
      <c r="B6" s="2" t="b">
        <v>0</v>
      </c>
      <c r="C6" s="2" t="s">
        <v>16</v>
      </c>
      <c r="D6" s="2" t="s">
        <v>17</v>
      </c>
      <c r="E6" s="2" t="s">
        <v>18</v>
      </c>
      <c r="F6" s="2">
        <v>44185</v>
      </c>
      <c r="G6" s="2">
        <v>44186</v>
      </c>
      <c r="H6" s="2">
        <v>1</v>
      </c>
      <c r="I6" s="2" t="s">
        <v>19</v>
      </c>
      <c r="J6" s="2" t="s">
        <v>69</v>
      </c>
      <c r="K6" s="2">
        <v>1</v>
      </c>
      <c r="L6" s="2" t="s">
        <v>1</v>
      </c>
      <c r="M6" s="2" t="s">
        <v>70</v>
      </c>
      <c r="N6" s="2" t="s">
        <v>61</v>
      </c>
      <c r="O6" s="2" t="s">
        <v>62</v>
      </c>
      <c r="P6" s="2" t="s">
        <v>241</v>
      </c>
      <c r="Q6" s="2" t="s">
        <v>306</v>
      </c>
      <c r="R6" s="2" t="s">
        <v>70</v>
      </c>
      <c r="S6" s="2">
        <v>244473</v>
      </c>
      <c r="T6" s="2" t="s">
        <v>243</v>
      </c>
      <c r="U6" s="2"/>
      <c r="V6" s="2"/>
      <c r="W6" s="1"/>
    </row>
    <row r="7" spans="1:23" x14ac:dyDescent="0.25">
      <c r="A7" s="2" t="s">
        <v>29</v>
      </c>
      <c r="B7" s="2" t="b">
        <v>0</v>
      </c>
      <c r="C7" s="2" t="s">
        <v>16</v>
      </c>
      <c r="D7" s="2" t="s">
        <v>17</v>
      </c>
      <c r="E7" s="2" t="s">
        <v>18</v>
      </c>
      <c r="F7" s="2">
        <v>44166</v>
      </c>
      <c r="G7" s="2">
        <v>44167</v>
      </c>
      <c r="H7" s="2">
        <v>1</v>
      </c>
      <c r="I7" s="2" t="s">
        <v>19</v>
      </c>
      <c r="J7" s="2" t="s">
        <v>102</v>
      </c>
      <c r="K7" s="2">
        <v>1</v>
      </c>
      <c r="L7" s="2" t="s">
        <v>1</v>
      </c>
      <c r="M7" s="2" t="s">
        <v>103</v>
      </c>
      <c r="N7" s="2" t="s">
        <v>61</v>
      </c>
      <c r="O7" s="2" t="s">
        <v>62</v>
      </c>
      <c r="P7" s="2" t="s">
        <v>241</v>
      </c>
      <c r="Q7" s="2" t="s">
        <v>307</v>
      </c>
      <c r="R7" s="2" t="s">
        <v>103</v>
      </c>
      <c r="S7" s="2">
        <v>244474</v>
      </c>
      <c r="T7" s="2" t="s">
        <v>243</v>
      </c>
      <c r="U7" s="2"/>
      <c r="V7" s="2"/>
      <c r="W7" s="1"/>
    </row>
    <row r="8" spans="1:23" x14ac:dyDescent="0.25">
      <c r="A8" s="2" t="s">
        <v>29</v>
      </c>
      <c r="B8" s="2" t="b">
        <v>0</v>
      </c>
      <c r="C8" s="2" t="s">
        <v>16</v>
      </c>
      <c r="D8" s="2" t="s">
        <v>17</v>
      </c>
      <c r="E8" s="2" t="s">
        <v>18</v>
      </c>
      <c r="F8" s="2">
        <v>44184</v>
      </c>
      <c r="G8" s="2">
        <v>44186</v>
      </c>
      <c r="H8" s="2">
        <v>1.3333333333333333</v>
      </c>
      <c r="I8" s="2" t="s">
        <v>19</v>
      </c>
      <c r="J8" s="2" t="s">
        <v>76</v>
      </c>
      <c r="K8" s="2">
        <v>1.3333333333333333</v>
      </c>
      <c r="L8" s="2" t="s">
        <v>1</v>
      </c>
      <c r="M8" s="2" t="s">
        <v>77</v>
      </c>
      <c r="N8" s="2" t="s">
        <v>61</v>
      </c>
      <c r="O8" s="2" t="s">
        <v>62</v>
      </c>
      <c r="P8" s="2" t="s">
        <v>312</v>
      </c>
      <c r="Q8" s="2" t="s">
        <v>313</v>
      </c>
      <c r="R8" s="2" t="s">
        <v>77</v>
      </c>
      <c r="S8" s="2">
        <v>244477</v>
      </c>
      <c r="T8" s="2" t="s">
        <v>314</v>
      </c>
      <c r="U8" s="2"/>
      <c r="V8" s="2"/>
      <c r="W8" s="1"/>
    </row>
    <row r="9" spans="1:23" x14ac:dyDescent="0.25">
      <c r="A9" s="2" t="s">
        <v>29</v>
      </c>
      <c r="B9" s="2" t="b">
        <v>0</v>
      </c>
      <c r="C9" s="2" t="s">
        <v>16</v>
      </c>
      <c r="D9" s="2" t="s">
        <v>17</v>
      </c>
      <c r="E9" s="2" t="s">
        <v>18</v>
      </c>
      <c r="F9" s="2">
        <v>44194</v>
      </c>
      <c r="G9" s="2">
        <v>44195</v>
      </c>
      <c r="H9" s="2">
        <v>0.33333333333333331</v>
      </c>
      <c r="I9" s="2" t="s">
        <v>19</v>
      </c>
      <c r="J9" s="2" t="s">
        <v>40</v>
      </c>
      <c r="K9" s="2">
        <v>0.33333333333333331</v>
      </c>
      <c r="L9" s="2" t="s">
        <v>1</v>
      </c>
      <c r="M9" s="2" t="s">
        <v>41</v>
      </c>
      <c r="N9" s="2" t="s">
        <v>42</v>
      </c>
      <c r="O9" s="2" t="s">
        <v>43</v>
      </c>
      <c r="P9" s="2" t="s">
        <v>153</v>
      </c>
      <c r="Q9" s="2" t="s">
        <v>317</v>
      </c>
      <c r="R9" s="2" t="s">
        <v>41</v>
      </c>
      <c r="S9" s="2">
        <v>32256</v>
      </c>
      <c r="T9" s="2" t="s">
        <v>155</v>
      </c>
      <c r="U9" s="2"/>
      <c r="V9" s="2"/>
      <c r="W9" s="1"/>
    </row>
    <row r="10" spans="1:23" x14ac:dyDescent="0.25">
      <c r="A10" s="2" t="s">
        <v>29</v>
      </c>
      <c r="B10" s="2" t="b">
        <v>0</v>
      </c>
      <c r="C10" s="2" t="s">
        <v>16</v>
      </c>
      <c r="D10" s="2" t="s">
        <v>17</v>
      </c>
      <c r="E10" s="2" t="s">
        <v>18</v>
      </c>
      <c r="F10" s="2">
        <v>44165</v>
      </c>
      <c r="G10" s="2">
        <v>44166</v>
      </c>
      <c r="H10" s="2">
        <v>0.5</v>
      </c>
      <c r="I10" s="2" t="s">
        <v>19</v>
      </c>
      <c r="J10" s="2" t="s">
        <v>104</v>
      </c>
      <c r="K10" s="2">
        <v>0.5</v>
      </c>
      <c r="L10" s="2" t="s">
        <v>1</v>
      </c>
      <c r="M10" s="2" t="s">
        <v>105</v>
      </c>
      <c r="N10" s="2" t="s">
        <v>22</v>
      </c>
      <c r="O10" s="2" t="s">
        <v>23</v>
      </c>
      <c r="P10" s="2" t="s">
        <v>286</v>
      </c>
      <c r="Q10" s="2" t="s">
        <v>319</v>
      </c>
      <c r="R10" s="2" t="s">
        <v>105</v>
      </c>
      <c r="S10" s="2">
        <v>241205</v>
      </c>
      <c r="T10" s="2" t="s">
        <v>192</v>
      </c>
      <c r="U10" s="2"/>
      <c r="V10" s="2"/>
      <c r="W10" s="1"/>
    </row>
    <row r="11" spans="1:23" x14ac:dyDescent="0.25">
      <c r="A11" s="2" t="s">
        <v>29</v>
      </c>
      <c r="B11" s="2" t="b">
        <v>0</v>
      </c>
      <c r="C11" s="2" t="s">
        <v>16</v>
      </c>
      <c r="D11" s="2" t="s">
        <v>17</v>
      </c>
      <c r="E11" s="2" t="s">
        <v>18</v>
      </c>
      <c r="F11" s="2">
        <v>44160</v>
      </c>
      <c r="G11" s="2">
        <v>44160</v>
      </c>
      <c r="H11" s="2">
        <v>0.125</v>
      </c>
      <c r="I11" s="2" t="s">
        <v>38</v>
      </c>
      <c r="J11" s="2" t="s">
        <v>107</v>
      </c>
      <c r="K11" s="2">
        <v>0.125</v>
      </c>
      <c r="L11" s="2" t="s">
        <v>1</v>
      </c>
      <c r="M11" s="2" t="s">
        <v>108</v>
      </c>
      <c r="N11" s="2" t="s">
        <v>22</v>
      </c>
      <c r="O11" s="2" t="s">
        <v>23</v>
      </c>
      <c r="P11" s="2" t="s">
        <v>259</v>
      </c>
      <c r="Q11" s="2" t="s">
        <v>320</v>
      </c>
      <c r="R11" s="2" t="s">
        <v>108</v>
      </c>
      <c r="S11" s="2">
        <v>246170</v>
      </c>
      <c r="T11" s="2" t="s">
        <v>192</v>
      </c>
      <c r="U11" s="2"/>
      <c r="V11" s="2"/>
      <c r="W11" s="1"/>
    </row>
    <row r="12" spans="1:23" x14ac:dyDescent="0.25">
      <c r="A12" s="2" t="s">
        <v>29</v>
      </c>
      <c r="B12" s="2" t="b">
        <v>0</v>
      </c>
      <c r="C12" s="2" t="s">
        <v>16</v>
      </c>
      <c r="D12" s="2" t="s">
        <v>17</v>
      </c>
      <c r="E12" s="2" t="s">
        <v>18</v>
      </c>
      <c r="F12" s="2">
        <v>44159</v>
      </c>
      <c r="G12" s="2">
        <v>44160</v>
      </c>
      <c r="H12" s="2">
        <v>0.5</v>
      </c>
      <c r="I12" s="2" t="s">
        <v>19</v>
      </c>
      <c r="J12" s="2" t="s">
        <v>112</v>
      </c>
      <c r="K12" s="2">
        <v>0.5</v>
      </c>
      <c r="L12" s="2" t="s">
        <v>1</v>
      </c>
      <c r="M12" s="2" t="s">
        <v>108</v>
      </c>
      <c r="N12" s="2" t="s">
        <v>50</v>
      </c>
      <c r="O12" s="2" t="s">
        <v>51</v>
      </c>
      <c r="P12" s="2" t="s">
        <v>259</v>
      </c>
      <c r="Q12" s="2" t="s">
        <v>320</v>
      </c>
      <c r="R12" s="2" t="s">
        <v>108</v>
      </c>
      <c r="S12" s="2">
        <v>246170</v>
      </c>
      <c r="T12" s="2" t="s">
        <v>192</v>
      </c>
      <c r="U12" s="2"/>
      <c r="V12" s="2"/>
      <c r="W12" s="1"/>
    </row>
    <row r="13" spans="1:23" x14ac:dyDescent="0.25">
      <c r="A13" s="2" t="s">
        <v>29</v>
      </c>
      <c r="B13" s="2" t="b">
        <v>0</v>
      </c>
      <c r="C13" s="2" t="s">
        <v>16</v>
      </c>
      <c r="D13" s="2" t="s">
        <v>17</v>
      </c>
      <c r="E13" s="2" t="s">
        <v>18</v>
      </c>
      <c r="F13" s="2">
        <v>44158</v>
      </c>
      <c r="G13" s="2">
        <v>44160</v>
      </c>
      <c r="H13" s="2">
        <v>1.875</v>
      </c>
      <c r="I13" s="2" t="s">
        <v>19</v>
      </c>
      <c r="J13" s="2" t="s">
        <v>114</v>
      </c>
      <c r="K13" s="2">
        <v>1.875</v>
      </c>
      <c r="L13" s="2" t="s">
        <v>1</v>
      </c>
      <c r="M13" s="2" t="s">
        <v>108</v>
      </c>
      <c r="N13" s="2" t="s">
        <v>22</v>
      </c>
      <c r="O13" s="2" t="s">
        <v>23</v>
      </c>
      <c r="P13" s="2" t="s">
        <v>259</v>
      </c>
      <c r="Q13" s="2" t="s">
        <v>320</v>
      </c>
      <c r="R13" s="2" t="s">
        <v>108</v>
      </c>
      <c r="S13" s="2">
        <v>246170</v>
      </c>
      <c r="T13" s="2" t="s">
        <v>192</v>
      </c>
      <c r="U13" s="2"/>
      <c r="V13" s="2"/>
      <c r="W13" s="1"/>
    </row>
    <row r="14" spans="1:23" x14ac:dyDescent="0.25">
      <c r="A14" s="2" t="s">
        <v>29</v>
      </c>
      <c r="B14" s="2" t="b">
        <v>0</v>
      </c>
      <c r="C14" s="2" t="s">
        <v>16</v>
      </c>
      <c r="D14" s="2" t="s">
        <v>17</v>
      </c>
      <c r="E14" s="2" t="s">
        <v>18</v>
      </c>
      <c r="F14" s="2">
        <v>44160</v>
      </c>
      <c r="G14" s="2">
        <v>44160</v>
      </c>
      <c r="H14" s="2">
        <v>0.125</v>
      </c>
      <c r="I14" s="2" t="s">
        <v>38</v>
      </c>
      <c r="J14" s="2" t="s">
        <v>109</v>
      </c>
      <c r="K14" s="2">
        <v>0.125</v>
      </c>
      <c r="L14" s="2" t="s">
        <v>1</v>
      </c>
      <c r="M14" s="2" t="s">
        <v>110</v>
      </c>
      <c r="N14" s="2" t="s">
        <v>22</v>
      </c>
      <c r="O14" s="2" t="s">
        <v>23</v>
      </c>
      <c r="P14" s="2" t="s">
        <v>286</v>
      </c>
      <c r="Q14" s="2" t="s">
        <v>324</v>
      </c>
      <c r="R14" s="2" t="s">
        <v>110</v>
      </c>
      <c r="S14" s="2">
        <v>1250492</v>
      </c>
      <c r="T14" s="2" t="s">
        <v>192</v>
      </c>
      <c r="U14" s="2"/>
      <c r="V14" s="2"/>
      <c r="W14" s="1"/>
    </row>
    <row r="15" spans="1:23" x14ac:dyDescent="0.25">
      <c r="A15" s="2" t="s">
        <v>29</v>
      </c>
      <c r="B15" s="2" t="b">
        <v>0</v>
      </c>
      <c r="C15" s="2" t="s">
        <v>16</v>
      </c>
      <c r="D15" s="2" t="s">
        <v>17</v>
      </c>
      <c r="E15" s="2" t="s">
        <v>18</v>
      </c>
      <c r="F15" s="2">
        <v>44160</v>
      </c>
      <c r="G15" s="2">
        <v>44160</v>
      </c>
      <c r="H15" s="2">
        <v>8.3333333333333329E-2</v>
      </c>
      <c r="I15" s="2" t="s">
        <v>19</v>
      </c>
      <c r="J15" s="2" t="s">
        <v>111</v>
      </c>
      <c r="K15" s="2">
        <v>8.3333333333333329E-2</v>
      </c>
      <c r="L15" s="2" t="s">
        <v>1</v>
      </c>
      <c r="M15" s="2" t="s">
        <v>110</v>
      </c>
      <c r="N15" s="2" t="s">
        <v>50</v>
      </c>
      <c r="O15" s="2" t="s">
        <v>51</v>
      </c>
      <c r="P15" s="2" t="s">
        <v>286</v>
      </c>
      <c r="Q15" s="2" t="s">
        <v>324</v>
      </c>
      <c r="R15" s="2" t="s">
        <v>110</v>
      </c>
      <c r="S15" s="2">
        <v>1250492</v>
      </c>
      <c r="T15" s="2" t="s">
        <v>192</v>
      </c>
      <c r="U15" s="2"/>
      <c r="V15" s="2"/>
      <c r="W15" s="1"/>
    </row>
    <row r="16" spans="1:23" x14ac:dyDescent="0.25">
      <c r="A16" s="2" t="s">
        <v>29</v>
      </c>
      <c r="B16" s="2" t="b">
        <v>0</v>
      </c>
      <c r="C16" s="2" t="s">
        <v>16</v>
      </c>
      <c r="D16" s="2" t="s">
        <v>17</v>
      </c>
      <c r="E16" s="2" t="s">
        <v>18</v>
      </c>
      <c r="F16" s="2">
        <v>44158</v>
      </c>
      <c r="G16" s="2">
        <v>44160</v>
      </c>
      <c r="H16" s="2">
        <v>1.4166666666666667</v>
      </c>
      <c r="I16" s="2" t="s">
        <v>19</v>
      </c>
      <c r="J16" s="2" t="s">
        <v>113</v>
      </c>
      <c r="K16" s="2">
        <v>1.4166666666666667</v>
      </c>
      <c r="L16" s="2" t="s">
        <v>1</v>
      </c>
      <c r="M16" s="2" t="s">
        <v>110</v>
      </c>
      <c r="N16" s="2" t="s">
        <v>22</v>
      </c>
      <c r="O16" s="2" t="s">
        <v>23</v>
      </c>
      <c r="P16" s="2" t="s">
        <v>286</v>
      </c>
      <c r="Q16" s="2" t="s">
        <v>324</v>
      </c>
      <c r="R16" s="2" t="s">
        <v>110</v>
      </c>
      <c r="S16" s="2">
        <v>1250492</v>
      </c>
      <c r="T16" s="2" t="s">
        <v>192</v>
      </c>
      <c r="U16" s="2"/>
      <c r="V16" s="2"/>
      <c r="W16" s="1"/>
    </row>
    <row r="17" spans="1:23" x14ac:dyDescent="0.25">
      <c r="A17" s="2" t="s">
        <v>29</v>
      </c>
      <c r="B17" s="2" t="b">
        <v>0</v>
      </c>
      <c r="C17" s="2" t="s">
        <v>16</v>
      </c>
      <c r="D17" s="2" t="s">
        <v>17</v>
      </c>
      <c r="E17" s="2" t="s">
        <v>18</v>
      </c>
      <c r="F17" s="2">
        <v>44172</v>
      </c>
      <c r="G17" s="2">
        <v>44172</v>
      </c>
      <c r="H17" s="2">
        <v>4.1666666666666664E-2</v>
      </c>
      <c r="I17" s="2" t="s">
        <v>38</v>
      </c>
      <c r="J17" s="2" t="s">
        <v>90</v>
      </c>
      <c r="K17" s="2">
        <v>4.1666666666666664E-2</v>
      </c>
      <c r="L17" s="2" t="s">
        <v>1</v>
      </c>
      <c r="M17" s="2" t="s">
        <v>91</v>
      </c>
      <c r="N17" s="2" t="s">
        <v>22</v>
      </c>
      <c r="O17" s="2" t="s">
        <v>23</v>
      </c>
      <c r="P17" s="2" t="s">
        <v>280</v>
      </c>
      <c r="Q17" s="2" t="s">
        <v>325</v>
      </c>
      <c r="R17" s="2" t="s">
        <v>91</v>
      </c>
      <c r="S17" s="2">
        <v>1250495</v>
      </c>
      <c r="T17" s="2" t="s">
        <v>192</v>
      </c>
      <c r="U17" s="2"/>
      <c r="V17" s="2"/>
      <c r="W17" s="1"/>
    </row>
    <row r="18" spans="1:23" x14ac:dyDescent="0.25">
      <c r="A18" s="2" t="s">
        <v>29</v>
      </c>
      <c r="B18" s="2" t="b">
        <v>0</v>
      </c>
      <c r="C18" s="2" t="s">
        <v>16</v>
      </c>
      <c r="D18" s="2" t="s">
        <v>17</v>
      </c>
      <c r="E18" s="2" t="s">
        <v>18</v>
      </c>
      <c r="F18" s="2">
        <v>44172</v>
      </c>
      <c r="G18" s="2">
        <v>44172</v>
      </c>
      <c r="H18" s="2">
        <v>8.3333333333333329E-2</v>
      </c>
      <c r="I18" s="2" t="s">
        <v>19</v>
      </c>
      <c r="J18" s="2" t="s">
        <v>92</v>
      </c>
      <c r="K18" s="2">
        <v>8.3333333333333329E-2</v>
      </c>
      <c r="L18" s="2" t="s">
        <v>1</v>
      </c>
      <c r="M18" s="2" t="s">
        <v>91</v>
      </c>
      <c r="N18" s="2" t="s">
        <v>50</v>
      </c>
      <c r="O18" s="2" t="s">
        <v>51</v>
      </c>
      <c r="P18" s="2" t="s">
        <v>280</v>
      </c>
      <c r="Q18" s="2" t="s">
        <v>325</v>
      </c>
      <c r="R18" s="2" t="s">
        <v>91</v>
      </c>
      <c r="S18" s="2">
        <v>1250495</v>
      </c>
      <c r="T18" s="2" t="s">
        <v>192</v>
      </c>
      <c r="U18" s="2"/>
      <c r="V18" s="2"/>
      <c r="W18" s="1"/>
    </row>
    <row r="19" spans="1:23" x14ac:dyDescent="0.25">
      <c r="A19" s="2" t="s">
        <v>29</v>
      </c>
      <c r="B19" s="2" t="b">
        <v>0</v>
      </c>
      <c r="C19" s="2" t="s">
        <v>16</v>
      </c>
      <c r="D19" s="2" t="s">
        <v>17</v>
      </c>
      <c r="E19" s="2" t="s">
        <v>18</v>
      </c>
      <c r="F19" s="2">
        <v>44171</v>
      </c>
      <c r="G19" s="2">
        <v>44172</v>
      </c>
      <c r="H19" s="2">
        <v>0.54166666666666663</v>
      </c>
      <c r="I19" s="2" t="s">
        <v>19</v>
      </c>
      <c r="J19" s="2" t="s">
        <v>93</v>
      </c>
      <c r="K19" s="2">
        <v>0.54166666666666663</v>
      </c>
      <c r="L19" s="2" t="s">
        <v>1</v>
      </c>
      <c r="M19" s="2" t="s">
        <v>91</v>
      </c>
      <c r="N19" s="2" t="s">
        <v>22</v>
      </c>
      <c r="O19" s="2" t="s">
        <v>23</v>
      </c>
      <c r="P19" s="2" t="s">
        <v>280</v>
      </c>
      <c r="Q19" s="2" t="s">
        <v>325</v>
      </c>
      <c r="R19" s="2" t="s">
        <v>91</v>
      </c>
      <c r="S19" s="2">
        <v>1250495</v>
      </c>
      <c r="T19" s="2" t="s">
        <v>192</v>
      </c>
      <c r="U19" s="2"/>
      <c r="V19" s="2"/>
      <c r="W19" s="1"/>
    </row>
    <row r="20" spans="1:23" x14ac:dyDescent="0.25">
      <c r="A20" s="2" t="s">
        <v>29</v>
      </c>
      <c r="B20" s="2" t="b">
        <v>0</v>
      </c>
      <c r="C20" s="2" t="s">
        <v>16</v>
      </c>
      <c r="D20" s="2" t="s">
        <v>17</v>
      </c>
      <c r="E20" s="2" t="s">
        <v>18</v>
      </c>
      <c r="F20" s="2">
        <v>44184</v>
      </c>
      <c r="G20" s="2">
        <v>44186</v>
      </c>
      <c r="H20" s="2">
        <v>1.3333333333333333</v>
      </c>
      <c r="I20" s="2" t="s">
        <v>19</v>
      </c>
      <c r="J20" s="2" t="s">
        <v>73</v>
      </c>
      <c r="K20" s="2">
        <v>1.3333333333333333</v>
      </c>
      <c r="L20" s="2" t="s">
        <v>1</v>
      </c>
      <c r="M20" s="2" t="s">
        <v>74</v>
      </c>
      <c r="N20" s="2" t="s">
        <v>75</v>
      </c>
      <c r="O20" s="2" t="s">
        <v>43</v>
      </c>
      <c r="P20" s="2" t="s">
        <v>330</v>
      </c>
      <c r="Q20" s="2" t="s">
        <v>331</v>
      </c>
      <c r="R20" s="2" t="s">
        <v>74</v>
      </c>
      <c r="S20" s="2">
        <v>238348</v>
      </c>
      <c r="T20" s="2" t="s">
        <v>309</v>
      </c>
      <c r="U20" s="2"/>
      <c r="V20" s="2"/>
      <c r="W20" s="1"/>
    </row>
    <row r="21" spans="1:23" x14ac:dyDescent="0.25">
      <c r="A21" s="2" t="s">
        <v>29</v>
      </c>
      <c r="B21" s="2" t="b">
        <v>0</v>
      </c>
      <c r="C21" s="2" t="s">
        <v>16</v>
      </c>
      <c r="D21" s="2" t="s">
        <v>17</v>
      </c>
      <c r="E21" s="2" t="s">
        <v>18</v>
      </c>
      <c r="F21" s="2">
        <v>44173</v>
      </c>
      <c r="G21" s="2">
        <v>44175</v>
      </c>
      <c r="H21" s="2">
        <v>1.5</v>
      </c>
      <c r="I21" s="2" t="s">
        <v>19</v>
      </c>
      <c r="J21" s="2" t="s">
        <v>88</v>
      </c>
      <c r="K21" s="2">
        <v>1.5</v>
      </c>
      <c r="L21" s="2" t="s">
        <v>1</v>
      </c>
      <c r="M21" s="2" t="s">
        <v>89</v>
      </c>
      <c r="N21" s="2" t="s">
        <v>22</v>
      </c>
      <c r="O21" s="2" t="s">
        <v>23</v>
      </c>
      <c r="P21" s="2" t="s">
        <v>270</v>
      </c>
      <c r="Q21" s="2" t="s">
        <v>334</v>
      </c>
      <c r="R21" s="2" t="s">
        <v>89</v>
      </c>
      <c r="S21" s="2">
        <v>238337</v>
      </c>
      <c r="T21" s="2" t="s">
        <v>192</v>
      </c>
      <c r="U21" s="2"/>
      <c r="V21" s="2"/>
      <c r="W21" s="1"/>
    </row>
    <row r="22" spans="1:23" x14ac:dyDescent="0.25">
      <c r="A22" s="2" t="s">
        <v>29</v>
      </c>
      <c r="B22" s="2" t="b">
        <v>0</v>
      </c>
      <c r="C22" s="2" t="s">
        <v>16</v>
      </c>
      <c r="D22" s="2" t="s">
        <v>17</v>
      </c>
      <c r="E22" s="2" t="s">
        <v>18</v>
      </c>
      <c r="F22" s="2">
        <v>44172</v>
      </c>
      <c r="G22" s="2">
        <v>44172</v>
      </c>
      <c r="H22" s="2">
        <v>4.1666666666666664E-2</v>
      </c>
      <c r="I22" s="2" t="s">
        <v>38</v>
      </c>
      <c r="J22" s="2" t="s">
        <v>90</v>
      </c>
      <c r="K22" s="2">
        <v>4.1666666666666664E-2</v>
      </c>
      <c r="L22" s="2" t="s">
        <v>1</v>
      </c>
      <c r="M22" s="2" t="s">
        <v>91</v>
      </c>
      <c r="N22" s="2" t="s">
        <v>22</v>
      </c>
      <c r="O22" s="2" t="s">
        <v>23</v>
      </c>
      <c r="P22" s="2" t="s">
        <v>290</v>
      </c>
      <c r="Q22" s="2" t="s">
        <v>336</v>
      </c>
      <c r="R22" s="2" t="s">
        <v>91</v>
      </c>
      <c r="S22" s="2">
        <v>248572</v>
      </c>
      <c r="T22" s="2" t="s">
        <v>289</v>
      </c>
      <c r="U22" s="2"/>
      <c r="V22" s="2"/>
      <c r="W22" s="1"/>
    </row>
    <row r="23" spans="1:23" x14ac:dyDescent="0.25">
      <c r="A23" s="2" t="s">
        <v>29</v>
      </c>
      <c r="B23" s="2" t="b">
        <v>0</v>
      </c>
      <c r="C23" s="2" t="s">
        <v>16</v>
      </c>
      <c r="D23" s="2" t="s">
        <v>17</v>
      </c>
      <c r="E23" s="2" t="s">
        <v>18</v>
      </c>
      <c r="F23" s="2">
        <v>44172</v>
      </c>
      <c r="G23" s="2">
        <v>44172</v>
      </c>
      <c r="H23" s="2">
        <v>8.3333333333333329E-2</v>
      </c>
      <c r="I23" s="2" t="s">
        <v>19</v>
      </c>
      <c r="J23" s="2" t="s">
        <v>92</v>
      </c>
      <c r="K23" s="2">
        <v>8.3333333333333329E-2</v>
      </c>
      <c r="L23" s="2" t="s">
        <v>1</v>
      </c>
      <c r="M23" s="2" t="s">
        <v>91</v>
      </c>
      <c r="N23" s="2" t="s">
        <v>50</v>
      </c>
      <c r="O23" s="2" t="s">
        <v>51</v>
      </c>
      <c r="P23" s="2" t="s">
        <v>290</v>
      </c>
      <c r="Q23" s="2" t="s">
        <v>336</v>
      </c>
      <c r="R23" s="2" t="s">
        <v>91</v>
      </c>
      <c r="S23" s="2">
        <v>248572</v>
      </c>
      <c r="T23" s="2" t="s">
        <v>289</v>
      </c>
      <c r="U23" s="2"/>
      <c r="V23" s="2"/>
      <c r="W23" s="1"/>
    </row>
    <row r="24" spans="1:23" x14ac:dyDescent="0.25">
      <c r="A24" s="2" t="s">
        <v>29</v>
      </c>
      <c r="B24" s="2" t="b">
        <v>0</v>
      </c>
      <c r="C24" s="2" t="s">
        <v>16</v>
      </c>
      <c r="D24" s="2" t="s">
        <v>17</v>
      </c>
      <c r="E24" s="2" t="s">
        <v>18</v>
      </c>
      <c r="F24" s="2">
        <v>44171</v>
      </c>
      <c r="G24" s="2">
        <v>44172</v>
      </c>
      <c r="H24" s="2">
        <v>0.54166666666666663</v>
      </c>
      <c r="I24" s="2" t="s">
        <v>19</v>
      </c>
      <c r="J24" s="2" t="s">
        <v>93</v>
      </c>
      <c r="K24" s="2">
        <v>0.54166666666666663</v>
      </c>
      <c r="L24" s="2" t="s">
        <v>1</v>
      </c>
      <c r="M24" s="2" t="s">
        <v>91</v>
      </c>
      <c r="N24" s="2" t="s">
        <v>22</v>
      </c>
      <c r="O24" s="2" t="s">
        <v>23</v>
      </c>
      <c r="P24" s="2" t="s">
        <v>290</v>
      </c>
      <c r="Q24" s="2" t="s">
        <v>336</v>
      </c>
      <c r="R24" s="2" t="s">
        <v>91</v>
      </c>
      <c r="S24" s="2">
        <v>248572</v>
      </c>
      <c r="T24" s="2" t="s">
        <v>289</v>
      </c>
      <c r="U24" s="2"/>
      <c r="V24" s="2"/>
      <c r="W24" s="1"/>
    </row>
    <row r="25" spans="1:23" x14ac:dyDescent="0.25">
      <c r="A25" s="2" t="s">
        <v>29</v>
      </c>
      <c r="B25" s="2" t="b">
        <v>0</v>
      </c>
      <c r="C25" s="2" t="s">
        <v>16</v>
      </c>
      <c r="D25" s="2" t="s">
        <v>17</v>
      </c>
      <c r="E25" s="2" t="s">
        <v>18</v>
      </c>
      <c r="F25" s="2">
        <v>44160</v>
      </c>
      <c r="G25" s="2">
        <v>44160</v>
      </c>
      <c r="H25" s="2">
        <v>0.125</v>
      </c>
      <c r="I25" s="2" t="s">
        <v>38</v>
      </c>
      <c r="J25" s="2" t="s">
        <v>109</v>
      </c>
      <c r="K25" s="2">
        <v>0.125</v>
      </c>
      <c r="L25" s="2" t="s">
        <v>1</v>
      </c>
      <c r="M25" s="2" t="s">
        <v>110</v>
      </c>
      <c r="N25" s="2" t="s">
        <v>22</v>
      </c>
      <c r="O25" s="2" t="s">
        <v>23</v>
      </c>
      <c r="P25" s="2" t="s">
        <v>287</v>
      </c>
      <c r="Q25" s="2" t="s">
        <v>337</v>
      </c>
      <c r="R25" s="2" t="s">
        <v>110</v>
      </c>
      <c r="S25" s="2">
        <v>248576</v>
      </c>
      <c r="T25" s="2" t="s">
        <v>289</v>
      </c>
      <c r="U25" s="2"/>
      <c r="V25" s="2"/>
      <c r="W25" s="1"/>
    </row>
    <row r="26" spans="1:23" x14ac:dyDescent="0.25">
      <c r="A26" s="2" t="s">
        <v>29</v>
      </c>
      <c r="B26" s="2" t="b">
        <v>0</v>
      </c>
      <c r="C26" s="2" t="s">
        <v>16</v>
      </c>
      <c r="D26" s="2" t="s">
        <v>17</v>
      </c>
      <c r="E26" s="2" t="s">
        <v>18</v>
      </c>
      <c r="F26" s="2">
        <v>44160</v>
      </c>
      <c r="G26" s="2">
        <v>44160</v>
      </c>
      <c r="H26" s="2">
        <v>8.3333333333333329E-2</v>
      </c>
      <c r="I26" s="2" t="s">
        <v>19</v>
      </c>
      <c r="J26" s="2" t="s">
        <v>111</v>
      </c>
      <c r="K26" s="2">
        <v>8.3333333333333329E-2</v>
      </c>
      <c r="L26" s="2" t="s">
        <v>1</v>
      </c>
      <c r="M26" s="2" t="s">
        <v>110</v>
      </c>
      <c r="N26" s="2" t="s">
        <v>50</v>
      </c>
      <c r="O26" s="2" t="s">
        <v>51</v>
      </c>
      <c r="P26" s="2" t="s">
        <v>287</v>
      </c>
      <c r="Q26" s="2" t="s">
        <v>337</v>
      </c>
      <c r="R26" s="2" t="s">
        <v>110</v>
      </c>
      <c r="S26" s="2">
        <v>248576</v>
      </c>
      <c r="T26" s="2" t="s">
        <v>289</v>
      </c>
      <c r="U26" s="2"/>
      <c r="V26" s="2"/>
      <c r="W26" s="1"/>
    </row>
    <row r="27" spans="1:23" x14ac:dyDescent="0.25">
      <c r="A27" s="2" t="s">
        <v>29</v>
      </c>
      <c r="B27" s="2" t="b">
        <v>0</v>
      </c>
      <c r="C27" s="2" t="s">
        <v>16</v>
      </c>
      <c r="D27" s="2" t="s">
        <v>17</v>
      </c>
      <c r="E27" s="2" t="s">
        <v>18</v>
      </c>
      <c r="F27" s="2">
        <v>44158</v>
      </c>
      <c r="G27" s="2">
        <v>44160</v>
      </c>
      <c r="H27" s="2">
        <v>1.4166666666666667</v>
      </c>
      <c r="I27" s="2" t="s">
        <v>19</v>
      </c>
      <c r="J27" s="2" t="s">
        <v>113</v>
      </c>
      <c r="K27" s="2">
        <v>1.4166666666666667</v>
      </c>
      <c r="L27" s="2" t="s">
        <v>1</v>
      </c>
      <c r="M27" s="2" t="s">
        <v>110</v>
      </c>
      <c r="N27" s="2" t="s">
        <v>22</v>
      </c>
      <c r="O27" s="2" t="s">
        <v>23</v>
      </c>
      <c r="P27" s="2" t="s">
        <v>287</v>
      </c>
      <c r="Q27" s="2" t="s">
        <v>337</v>
      </c>
      <c r="R27" s="2" t="s">
        <v>110</v>
      </c>
      <c r="S27" s="2">
        <v>248576</v>
      </c>
      <c r="T27" s="2" t="s">
        <v>289</v>
      </c>
      <c r="U27" s="2"/>
      <c r="V27" s="2"/>
      <c r="W27" s="1"/>
    </row>
    <row r="28" spans="1:23" x14ac:dyDescent="0.25">
      <c r="A28" s="2" t="s">
        <v>29</v>
      </c>
      <c r="B28" s="2" t="b">
        <v>0</v>
      </c>
      <c r="C28" s="2" t="s">
        <v>16</v>
      </c>
      <c r="D28" s="2" t="s">
        <v>17</v>
      </c>
      <c r="E28" s="2" t="s">
        <v>18</v>
      </c>
      <c r="F28" s="2">
        <v>44165</v>
      </c>
      <c r="G28" s="2">
        <v>44166</v>
      </c>
      <c r="H28" s="2">
        <v>0.5</v>
      </c>
      <c r="I28" s="2" t="s">
        <v>19</v>
      </c>
      <c r="J28" s="2" t="s">
        <v>104</v>
      </c>
      <c r="K28" s="2">
        <v>0.5</v>
      </c>
      <c r="L28" s="2" t="s">
        <v>1</v>
      </c>
      <c r="M28" s="2" t="s">
        <v>105</v>
      </c>
      <c r="N28" s="2" t="s">
        <v>22</v>
      </c>
      <c r="O28" s="2" t="s">
        <v>23</v>
      </c>
      <c r="P28" s="2" t="s">
        <v>287</v>
      </c>
      <c r="Q28" s="2" t="s">
        <v>338</v>
      </c>
      <c r="R28" s="2" t="s">
        <v>105</v>
      </c>
      <c r="S28" s="2">
        <v>248579</v>
      </c>
      <c r="T28" s="2" t="s">
        <v>289</v>
      </c>
      <c r="U28" s="2"/>
      <c r="V28" s="2"/>
      <c r="W28" s="1"/>
    </row>
    <row r="29" spans="1:23" x14ac:dyDescent="0.25">
      <c r="A29" s="2" t="s">
        <v>29</v>
      </c>
      <c r="B29" s="2" t="b">
        <v>0</v>
      </c>
      <c r="C29" s="2" t="s">
        <v>16</v>
      </c>
      <c r="D29" s="2" t="s">
        <v>17</v>
      </c>
      <c r="E29" s="2" t="s">
        <v>18</v>
      </c>
      <c r="F29" s="2">
        <v>44160</v>
      </c>
      <c r="G29" s="2">
        <v>44160</v>
      </c>
      <c r="H29" s="2">
        <v>0.125</v>
      </c>
      <c r="I29" s="2" t="s">
        <v>38</v>
      </c>
      <c r="J29" s="2" t="s">
        <v>107</v>
      </c>
      <c r="K29" s="2">
        <v>0.125</v>
      </c>
      <c r="L29" s="2" t="s">
        <v>1</v>
      </c>
      <c r="M29" s="2" t="s">
        <v>108</v>
      </c>
      <c r="N29" s="2" t="s">
        <v>22</v>
      </c>
      <c r="O29" s="2" t="s">
        <v>23</v>
      </c>
      <c r="P29" s="2" t="s">
        <v>287</v>
      </c>
      <c r="Q29" s="2" t="s">
        <v>339</v>
      </c>
      <c r="R29" s="2" t="s">
        <v>108</v>
      </c>
      <c r="S29" s="2">
        <v>248581</v>
      </c>
      <c r="T29" s="2" t="s">
        <v>289</v>
      </c>
      <c r="U29" s="2"/>
      <c r="V29" s="2"/>
      <c r="W29" s="1"/>
    </row>
    <row r="30" spans="1:23" x14ac:dyDescent="0.25">
      <c r="A30" s="2" t="s">
        <v>29</v>
      </c>
      <c r="B30" s="2" t="b">
        <v>0</v>
      </c>
      <c r="C30" s="2" t="s">
        <v>16</v>
      </c>
      <c r="D30" s="2" t="s">
        <v>17</v>
      </c>
      <c r="E30" s="2" t="s">
        <v>18</v>
      </c>
      <c r="F30" s="2">
        <v>44159</v>
      </c>
      <c r="G30" s="2">
        <v>44160</v>
      </c>
      <c r="H30" s="2">
        <v>0.5</v>
      </c>
      <c r="I30" s="2" t="s">
        <v>19</v>
      </c>
      <c r="J30" s="2" t="s">
        <v>112</v>
      </c>
      <c r="K30" s="2">
        <v>0.5</v>
      </c>
      <c r="L30" s="2" t="s">
        <v>1</v>
      </c>
      <c r="M30" s="2" t="s">
        <v>108</v>
      </c>
      <c r="N30" s="2" t="s">
        <v>50</v>
      </c>
      <c r="O30" s="2" t="s">
        <v>51</v>
      </c>
      <c r="P30" s="2" t="s">
        <v>287</v>
      </c>
      <c r="Q30" s="2" t="s">
        <v>339</v>
      </c>
      <c r="R30" s="2" t="s">
        <v>108</v>
      </c>
      <c r="S30" s="2">
        <v>248581</v>
      </c>
      <c r="T30" s="2" t="s">
        <v>289</v>
      </c>
      <c r="U30" s="2"/>
      <c r="V30" s="2"/>
      <c r="W30" s="1"/>
    </row>
    <row r="31" spans="1:23" x14ac:dyDescent="0.25">
      <c r="A31" s="2" t="s">
        <v>29</v>
      </c>
      <c r="B31" s="2" t="b">
        <v>0</v>
      </c>
      <c r="C31" s="2" t="s">
        <v>16</v>
      </c>
      <c r="D31" s="2" t="s">
        <v>17</v>
      </c>
      <c r="E31" s="2" t="s">
        <v>18</v>
      </c>
      <c r="F31" s="2">
        <v>44158</v>
      </c>
      <c r="G31" s="2">
        <v>44160</v>
      </c>
      <c r="H31" s="2">
        <v>1.875</v>
      </c>
      <c r="I31" s="2" t="s">
        <v>19</v>
      </c>
      <c r="J31" s="2" t="s">
        <v>114</v>
      </c>
      <c r="K31" s="2">
        <v>1.875</v>
      </c>
      <c r="L31" s="2" t="s">
        <v>1</v>
      </c>
      <c r="M31" s="2" t="s">
        <v>108</v>
      </c>
      <c r="N31" s="2" t="s">
        <v>22</v>
      </c>
      <c r="O31" s="2" t="s">
        <v>23</v>
      </c>
      <c r="P31" s="2" t="s">
        <v>287</v>
      </c>
      <c r="Q31" s="2" t="s">
        <v>339</v>
      </c>
      <c r="R31" s="2" t="s">
        <v>108</v>
      </c>
      <c r="S31" s="2">
        <v>248581</v>
      </c>
      <c r="T31" s="2" t="s">
        <v>289</v>
      </c>
      <c r="U31" s="2"/>
      <c r="V31" s="2"/>
      <c r="W31" s="1"/>
    </row>
    <row r="32" spans="1:23" x14ac:dyDescent="0.25">
      <c r="A32" s="2" t="s">
        <v>29</v>
      </c>
      <c r="B32" s="2" t="b">
        <v>0</v>
      </c>
      <c r="C32" s="2" t="s">
        <v>16</v>
      </c>
      <c r="D32" s="2" t="s">
        <v>17</v>
      </c>
      <c r="E32" s="2" t="s">
        <v>18</v>
      </c>
      <c r="F32" s="2">
        <v>44171</v>
      </c>
      <c r="G32" s="2">
        <v>44171</v>
      </c>
      <c r="H32" s="2">
        <v>0.16666666666666666</v>
      </c>
      <c r="I32" s="2" t="s">
        <v>24</v>
      </c>
      <c r="J32" s="2" t="s">
        <v>94</v>
      </c>
      <c r="K32" s="2">
        <v>0.16666666666666666</v>
      </c>
      <c r="L32" s="2" t="s">
        <v>1</v>
      </c>
      <c r="M32" s="2" t="s">
        <v>95</v>
      </c>
      <c r="N32" s="2" t="s">
        <v>27</v>
      </c>
      <c r="O32" s="2" t="s">
        <v>28</v>
      </c>
      <c r="P32" s="2" t="s">
        <v>236</v>
      </c>
      <c r="Q32" s="2" t="s">
        <v>341</v>
      </c>
      <c r="R32" s="2" t="s">
        <v>95</v>
      </c>
      <c r="S32" s="2">
        <v>249124</v>
      </c>
      <c r="T32" s="2" t="s">
        <v>138</v>
      </c>
      <c r="U32" s="2"/>
      <c r="V32" s="2"/>
      <c r="W32" s="1"/>
    </row>
    <row r="33" spans="1:23" x14ac:dyDescent="0.25">
      <c r="A33" s="2" t="s">
        <v>29</v>
      </c>
      <c r="B33" s="2" t="b">
        <v>0</v>
      </c>
      <c r="C33" s="2" t="s">
        <v>16</v>
      </c>
      <c r="D33" s="2" t="s">
        <v>17</v>
      </c>
      <c r="E33" s="2" t="s">
        <v>18</v>
      </c>
      <c r="F33" s="2">
        <v>44195</v>
      </c>
      <c r="G33" s="2">
        <v>44195</v>
      </c>
      <c r="H33" s="2">
        <v>0.16666666666666666</v>
      </c>
      <c r="I33" s="2" t="s">
        <v>24</v>
      </c>
      <c r="J33" s="2" t="s">
        <v>36</v>
      </c>
      <c r="K33" s="2">
        <v>0.16666666666666666</v>
      </c>
      <c r="L33" s="2" t="s">
        <v>1</v>
      </c>
      <c r="M33" s="2" t="s">
        <v>37</v>
      </c>
      <c r="N33" s="2" t="s">
        <v>27</v>
      </c>
      <c r="O33" s="2" t="s">
        <v>28</v>
      </c>
      <c r="P33" s="2" t="s">
        <v>236</v>
      </c>
      <c r="Q33" s="2" t="s">
        <v>342</v>
      </c>
      <c r="R33" s="2" t="s">
        <v>37</v>
      </c>
      <c r="S33" s="2">
        <v>249126</v>
      </c>
      <c r="T33" s="2" t="s">
        <v>138</v>
      </c>
      <c r="U33" s="2"/>
      <c r="V33" s="2"/>
      <c r="W33" s="1"/>
    </row>
    <row r="34" spans="1:23" x14ac:dyDescent="0.25">
      <c r="A34" s="2" t="s">
        <v>29</v>
      </c>
      <c r="B34" s="2" t="b">
        <v>0</v>
      </c>
      <c r="C34" s="2" t="s">
        <v>16</v>
      </c>
      <c r="D34" s="2" t="s">
        <v>17</v>
      </c>
      <c r="E34" s="2" t="s">
        <v>18</v>
      </c>
      <c r="F34" s="2">
        <v>44195</v>
      </c>
      <c r="G34" s="2">
        <v>44195</v>
      </c>
      <c r="H34" s="2">
        <v>0.25</v>
      </c>
      <c r="I34" s="2" t="s">
        <v>38</v>
      </c>
      <c r="J34" s="2" t="s">
        <v>39</v>
      </c>
      <c r="K34" s="2">
        <v>0.25</v>
      </c>
      <c r="L34" s="2" t="s">
        <v>1</v>
      </c>
      <c r="M34" s="2" t="s">
        <v>37</v>
      </c>
      <c r="N34" s="2" t="s">
        <v>27</v>
      </c>
      <c r="O34" s="2" t="s">
        <v>28</v>
      </c>
      <c r="P34" s="2" t="s">
        <v>236</v>
      </c>
      <c r="Q34" s="2" t="s">
        <v>342</v>
      </c>
      <c r="R34" s="2" t="s">
        <v>37</v>
      </c>
      <c r="S34" s="2">
        <v>249126</v>
      </c>
      <c r="T34" s="2" t="s">
        <v>138</v>
      </c>
      <c r="U34" s="2"/>
      <c r="V34" s="2"/>
      <c r="W34" s="1"/>
    </row>
    <row r="35" spans="1:23" x14ac:dyDescent="0.25">
      <c r="A35" s="2" t="s">
        <v>29</v>
      </c>
      <c r="B35" s="2" t="b">
        <v>0</v>
      </c>
      <c r="C35" s="2" t="s">
        <v>16</v>
      </c>
      <c r="D35" s="2" t="s">
        <v>17</v>
      </c>
      <c r="E35" s="2" t="s">
        <v>18</v>
      </c>
      <c r="F35" s="2">
        <v>44171</v>
      </c>
      <c r="G35" s="2">
        <v>44171</v>
      </c>
      <c r="H35" s="2">
        <v>0.25</v>
      </c>
      <c r="I35" s="2" t="s">
        <v>24</v>
      </c>
      <c r="J35" s="2" t="s">
        <v>96</v>
      </c>
      <c r="K35" s="2">
        <v>0.25</v>
      </c>
      <c r="L35" s="2" t="s">
        <v>1</v>
      </c>
      <c r="M35" s="2" t="s">
        <v>97</v>
      </c>
      <c r="N35" s="2" t="s">
        <v>27</v>
      </c>
      <c r="O35" s="2" t="s">
        <v>28</v>
      </c>
      <c r="P35" s="2" t="s">
        <v>163</v>
      </c>
      <c r="Q35" s="2" t="s">
        <v>343</v>
      </c>
      <c r="R35" s="2" t="s">
        <v>97</v>
      </c>
      <c r="S35" s="2">
        <v>249132</v>
      </c>
      <c r="T35" s="2" t="s">
        <v>165</v>
      </c>
      <c r="U35" s="2"/>
      <c r="V35" s="2"/>
      <c r="W35" s="1"/>
    </row>
    <row r="36" spans="1:23" x14ac:dyDescent="0.25">
      <c r="A36" s="2" t="s">
        <v>29</v>
      </c>
      <c r="B36" s="2" t="b">
        <v>0</v>
      </c>
      <c r="C36" s="2" t="s">
        <v>16</v>
      </c>
      <c r="D36" s="2" t="s">
        <v>17</v>
      </c>
      <c r="E36" s="2" t="s">
        <v>18</v>
      </c>
      <c r="F36" s="2">
        <v>44180</v>
      </c>
      <c r="G36" s="2">
        <v>44180</v>
      </c>
      <c r="H36" s="2">
        <v>0.45833333333333326</v>
      </c>
      <c r="I36" s="2" t="s">
        <v>19</v>
      </c>
      <c r="J36" s="2" t="s">
        <v>78</v>
      </c>
      <c r="K36" s="2">
        <v>0.45833333333333326</v>
      </c>
      <c r="L36" s="2" t="s">
        <v>1</v>
      </c>
      <c r="M36" s="2" t="s">
        <v>79</v>
      </c>
      <c r="N36" s="2" t="s">
        <v>22</v>
      </c>
      <c r="O36" s="2" t="s">
        <v>23</v>
      </c>
      <c r="P36" s="2" t="s">
        <v>189</v>
      </c>
      <c r="Q36" s="2" t="s">
        <v>346</v>
      </c>
      <c r="R36" s="2" t="s">
        <v>79</v>
      </c>
      <c r="S36" s="2">
        <v>246302</v>
      </c>
      <c r="T36" s="2" t="s">
        <v>192</v>
      </c>
      <c r="U36" s="2"/>
      <c r="V36" s="2"/>
      <c r="W36" s="1"/>
    </row>
    <row r="37" spans="1:23" x14ac:dyDescent="0.25">
      <c r="A37" s="2" t="s">
        <v>29</v>
      </c>
      <c r="B37" s="2" t="b">
        <v>0</v>
      </c>
      <c r="C37" s="2" t="s">
        <v>16</v>
      </c>
      <c r="D37" s="2" t="s">
        <v>17</v>
      </c>
      <c r="E37" s="2" t="s">
        <v>18</v>
      </c>
      <c r="F37" s="2">
        <v>44166</v>
      </c>
      <c r="G37" s="2">
        <v>44166</v>
      </c>
      <c r="H37" s="2">
        <v>2.0833333333333332E-2</v>
      </c>
      <c r="I37" s="2" t="s">
        <v>38</v>
      </c>
      <c r="J37" s="2" t="s">
        <v>98</v>
      </c>
      <c r="K37" s="2">
        <v>2.0833333333333332E-2</v>
      </c>
      <c r="L37" s="2" t="s">
        <v>1</v>
      </c>
      <c r="M37" s="2" t="s">
        <v>99</v>
      </c>
      <c r="N37" s="2" t="s">
        <v>100</v>
      </c>
      <c r="O37" s="2" t="s">
        <v>101</v>
      </c>
      <c r="P37" s="2" t="s">
        <v>312</v>
      </c>
      <c r="Q37" s="2" t="s">
        <v>359</v>
      </c>
      <c r="R37" s="2" t="s">
        <v>99</v>
      </c>
      <c r="S37" s="2">
        <v>251244</v>
      </c>
      <c r="T37" s="2" t="s">
        <v>314</v>
      </c>
      <c r="U37" s="2"/>
      <c r="V37" s="2"/>
      <c r="W37" s="1"/>
    </row>
    <row r="38" spans="1:23" x14ac:dyDescent="0.25">
      <c r="A38" s="2" t="s">
        <v>29</v>
      </c>
      <c r="B38" s="2" t="b">
        <v>0</v>
      </c>
      <c r="C38" s="2" t="s">
        <v>16</v>
      </c>
      <c r="D38" s="2" t="s">
        <v>17</v>
      </c>
      <c r="E38" s="2" t="s">
        <v>18</v>
      </c>
      <c r="F38" s="2">
        <v>44165</v>
      </c>
      <c r="G38" s="2">
        <v>44166</v>
      </c>
      <c r="H38" s="2">
        <v>1.3333333333333333</v>
      </c>
      <c r="I38" s="2" t="s">
        <v>19</v>
      </c>
      <c r="J38" s="2" t="s">
        <v>106</v>
      </c>
      <c r="K38" s="2">
        <v>1.3333333333333333</v>
      </c>
      <c r="L38" s="2" t="s">
        <v>1</v>
      </c>
      <c r="M38" s="2" t="s">
        <v>99</v>
      </c>
      <c r="N38" s="2" t="s">
        <v>100</v>
      </c>
      <c r="O38" s="2" t="s">
        <v>101</v>
      </c>
      <c r="P38" s="2" t="s">
        <v>312</v>
      </c>
      <c r="Q38" s="2" t="s">
        <v>359</v>
      </c>
      <c r="R38" s="2" t="s">
        <v>99</v>
      </c>
      <c r="S38" s="2">
        <v>251244</v>
      </c>
      <c r="T38" s="2" t="s">
        <v>314</v>
      </c>
      <c r="U38" s="2"/>
      <c r="V38" s="2"/>
      <c r="W38" s="1"/>
    </row>
    <row r="39" spans="1:23" x14ac:dyDescent="0.25">
      <c r="A39" s="2" t="s">
        <v>29</v>
      </c>
      <c r="B39" s="2" t="b">
        <v>0</v>
      </c>
      <c r="C39" s="2" t="s">
        <v>16</v>
      </c>
      <c r="D39" s="2" t="s">
        <v>17</v>
      </c>
      <c r="E39" s="2" t="s">
        <v>18</v>
      </c>
      <c r="F39" s="2">
        <v>44175</v>
      </c>
      <c r="G39" s="2">
        <v>44175</v>
      </c>
      <c r="H39" s="2">
        <v>2.0833333333333332E-2</v>
      </c>
      <c r="I39" s="2" t="s">
        <v>38</v>
      </c>
      <c r="J39" s="2" t="s">
        <v>82</v>
      </c>
      <c r="K39" s="2">
        <v>2.0833333333333332E-2</v>
      </c>
      <c r="L39" s="2" t="s">
        <v>1</v>
      </c>
      <c r="M39" s="2" t="s">
        <v>83</v>
      </c>
      <c r="N39" s="2" t="s">
        <v>22</v>
      </c>
      <c r="O39" s="2" t="s">
        <v>23</v>
      </c>
      <c r="P39" s="2" t="s">
        <v>259</v>
      </c>
      <c r="Q39" s="2" t="s">
        <v>368</v>
      </c>
      <c r="R39" s="2" t="s">
        <v>83</v>
      </c>
      <c r="S39" s="2">
        <v>250608</v>
      </c>
      <c r="T39" s="2" t="s">
        <v>192</v>
      </c>
      <c r="U39" s="2">
        <v>250608</v>
      </c>
      <c r="V39" s="2" t="s">
        <v>16</v>
      </c>
      <c r="W39" s="1">
        <v>44160</v>
      </c>
    </row>
    <row r="40" spans="1:23" x14ac:dyDescent="0.25">
      <c r="A40" s="2" t="s">
        <v>29</v>
      </c>
      <c r="B40" s="2" t="b">
        <v>0</v>
      </c>
      <c r="C40" s="2" t="s">
        <v>16</v>
      </c>
      <c r="D40" s="2" t="s">
        <v>17</v>
      </c>
      <c r="E40" s="2" t="s">
        <v>18</v>
      </c>
      <c r="F40" s="2">
        <v>44175</v>
      </c>
      <c r="G40" s="2">
        <v>44175</v>
      </c>
      <c r="H40" s="2">
        <v>1.3888888888888888E-2</v>
      </c>
      <c r="I40" s="2" t="s">
        <v>38</v>
      </c>
      <c r="J40" s="2" t="s">
        <v>84</v>
      </c>
      <c r="K40" s="2">
        <v>1.3888888888888888E-2</v>
      </c>
      <c r="L40" s="2" t="s">
        <v>1</v>
      </c>
      <c r="M40" s="2" t="s">
        <v>83</v>
      </c>
      <c r="N40" s="2" t="s">
        <v>50</v>
      </c>
      <c r="O40" s="2" t="s">
        <v>51</v>
      </c>
      <c r="P40" s="2" t="s">
        <v>259</v>
      </c>
      <c r="Q40" s="2" t="s">
        <v>368</v>
      </c>
      <c r="R40" s="2" t="s">
        <v>83</v>
      </c>
      <c r="S40" s="2">
        <v>250608</v>
      </c>
      <c r="T40" s="2" t="s">
        <v>192</v>
      </c>
      <c r="U40" s="2">
        <v>250608</v>
      </c>
      <c r="V40" s="2" t="s">
        <v>16</v>
      </c>
      <c r="W40" s="1">
        <v>44160</v>
      </c>
    </row>
    <row r="41" spans="1:23" x14ac:dyDescent="0.25">
      <c r="A41" s="2" t="s">
        <v>29</v>
      </c>
      <c r="B41" s="2" t="b">
        <v>0</v>
      </c>
      <c r="C41" s="2" t="s">
        <v>16</v>
      </c>
      <c r="D41" s="2" t="s">
        <v>17</v>
      </c>
      <c r="E41" s="2" t="s">
        <v>18</v>
      </c>
      <c r="F41" s="2">
        <v>44175</v>
      </c>
      <c r="G41" s="2">
        <v>44175</v>
      </c>
      <c r="H41" s="2">
        <v>8.3333333333333329E-2</v>
      </c>
      <c r="I41" s="2" t="s">
        <v>38</v>
      </c>
      <c r="J41" s="2" t="s">
        <v>85</v>
      </c>
      <c r="K41" s="2">
        <v>8.3333333333333329E-2</v>
      </c>
      <c r="L41" s="2" t="s">
        <v>1</v>
      </c>
      <c r="M41" s="2" t="s">
        <v>83</v>
      </c>
      <c r="N41" s="2" t="s">
        <v>50</v>
      </c>
      <c r="O41" s="2" t="s">
        <v>51</v>
      </c>
      <c r="P41" s="2" t="s">
        <v>259</v>
      </c>
      <c r="Q41" s="2" t="s">
        <v>368</v>
      </c>
      <c r="R41" s="2" t="s">
        <v>83</v>
      </c>
      <c r="S41" s="2">
        <v>250608</v>
      </c>
      <c r="T41" s="2" t="s">
        <v>192</v>
      </c>
      <c r="U41" s="2">
        <v>250608</v>
      </c>
      <c r="V41" s="2" t="s">
        <v>16</v>
      </c>
      <c r="W41" s="1">
        <v>44160</v>
      </c>
    </row>
    <row r="42" spans="1:23" x14ac:dyDescent="0.25">
      <c r="A42" s="2" t="s">
        <v>29</v>
      </c>
      <c r="B42" s="2" t="b">
        <v>0</v>
      </c>
      <c r="C42" s="2" t="s">
        <v>16</v>
      </c>
      <c r="D42" s="2" t="s">
        <v>17</v>
      </c>
      <c r="E42" s="2" t="s">
        <v>18</v>
      </c>
      <c r="F42" s="2">
        <v>44185</v>
      </c>
      <c r="G42" s="2">
        <v>44186</v>
      </c>
      <c r="H42" s="2">
        <v>0.54166666666666663</v>
      </c>
      <c r="I42" s="2" t="s">
        <v>19</v>
      </c>
      <c r="J42" s="2" t="s">
        <v>65</v>
      </c>
      <c r="K42" s="2">
        <v>0.54166666666666663</v>
      </c>
      <c r="L42" s="2" t="s">
        <v>1</v>
      </c>
      <c r="M42" s="2" t="s">
        <v>66</v>
      </c>
      <c r="N42" s="2" t="s">
        <v>61</v>
      </c>
      <c r="O42" s="2" t="s">
        <v>62</v>
      </c>
      <c r="P42" s="2" t="s">
        <v>241</v>
      </c>
      <c r="Q42" s="2" t="s">
        <v>361</v>
      </c>
      <c r="R42" s="2" t="s">
        <v>66</v>
      </c>
      <c r="S42" s="2">
        <v>252009</v>
      </c>
      <c r="T42" s="2" t="s">
        <v>243</v>
      </c>
      <c r="U42" s="2"/>
      <c r="V42" s="2"/>
      <c r="W42" s="1"/>
    </row>
    <row r="43" spans="1:23" x14ac:dyDescent="0.25">
      <c r="A43" s="2" t="s">
        <v>29</v>
      </c>
      <c r="B43" s="2" t="b">
        <v>0</v>
      </c>
      <c r="C43" s="2" t="s">
        <v>16</v>
      </c>
      <c r="D43" s="2" t="s">
        <v>17</v>
      </c>
      <c r="E43" s="2" t="s">
        <v>18</v>
      </c>
      <c r="F43" s="2">
        <v>44184</v>
      </c>
      <c r="G43" s="2">
        <v>44184</v>
      </c>
      <c r="H43" s="2">
        <v>0.45833333333333326</v>
      </c>
      <c r="I43" s="2" t="s">
        <v>19</v>
      </c>
      <c r="J43" s="2" t="s">
        <v>65</v>
      </c>
      <c r="K43" s="2">
        <v>0.45833333333333326</v>
      </c>
      <c r="L43" s="2" t="s">
        <v>1</v>
      </c>
      <c r="M43" s="2" t="s">
        <v>66</v>
      </c>
      <c r="N43" s="2" t="s">
        <v>61</v>
      </c>
      <c r="O43" s="2" t="s">
        <v>62</v>
      </c>
      <c r="P43" s="2" t="s">
        <v>241</v>
      </c>
      <c r="Q43" s="2" t="s">
        <v>361</v>
      </c>
      <c r="R43" s="2" t="s">
        <v>66</v>
      </c>
      <c r="S43" s="2">
        <v>252009</v>
      </c>
      <c r="T43" s="2" t="s">
        <v>243</v>
      </c>
      <c r="U43" s="2"/>
      <c r="V43" s="2"/>
      <c r="W43" s="1"/>
    </row>
    <row r="44" spans="1:23" x14ac:dyDescent="0.25">
      <c r="A44" s="2" t="s">
        <v>29</v>
      </c>
      <c r="B44" s="2" t="b">
        <v>0</v>
      </c>
      <c r="C44" s="2" t="s">
        <v>16</v>
      </c>
      <c r="D44" s="2" t="s">
        <v>17</v>
      </c>
      <c r="E44" s="2" t="s">
        <v>18</v>
      </c>
      <c r="F44" s="2">
        <v>44186</v>
      </c>
      <c r="G44" s="2">
        <v>44186</v>
      </c>
      <c r="H44" s="2">
        <v>0.125</v>
      </c>
      <c r="I44" s="2" t="s">
        <v>24</v>
      </c>
      <c r="J44" s="2" t="s">
        <v>59</v>
      </c>
      <c r="K44" s="2">
        <v>0.125</v>
      </c>
      <c r="L44" s="2" t="s">
        <v>1</v>
      </c>
      <c r="M44" s="2" t="s">
        <v>60</v>
      </c>
      <c r="N44" s="2" t="s">
        <v>61</v>
      </c>
      <c r="O44" s="2" t="s">
        <v>62</v>
      </c>
      <c r="P44" s="2" t="s">
        <v>308</v>
      </c>
      <c r="Q44" s="2" t="s">
        <v>362</v>
      </c>
      <c r="R44" s="2" t="s">
        <v>60</v>
      </c>
      <c r="S44" s="2">
        <v>252011</v>
      </c>
      <c r="T44" s="2" t="s">
        <v>309</v>
      </c>
      <c r="U44" s="2"/>
      <c r="V44" s="2"/>
      <c r="W44" s="1"/>
    </row>
    <row r="45" spans="1:23" x14ac:dyDescent="0.25">
      <c r="A45" s="2" t="s">
        <v>29</v>
      </c>
      <c r="B45" s="2" t="b">
        <v>0</v>
      </c>
      <c r="C45" s="2" t="s">
        <v>16</v>
      </c>
      <c r="D45" s="2" t="s">
        <v>17</v>
      </c>
      <c r="E45" s="2" t="s">
        <v>18</v>
      </c>
      <c r="F45" s="2">
        <v>44185</v>
      </c>
      <c r="G45" s="2">
        <v>44186</v>
      </c>
      <c r="H45" s="2">
        <v>0.625</v>
      </c>
      <c r="I45" s="2" t="s">
        <v>38</v>
      </c>
      <c r="J45" s="2" t="s">
        <v>67</v>
      </c>
      <c r="K45" s="2">
        <v>0.625</v>
      </c>
      <c r="L45" s="2" t="s">
        <v>1</v>
      </c>
      <c r="M45" s="2" t="s">
        <v>60</v>
      </c>
      <c r="N45" s="2" t="s">
        <v>61</v>
      </c>
      <c r="O45" s="2" t="s">
        <v>62</v>
      </c>
      <c r="P45" s="2" t="s">
        <v>308</v>
      </c>
      <c r="Q45" s="2" t="s">
        <v>362</v>
      </c>
      <c r="R45" s="2" t="s">
        <v>60</v>
      </c>
      <c r="S45" s="2">
        <v>252011</v>
      </c>
      <c r="T45" s="2" t="s">
        <v>309</v>
      </c>
      <c r="U45" s="2"/>
      <c r="V45" s="2"/>
      <c r="W45" s="1"/>
    </row>
    <row r="46" spans="1:23" x14ac:dyDescent="0.25">
      <c r="A46" s="2" t="s">
        <v>29</v>
      </c>
      <c r="B46" s="2" t="b">
        <v>0</v>
      </c>
      <c r="C46" s="2" t="s">
        <v>16</v>
      </c>
      <c r="D46" s="2" t="s">
        <v>17</v>
      </c>
      <c r="E46" s="2" t="s">
        <v>18</v>
      </c>
      <c r="F46" s="2">
        <v>44168</v>
      </c>
      <c r="G46" s="2">
        <v>44168</v>
      </c>
      <c r="H46" s="2">
        <v>8.3333333333333329E-2</v>
      </c>
      <c r="I46" s="2" t="s">
        <v>24</v>
      </c>
      <c r="J46" s="2" t="s">
        <v>59</v>
      </c>
      <c r="K46" s="2">
        <v>8.3333333333333329E-2</v>
      </c>
      <c r="L46" s="2" t="s">
        <v>1</v>
      </c>
      <c r="M46" s="2" t="s">
        <v>60</v>
      </c>
      <c r="N46" s="2" t="s">
        <v>61</v>
      </c>
      <c r="O46" s="2" t="s">
        <v>62</v>
      </c>
      <c r="P46" s="2" t="s">
        <v>308</v>
      </c>
      <c r="Q46" s="2" t="s">
        <v>362</v>
      </c>
      <c r="R46" s="2" t="s">
        <v>60</v>
      </c>
      <c r="S46" s="2">
        <v>252011</v>
      </c>
      <c r="T46" s="2" t="s">
        <v>309</v>
      </c>
      <c r="U46" s="2"/>
      <c r="V46" s="2"/>
      <c r="W46" s="1"/>
    </row>
    <row r="47" spans="1:23" x14ac:dyDescent="0.25">
      <c r="A47" s="2" t="s">
        <v>29</v>
      </c>
      <c r="B47" s="2" t="b">
        <v>0</v>
      </c>
      <c r="C47" s="2" t="s">
        <v>16</v>
      </c>
      <c r="D47" s="2" t="s">
        <v>17</v>
      </c>
      <c r="E47" s="2" t="s">
        <v>18</v>
      </c>
      <c r="F47" s="2">
        <v>44178</v>
      </c>
      <c r="G47" s="2">
        <v>44179</v>
      </c>
      <c r="H47" s="2">
        <v>0.45833333333333326</v>
      </c>
      <c r="I47" s="2" t="s">
        <v>19</v>
      </c>
      <c r="J47" s="2" t="s">
        <v>80</v>
      </c>
      <c r="K47" s="2">
        <v>0.45833333333333326</v>
      </c>
      <c r="L47" s="2" t="s">
        <v>1</v>
      </c>
      <c r="M47" s="2" t="s">
        <v>81</v>
      </c>
      <c r="N47" s="2" t="s">
        <v>22</v>
      </c>
      <c r="O47" s="2" t="s">
        <v>23</v>
      </c>
      <c r="P47" s="2" t="s">
        <v>363</v>
      </c>
      <c r="Q47" s="2" t="s">
        <v>364</v>
      </c>
      <c r="R47" s="2" t="s">
        <v>81</v>
      </c>
      <c r="S47" s="2">
        <v>227432</v>
      </c>
      <c r="T47" s="2" t="s">
        <v>192</v>
      </c>
      <c r="U47" s="2"/>
      <c r="V47" s="2"/>
      <c r="W47" s="1"/>
    </row>
    <row r="48" spans="1:23" x14ac:dyDescent="0.25">
      <c r="A48" s="2" t="s">
        <v>29</v>
      </c>
      <c r="B48" s="2" t="b">
        <v>0</v>
      </c>
      <c r="C48" s="2" t="s">
        <v>16</v>
      </c>
      <c r="D48" s="2" t="s">
        <v>17</v>
      </c>
      <c r="E48" s="2" t="s">
        <v>18</v>
      </c>
      <c r="F48" s="2">
        <v>44191</v>
      </c>
      <c r="G48" s="2">
        <v>44191</v>
      </c>
      <c r="H48" s="2">
        <v>8.3333333333333329E-2</v>
      </c>
      <c r="I48" s="2" t="s">
        <v>38</v>
      </c>
      <c r="J48" s="2" t="s">
        <v>48</v>
      </c>
      <c r="K48" s="2">
        <v>8.3333333333333329E-2</v>
      </c>
      <c r="L48" s="2" t="s">
        <v>1</v>
      </c>
      <c r="M48" s="2" t="s">
        <v>49</v>
      </c>
      <c r="N48" s="2" t="s">
        <v>50</v>
      </c>
      <c r="O48" s="2" t="s">
        <v>51</v>
      </c>
      <c r="P48" s="2" t="s">
        <v>197</v>
      </c>
      <c r="Q48" s="2" t="s">
        <v>366</v>
      </c>
      <c r="R48" s="2" t="s">
        <v>49</v>
      </c>
      <c r="S48" s="2">
        <v>250957</v>
      </c>
      <c r="T48" s="2" t="s">
        <v>192</v>
      </c>
      <c r="U48" s="2"/>
      <c r="V48" s="2"/>
      <c r="W48" s="1"/>
    </row>
    <row r="49" spans="1:23" x14ac:dyDescent="0.25">
      <c r="A49" s="2" t="s">
        <v>29</v>
      </c>
      <c r="B49" s="2" t="b">
        <v>0</v>
      </c>
      <c r="C49" s="2" t="s">
        <v>16</v>
      </c>
      <c r="D49" s="2" t="s">
        <v>17</v>
      </c>
      <c r="E49" s="2" t="s">
        <v>18</v>
      </c>
      <c r="F49" s="2">
        <v>44190</v>
      </c>
      <c r="G49" s="2">
        <v>44191</v>
      </c>
      <c r="H49" s="2">
        <v>0.5</v>
      </c>
      <c r="I49" s="2" t="s">
        <v>19</v>
      </c>
      <c r="J49" s="2" t="s">
        <v>55</v>
      </c>
      <c r="K49" s="2">
        <v>0.5</v>
      </c>
      <c r="L49" s="2" t="s">
        <v>1</v>
      </c>
      <c r="M49" s="2" t="s">
        <v>49</v>
      </c>
      <c r="N49" s="2" t="s">
        <v>50</v>
      </c>
      <c r="O49" s="2" t="s">
        <v>51</v>
      </c>
      <c r="P49" s="2" t="s">
        <v>197</v>
      </c>
      <c r="Q49" s="2" t="s">
        <v>366</v>
      </c>
      <c r="R49" s="2" t="s">
        <v>49</v>
      </c>
      <c r="S49" s="2">
        <v>250957</v>
      </c>
      <c r="T49" s="2" t="s">
        <v>192</v>
      </c>
      <c r="U49" s="2"/>
      <c r="V49" s="2"/>
      <c r="W49" s="1"/>
    </row>
    <row r="50" spans="1:23" x14ac:dyDescent="0.25">
      <c r="A50" s="2" t="s">
        <v>29</v>
      </c>
      <c r="B50" s="2" t="b">
        <v>0</v>
      </c>
      <c r="C50" s="2" t="s">
        <v>16</v>
      </c>
      <c r="D50" s="2" t="s">
        <v>17</v>
      </c>
      <c r="E50" s="2" t="s">
        <v>18</v>
      </c>
      <c r="F50" s="2">
        <v>44191</v>
      </c>
      <c r="G50" s="2">
        <v>44191</v>
      </c>
      <c r="H50" s="2">
        <v>4.1666666666666664E-2</v>
      </c>
      <c r="I50" s="2" t="s">
        <v>38</v>
      </c>
      <c r="J50" s="2" t="s">
        <v>52</v>
      </c>
      <c r="K50" s="2">
        <v>4.1666666666666664E-2</v>
      </c>
      <c r="L50" s="2" t="s">
        <v>1</v>
      </c>
      <c r="M50" s="2" t="s">
        <v>53</v>
      </c>
      <c r="N50" s="2" t="s">
        <v>50</v>
      </c>
      <c r="O50" s="2" t="s">
        <v>51</v>
      </c>
      <c r="P50" s="2" t="s">
        <v>197</v>
      </c>
      <c r="Q50" s="2" t="s">
        <v>367</v>
      </c>
      <c r="R50" s="2" t="s">
        <v>53</v>
      </c>
      <c r="S50" s="2">
        <v>231253</v>
      </c>
      <c r="T50" s="2" t="s">
        <v>192</v>
      </c>
      <c r="U50" s="2"/>
      <c r="V50" s="2"/>
      <c r="W50" s="1"/>
    </row>
    <row r="51" spans="1:23" x14ac:dyDescent="0.25">
      <c r="A51" s="2" t="s">
        <v>29</v>
      </c>
      <c r="B51" s="2" t="b">
        <v>0</v>
      </c>
      <c r="C51" s="2" t="s">
        <v>16</v>
      </c>
      <c r="D51" s="2" t="s">
        <v>17</v>
      </c>
      <c r="E51" s="2" t="s">
        <v>18</v>
      </c>
      <c r="F51" s="2">
        <v>44191</v>
      </c>
      <c r="G51" s="2">
        <v>44191</v>
      </c>
      <c r="H51" s="2">
        <v>8.3333333333333329E-2</v>
      </c>
      <c r="I51" s="2" t="s">
        <v>38</v>
      </c>
      <c r="J51" s="2" t="s">
        <v>54</v>
      </c>
      <c r="K51" s="2">
        <v>8.3333333333333329E-2</v>
      </c>
      <c r="L51" s="2" t="s">
        <v>1</v>
      </c>
      <c r="M51" s="2" t="s">
        <v>53</v>
      </c>
      <c r="N51" s="2" t="s">
        <v>50</v>
      </c>
      <c r="O51" s="2" t="s">
        <v>51</v>
      </c>
      <c r="P51" s="2" t="s">
        <v>197</v>
      </c>
      <c r="Q51" s="2" t="s">
        <v>367</v>
      </c>
      <c r="R51" s="2" t="s">
        <v>53</v>
      </c>
      <c r="S51" s="2">
        <v>231253</v>
      </c>
      <c r="T51" s="2" t="s">
        <v>192</v>
      </c>
      <c r="U51" s="2"/>
      <c r="V51" s="2"/>
      <c r="W51" s="1"/>
    </row>
    <row r="52" spans="1:23" x14ac:dyDescent="0.25">
      <c r="A52" s="2" t="s">
        <v>29</v>
      </c>
      <c r="B52" s="2" t="b">
        <v>0</v>
      </c>
      <c r="C52" s="2" t="s">
        <v>16</v>
      </c>
      <c r="D52" s="2" t="s">
        <v>17</v>
      </c>
      <c r="E52" s="2" t="s">
        <v>18</v>
      </c>
      <c r="F52" s="2">
        <v>44190</v>
      </c>
      <c r="G52" s="2">
        <v>44191</v>
      </c>
      <c r="H52" s="2">
        <v>0.5</v>
      </c>
      <c r="I52" s="2" t="s">
        <v>19</v>
      </c>
      <c r="J52" s="2" t="s">
        <v>56</v>
      </c>
      <c r="K52" s="2">
        <v>0.5</v>
      </c>
      <c r="L52" s="2" t="s">
        <v>1</v>
      </c>
      <c r="M52" s="2" t="s">
        <v>53</v>
      </c>
      <c r="N52" s="2" t="s">
        <v>50</v>
      </c>
      <c r="O52" s="2" t="s">
        <v>51</v>
      </c>
      <c r="P52" s="2" t="s">
        <v>197</v>
      </c>
      <c r="Q52" s="2" t="s">
        <v>367</v>
      </c>
      <c r="R52" s="2" t="s">
        <v>53</v>
      </c>
      <c r="S52" s="2">
        <v>231253</v>
      </c>
      <c r="T52" s="2" t="s">
        <v>192</v>
      </c>
      <c r="U52" s="2"/>
      <c r="V52" s="2"/>
      <c r="W52" s="1"/>
    </row>
    <row r="53" spans="1:23" x14ac:dyDescent="0.25">
      <c r="A53" s="2" t="s">
        <v>29</v>
      </c>
      <c r="B53" s="2" t="b">
        <v>0</v>
      </c>
      <c r="C53" s="2" t="s">
        <v>16</v>
      </c>
      <c r="D53" s="2" t="s">
        <v>17</v>
      </c>
      <c r="E53" s="2" t="s">
        <v>18</v>
      </c>
      <c r="F53" s="2">
        <v>44174</v>
      </c>
      <c r="G53" s="2">
        <v>44175</v>
      </c>
      <c r="H53" s="2">
        <v>0.5</v>
      </c>
      <c r="I53" s="2" t="s">
        <v>19</v>
      </c>
      <c r="J53" s="2" t="s">
        <v>86</v>
      </c>
      <c r="K53" s="2">
        <v>0.5</v>
      </c>
      <c r="L53" s="2" t="s">
        <v>1</v>
      </c>
      <c r="M53" s="2" t="s">
        <v>83</v>
      </c>
      <c r="N53" s="2" t="s">
        <v>50</v>
      </c>
      <c r="O53" s="2" t="s">
        <v>51</v>
      </c>
      <c r="P53" s="2" t="s">
        <v>259</v>
      </c>
      <c r="Q53" s="2" t="s">
        <v>368</v>
      </c>
      <c r="R53" s="2" t="s">
        <v>83</v>
      </c>
      <c r="S53" s="2">
        <v>250608</v>
      </c>
      <c r="T53" s="2" t="s">
        <v>192</v>
      </c>
      <c r="U53" s="2">
        <v>250608</v>
      </c>
      <c r="V53" s="2" t="s">
        <v>16</v>
      </c>
      <c r="W53" s="1">
        <v>44160</v>
      </c>
    </row>
    <row r="54" spans="1:23" x14ac:dyDescent="0.25">
      <c r="A54" s="2" t="s">
        <v>29</v>
      </c>
      <c r="B54" s="2" t="b">
        <v>0</v>
      </c>
      <c r="C54" s="2" t="s">
        <v>16</v>
      </c>
      <c r="D54" s="2" t="s">
        <v>17</v>
      </c>
      <c r="E54" s="2" t="s">
        <v>18</v>
      </c>
      <c r="F54" s="2">
        <v>44174</v>
      </c>
      <c r="G54" s="2">
        <v>44175</v>
      </c>
      <c r="H54" s="2">
        <v>1.4166666666666667</v>
      </c>
      <c r="I54" s="2" t="s">
        <v>19</v>
      </c>
      <c r="J54" s="2" t="s">
        <v>87</v>
      </c>
      <c r="K54" s="2">
        <v>1.4166666666666667</v>
      </c>
      <c r="L54" s="2" t="s">
        <v>1</v>
      </c>
      <c r="M54" s="2" t="s">
        <v>83</v>
      </c>
      <c r="N54" s="2" t="s">
        <v>22</v>
      </c>
      <c r="O54" s="2" t="s">
        <v>23</v>
      </c>
      <c r="P54" s="2" t="s">
        <v>259</v>
      </c>
      <c r="Q54" s="2" t="s">
        <v>368</v>
      </c>
      <c r="R54" s="2" t="s">
        <v>83</v>
      </c>
      <c r="S54" s="2">
        <v>250608</v>
      </c>
      <c r="T54" s="2" t="s">
        <v>192</v>
      </c>
      <c r="U54" s="2">
        <v>250608</v>
      </c>
      <c r="V54" s="2" t="s">
        <v>16</v>
      </c>
      <c r="W54" s="1">
        <v>44160</v>
      </c>
    </row>
    <row r="55" spans="1:23" x14ac:dyDescent="0.25">
      <c r="A55" s="2" t="s">
        <v>29</v>
      </c>
      <c r="B55" s="2" t="b">
        <v>0</v>
      </c>
      <c r="C55" s="2" t="s">
        <v>16</v>
      </c>
      <c r="D55" s="2" t="s">
        <v>17</v>
      </c>
      <c r="E55" s="2" t="s">
        <v>18</v>
      </c>
      <c r="F55" s="2">
        <v>44175</v>
      </c>
      <c r="G55" s="2">
        <v>44175</v>
      </c>
      <c r="H55" s="2">
        <v>2.0833333333333332E-2</v>
      </c>
      <c r="I55" s="2" t="s">
        <v>38</v>
      </c>
      <c r="J55" s="2" t="s">
        <v>82</v>
      </c>
      <c r="K55" s="2">
        <v>2.0833333333333332E-2</v>
      </c>
      <c r="L55" s="2" t="s">
        <v>1</v>
      </c>
      <c r="M55" s="2" t="s">
        <v>83</v>
      </c>
      <c r="N55" s="2" t="s">
        <v>22</v>
      </c>
      <c r="O55" s="2" t="s">
        <v>23</v>
      </c>
      <c r="P55" s="2" t="s">
        <v>287</v>
      </c>
      <c r="Q55" s="2" t="s">
        <v>385</v>
      </c>
      <c r="R55" s="2" t="s">
        <v>83</v>
      </c>
      <c r="S55" s="2">
        <v>253770</v>
      </c>
      <c r="T55" s="2" t="s">
        <v>289</v>
      </c>
      <c r="U55" s="2"/>
      <c r="V55" s="2"/>
      <c r="W55" s="1"/>
    </row>
    <row r="56" spans="1:23" x14ac:dyDescent="0.25">
      <c r="A56" s="2" t="s">
        <v>29</v>
      </c>
      <c r="B56" s="2" t="b">
        <v>0</v>
      </c>
      <c r="C56" s="2" t="s">
        <v>16</v>
      </c>
      <c r="D56" s="2" t="s">
        <v>17</v>
      </c>
      <c r="E56" s="2" t="s">
        <v>18</v>
      </c>
      <c r="F56" s="2">
        <v>44175</v>
      </c>
      <c r="G56" s="2">
        <v>44175</v>
      </c>
      <c r="H56" s="2">
        <v>1.3888888888888888E-2</v>
      </c>
      <c r="I56" s="2" t="s">
        <v>38</v>
      </c>
      <c r="J56" s="2" t="s">
        <v>84</v>
      </c>
      <c r="K56" s="2">
        <v>1.3888888888888888E-2</v>
      </c>
      <c r="L56" s="2" t="s">
        <v>1</v>
      </c>
      <c r="M56" s="2" t="s">
        <v>83</v>
      </c>
      <c r="N56" s="2" t="s">
        <v>50</v>
      </c>
      <c r="O56" s="2" t="s">
        <v>51</v>
      </c>
      <c r="P56" s="2" t="s">
        <v>287</v>
      </c>
      <c r="Q56" s="2" t="s">
        <v>385</v>
      </c>
      <c r="R56" s="2" t="s">
        <v>83</v>
      </c>
      <c r="S56" s="2">
        <v>253770</v>
      </c>
      <c r="T56" s="2" t="s">
        <v>289</v>
      </c>
      <c r="U56" s="2"/>
      <c r="V56" s="2"/>
      <c r="W56" s="1"/>
    </row>
    <row r="57" spans="1:23" x14ac:dyDescent="0.25">
      <c r="A57" s="2" t="s">
        <v>29</v>
      </c>
      <c r="B57" s="2" t="b">
        <v>0</v>
      </c>
      <c r="C57" s="2" t="s">
        <v>16</v>
      </c>
      <c r="D57" s="2" t="s">
        <v>17</v>
      </c>
      <c r="E57" s="2" t="s">
        <v>18</v>
      </c>
      <c r="F57" s="2">
        <v>44175</v>
      </c>
      <c r="G57" s="2">
        <v>44175</v>
      </c>
      <c r="H57" s="2">
        <v>8.3333333333333329E-2</v>
      </c>
      <c r="I57" s="2" t="s">
        <v>38</v>
      </c>
      <c r="J57" s="2" t="s">
        <v>85</v>
      </c>
      <c r="K57" s="2">
        <v>8.3333333333333329E-2</v>
      </c>
      <c r="L57" s="2" t="s">
        <v>1</v>
      </c>
      <c r="M57" s="2" t="s">
        <v>83</v>
      </c>
      <c r="N57" s="2" t="s">
        <v>50</v>
      </c>
      <c r="O57" s="2" t="s">
        <v>51</v>
      </c>
      <c r="P57" s="2" t="s">
        <v>287</v>
      </c>
      <c r="Q57" s="2" t="s">
        <v>385</v>
      </c>
      <c r="R57" s="2" t="s">
        <v>83</v>
      </c>
      <c r="S57" s="2">
        <v>253770</v>
      </c>
      <c r="T57" s="2" t="s">
        <v>289</v>
      </c>
      <c r="U57" s="2"/>
      <c r="V57" s="2"/>
      <c r="W57" s="1"/>
    </row>
    <row r="58" spans="1:23" x14ac:dyDescent="0.25">
      <c r="A58" s="2" t="s">
        <v>29</v>
      </c>
      <c r="B58" s="2" t="b">
        <v>0</v>
      </c>
      <c r="C58" s="2" t="s">
        <v>16</v>
      </c>
      <c r="D58" s="2" t="s">
        <v>17</v>
      </c>
      <c r="E58" s="2" t="s">
        <v>18</v>
      </c>
      <c r="F58" s="2">
        <v>44174</v>
      </c>
      <c r="G58" s="2">
        <v>44175</v>
      </c>
      <c r="H58" s="2">
        <v>0.5</v>
      </c>
      <c r="I58" s="2" t="s">
        <v>19</v>
      </c>
      <c r="J58" s="2" t="s">
        <v>86</v>
      </c>
      <c r="K58" s="2">
        <v>0.5</v>
      </c>
      <c r="L58" s="2" t="s">
        <v>1</v>
      </c>
      <c r="M58" s="2" t="s">
        <v>83</v>
      </c>
      <c r="N58" s="2" t="s">
        <v>50</v>
      </c>
      <c r="O58" s="2" t="s">
        <v>51</v>
      </c>
      <c r="P58" s="2" t="s">
        <v>287</v>
      </c>
      <c r="Q58" s="2" t="s">
        <v>385</v>
      </c>
      <c r="R58" s="2" t="s">
        <v>83</v>
      </c>
      <c r="S58" s="2">
        <v>253770</v>
      </c>
      <c r="T58" s="2" t="s">
        <v>289</v>
      </c>
      <c r="U58" s="2"/>
      <c r="V58" s="2"/>
      <c r="W58" s="1"/>
    </row>
    <row r="59" spans="1:23" x14ac:dyDescent="0.25">
      <c r="A59" s="2" t="s">
        <v>29</v>
      </c>
      <c r="B59" s="2" t="b">
        <v>0</v>
      </c>
      <c r="C59" s="2" t="s">
        <v>16</v>
      </c>
      <c r="D59" s="2" t="s">
        <v>17</v>
      </c>
      <c r="E59" s="2" t="s">
        <v>18</v>
      </c>
      <c r="F59" s="2">
        <v>44174</v>
      </c>
      <c r="G59" s="2">
        <v>44175</v>
      </c>
      <c r="H59" s="2">
        <v>1.4166666666666667</v>
      </c>
      <c r="I59" s="2" t="s">
        <v>19</v>
      </c>
      <c r="J59" s="2" t="s">
        <v>87</v>
      </c>
      <c r="K59" s="2">
        <v>1.4166666666666667</v>
      </c>
      <c r="L59" s="2" t="s">
        <v>1</v>
      </c>
      <c r="M59" s="2" t="s">
        <v>83</v>
      </c>
      <c r="N59" s="2" t="s">
        <v>22</v>
      </c>
      <c r="O59" s="2" t="s">
        <v>23</v>
      </c>
      <c r="P59" s="2" t="s">
        <v>287</v>
      </c>
      <c r="Q59" s="2" t="s">
        <v>385</v>
      </c>
      <c r="R59" s="2" t="s">
        <v>83</v>
      </c>
      <c r="S59" s="2">
        <v>253770</v>
      </c>
      <c r="T59" s="2" t="s">
        <v>289</v>
      </c>
      <c r="U59" s="2"/>
      <c r="V59" s="2"/>
      <c r="W59" s="1"/>
    </row>
    <row r="60" spans="1:23" x14ac:dyDescent="0.25">
      <c r="A60" s="2" t="s">
        <v>29</v>
      </c>
      <c r="B60" s="2" t="b">
        <v>0</v>
      </c>
      <c r="C60" s="2" t="s">
        <v>16</v>
      </c>
      <c r="D60" s="2" t="s">
        <v>17</v>
      </c>
      <c r="E60" s="2" t="s">
        <v>18</v>
      </c>
      <c r="F60" s="2">
        <v>44178</v>
      </c>
      <c r="G60" s="2">
        <v>44179</v>
      </c>
      <c r="H60" s="2">
        <v>0.45833333333333326</v>
      </c>
      <c r="I60" s="2" t="s">
        <v>19</v>
      </c>
      <c r="J60" s="2" t="s">
        <v>80</v>
      </c>
      <c r="K60" s="2">
        <v>0.45833333333333326</v>
      </c>
      <c r="L60" s="2" t="s">
        <v>1</v>
      </c>
      <c r="M60" s="2" t="s">
        <v>81</v>
      </c>
      <c r="N60" s="2" t="s">
        <v>22</v>
      </c>
      <c r="O60" s="2" t="s">
        <v>23</v>
      </c>
      <c r="P60" s="2" t="s">
        <v>290</v>
      </c>
      <c r="Q60" s="2" t="s">
        <v>386</v>
      </c>
      <c r="R60" s="2" t="s">
        <v>81</v>
      </c>
      <c r="S60" s="2">
        <v>253771</v>
      </c>
      <c r="T60" s="2" t="s">
        <v>289</v>
      </c>
      <c r="U60" s="2"/>
      <c r="V60" s="2"/>
      <c r="W60" s="1"/>
    </row>
    <row r="61" spans="1:23" x14ac:dyDescent="0.25">
      <c r="A61" s="2" t="s">
        <v>29</v>
      </c>
      <c r="B61" s="2" t="b">
        <v>0</v>
      </c>
      <c r="C61" s="2" t="s">
        <v>16</v>
      </c>
      <c r="D61" s="2" t="s">
        <v>17</v>
      </c>
      <c r="E61" s="2" t="s">
        <v>18</v>
      </c>
      <c r="F61" s="2">
        <v>44194</v>
      </c>
      <c r="G61" s="2">
        <v>44195</v>
      </c>
      <c r="H61" s="2">
        <v>0.33333333333333331</v>
      </c>
      <c r="I61" s="2" t="s">
        <v>19</v>
      </c>
      <c r="J61" s="2" t="s">
        <v>44</v>
      </c>
      <c r="K61" s="2">
        <v>0.33333333333333331</v>
      </c>
      <c r="L61" s="2" t="s">
        <v>1</v>
      </c>
      <c r="M61" s="2" t="s">
        <v>45</v>
      </c>
      <c r="N61" s="2" t="s">
        <v>42</v>
      </c>
      <c r="O61" s="2" t="s">
        <v>43</v>
      </c>
      <c r="P61" s="2" t="s">
        <v>153</v>
      </c>
      <c r="Q61" s="2" t="s">
        <v>389</v>
      </c>
      <c r="R61" s="2" t="s">
        <v>45</v>
      </c>
      <c r="S61" s="2">
        <v>8822</v>
      </c>
      <c r="T61" s="2" t="s">
        <v>155</v>
      </c>
      <c r="U61" s="2"/>
      <c r="V61" s="2"/>
      <c r="W61" s="1"/>
    </row>
    <row r="62" spans="1:23" x14ac:dyDescent="0.25">
      <c r="A62" s="2" t="s">
        <v>29</v>
      </c>
      <c r="B62" s="2" t="b">
        <v>0</v>
      </c>
      <c r="C62" s="2" t="s">
        <v>16</v>
      </c>
      <c r="D62" s="2" t="s">
        <v>17</v>
      </c>
      <c r="E62" s="2" t="s">
        <v>18</v>
      </c>
      <c r="F62" s="2">
        <v>44185</v>
      </c>
      <c r="G62" s="2">
        <v>44186</v>
      </c>
      <c r="H62" s="2">
        <v>0.20833333333333337</v>
      </c>
      <c r="I62" s="2" t="s">
        <v>24</v>
      </c>
      <c r="J62" s="2" t="s">
        <v>63</v>
      </c>
      <c r="K62" s="2">
        <v>0.20833333333333337</v>
      </c>
      <c r="L62" s="2" t="s">
        <v>1</v>
      </c>
      <c r="M62" s="2" t="s">
        <v>64</v>
      </c>
      <c r="N62" s="2" t="s">
        <v>61</v>
      </c>
      <c r="O62" s="2" t="s">
        <v>62</v>
      </c>
      <c r="P62" s="2" t="s">
        <v>308</v>
      </c>
      <c r="Q62" s="2" t="s">
        <v>395</v>
      </c>
      <c r="R62" s="2" t="s">
        <v>64</v>
      </c>
      <c r="S62" s="2">
        <v>254504</v>
      </c>
      <c r="T62" s="2" t="s">
        <v>309</v>
      </c>
      <c r="U62" s="2"/>
      <c r="V62" s="2"/>
      <c r="W62" s="1"/>
    </row>
    <row r="63" spans="1:23" x14ac:dyDescent="0.25">
      <c r="A63" s="2" t="s">
        <v>29</v>
      </c>
      <c r="B63" s="2" t="b">
        <v>0</v>
      </c>
      <c r="C63" s="2" t="s">
        <v>16</v>
      </c>
      <c r="D63" s="2" t="s">
        <v>17</v>
      </c>
      <c r="E63" s="2" t="s">
        <v>18</v>
      </c>
      <c r="F63" s="2">
        <v>44185</v>
      </c>
      <c r="G63" s="2">
        <v>44186</v>
      </c>
      <c r="H63" s="2">
        <v>0.625</v>
      </c>
      <c r="I63" s="2" t="s">
        <v>38</v>
      </c>
      <c r="J63" s="2" t="s">
        <v>68</v>
      </c>
      <c r="K63" s="2">
        <v>0.625</v>
      </c>
      <c r="L63" s="2" t="s">
        <v>1</v>
      </c>
      <c r="M63" s="2" t="s">
        <v>64</v>
      </c>
      <c r="N63" s="2" t="s">
        <v>61</v>
      </c>
      <c r="O63" s="2" t="s">
        <v>62</v>
      </c>
      <c r="P63" s="2" t="s">
        <v>308</v>
      </c>
      <c r="Q63" s="2" t="s">
        <v>395</v>
      </c>
      <c r="R63" s="2" t="s">
        <v>64</v>
      </c>
      <c r="S63" s="2">
        <v>254504</v>
      </c>
      <c r="T63" s="2" t="s">
        <v>309</v>
      </c>
      <c r="U63" s="2"/>
      <c r="V63" s="2"/>
      <c r="W63" s="1"/>
    </row>
    <row r="64" spans="1:23" x14ac:dyDescent="0.25">
      <c r="A64" s="2" t="s">
        <v>29</v>
      </c>
      <c r="B64" s="2" t="b">
        <v>0</v>
      </c>
      <c r="C64" s="2" t="s">
        <v>16</v>
      </c>
      <c r="D64" s="2" t="s">
        <v>17</v>
      </c>
      <c r="E64" s="2" t="s">
        <v>18</v>
      </c>
      <c r="F64" s="2">
        <v>44196</v>
      </c>
      <c r="G64" s="2">
        <v>44196</v>
      </c>
      <c r="H64" s="2">
        <v>0.125</v>
      </c>
      <c r="I64" s="2" t="s">
        <v>24</v>
      </c>
      <c r="J64" s="2" t="s">
        <v>30</v>
      </c>
      <c r="K64" s="2">
        <v>0.125</v>
      </c>
      <c r="L64" s="2" t="s">
        <v>1</v>
      </c>
      <c r="M64" s="2" t="s">
        <v>31</v>
      </c>
      <c r="N64" s="2" t="s">
        <v>27</v>
      </c>
      <c r="O64" s="2" t="s">
        <v>28</v>
      </c>
      <c r="P64" s="2" t="s">
        <v>354</v>
      </c>
      <c r="Q64" s="2" t="s">
        <v>402</v>
      </c>
      <c r="R64" s="2" t="s">
        <v>31</v>
      </c>
      <c r="S64" s="2">
        <v>256181</v>
      </c>
      <c r="T64" s="2" t="s">
        <v>138</v>
      </c>
      <c r="U64" s="2"/>
      <c r="V64" s="2"/>
      <c r="W64" s="1"/>
    </row>
    <row r="65" spans="1:23" x14ac:dyDescent="0.25">
      <c r="A65" s="2" t="s">
        <v>29</v>
      </c>
      <c r="B65" s="2" t="b">
        <v>0</v>
      </c>
      <c r="C65" s="2" t="s">
        <v>16</v>
      </c>
      <c r="D65" s="2" t="s">
        <v>17</v>
      </c>
      <c r="E65" s="2" t="s">
        <v>18</v>
      </c>
      <c r="F65" s="2">
        <v>44196</v>
      </c>
      <c r="G65" s="2">
        <v>44196</v>
      </c>
      <c r="H65" s="2">
        <v>0.125</v>
      </c>
      <c r="I65" s="2" t="s">
        <v>24</v>
      </c>
      <c r="J65" s="2" t="s">
        <v>34</v>
      </c>
      <c r="K65" s="2">
        <v>0.125</v>
      </c>
      <c r="L65" s="2" t="s">
        <v>1</v>
      </c>
      <c r="M65" s="2" t="s">
        <v>35</v>
      </c>
      <c r="N65" s="2" t="s">
        <v>27</v>
      </c>
      <c r="O65" s="2" t="s">
        <v>28</v>
      </c>
      <c r="P65" s="2" t="s">
        <v>354</v>
      </c>
      <c r="Q65" s="2" t="s">
        <v>403</v>
      </c>
      <c r="R65" s="2" t="s">
        <v>35</v>
      </c>
      <c r="S65" s="2">
        <v>256186</v>
      </c>
      <c r="T65" s="2" t="s">
        <v>138</v>
      </c>
      <c r="U65" s="2"/>
      <c r="V65" s="2"/>
      <c r="W65" s="1"/>
    </row>
    <row r="66" spans="1:23" x14ac:dyDescent="0.25">
      <c r="A66" s="2" t="s">
        <v>29</v>
      </c>
      <c r="B66" s="2" t="b">
        <v>0</v>
      </c>
      <c r="C66" s="2" t="s">
        <v>16</v>
      </c>
      <c r="D66" s="2" t="s">
        <v>17</v>
      </c>
      <c r="E66" s="2" t="s">
        <v>18</v>
      </c>
      <c r="F66" s="2">
        <v>44196</v>
      </c>
      <c r="G66" s="2">
        <v>44196</v>
      </c>
      <c r="H66" s="2">
        <v>0.125</v>
      </c>
      <c r="I66" s="2" t="s">
        <v>24</v>
      </c>
      <c r="J66" s="2" t="s">
        <v>32</v>
      </c>
      <c r="K66" s="2">
        <v>0.125</v>
      </c>
      <c r="L66" s="2" t="s">
        <v>1</v>
      </c>
      <c r="M66" s="2" t="s">
        <v>33</v>
      </c>
      <c r="N66" s="2" t="s">
        <v>27</v>
      </c>
      <c r="O66" s="2" t="s">
        <v>28</v>
      </c>
      <c r="P66" s="2" t="s">
        <v>353</v>
      </c>
      <c r="Q66" s="2" t="s">
        <v>404</v>
      </c>
      <c r="R66" s="2" t="s">
        <v>33</v>
      </c>
      <c r="S66" s="2">
        <v>256188</v>
      </c>
      <c r="T66" s="2" t="s">
        <v>138</v>
      </c>
      <c r="U66" s="2"/>
      <c r="V66" s="2"/>
      <c r="W66" s="1"/>
    </row>
    <row r="67" spans="1:23" x14ac:dyDescent="0.25">
      <c r="A67" s="2" t="s">
        <v>15</v>
      </c>
      <c r="B67" s="2" t="b">
        <v>0</v>
      </c>
      <c r="C67" s="2" t="s">
        <v>16</v>
      </c>
      <c r="D67" s="2" t="s">
        <v>17</v>
      </c>
      <c r="E67" s="2" t="s">
        <v>18</v>
      </c>
      <c r="F67" s="2">
        <v>44196</v>
      </c>
      <c r="G67" s="2">
        <v>44196</v>
      </c>
      <c r="H67" s="2">
        <v>8.3333333333333329E-2</v>
      </c>
      <c r="I67" s="2" t="s">
        <v>24</v>
      </c>
      <c r="J67" s="2" t="s">
        <v>25</v>
      </c>
      <c r="K67" s="2">
        <v>8.3333333333333329E-2</v>
      </c>
      <c r="L67" s="2" t="s">
        <v>1</v>
      </c>
      <c r="M67" s="2" t="s">
        <v>26</v>
      </c>
      <c r="N67" s="2" t="s">
        <v>27</v>
      </c>
      <c r="O67" s="2" t="s">
        <v>28</v>
      </c>
      <c r="P67" s="2" t="s">
        <v>356</v>
      </c>
      <c r="Q67" s="2" t="s">
        <v>405</v>
      </c>
      <c r="R67" s="2" t="s">
        <v>26</v>
      </c>
      <c r="S67" s="2">
        <v>256194</v>
      </c>
      <c r="T67" s="2" t="s">
        <v>138</v>
      </c>
      <c r="U67" s="2"/>
      <c r="V67" s="2"/>
      <c r="W67" s="1"/>
    </row>
    <row r="68" spans="1:23" x14ac:dyDescent="0.25">
      <c r="A68" s="2" t="s">
        <v>29</v>
      </c>
      <c r="B68" s="2" t="b">
        <v>0</v>
      </c>
      <c r="C68" s="2" t="s">
        <v>16</v>
      </c>
      <c r="D68" s="2" t="s">
        <v>17</v>
      </c>
      <c r="E68" s="2" t="s">
        <v>18</v>
      </c>
      <c r="F68" s="2">
        <v>44191</v>
      </c>
      <c r="G68" s="2">
        <v>44192</v>
      </c>
      <c r="H68" s="2">
        <v>0.45833333333333326</v>
      </c>
      <c r="I68" s="2" t="s">
        <v>19</v>
      </c>
      <c r="J68" s="2" t="s">
        <v>46</v>
      </c>
      <c r="K68" s="2">
        <v>0.45833333333333326</v>
      </c>
      <c r="L68" s="2" t="s">
        <v>1</v>
      </c>
      <c r="M68" s="2" t="s">
        <v>47</v>
      </c>
      <c r="N68" s="2" t="s">
        <v>22</v>
      </c>
      <c r="O68" s="2" t="s">
        <v>23</v>
      </c>
      <c r="P68" s="2" t="s">
        <v>189</v>
      </c>
      <c r="Q68" s="2" t="s">
        <v>408</v>
      </c>
      <c r="R68" s="2" t="s">
        <v>47</v>
      </c>
      <c r="S68" s="2">
        <v>246681</v>
      </c>
      <c r="T68" s="2" t="s">
        <v>192</v>
      </c>
      <c r="U68" s="2">
        <v>246681</v>
      </c>
      <c r="V68" s="2" t="s">
        <v>16</v>
      </c>
      <c r="W68" s="1">
        <v>44152</v>
      </c>
    </row>
    <row r="69" spans="1:23" x14ac:dyDescent="0.25">
      <c r="A69" s="2" t="s">
        <v>29</v>
      </c>
      <c r="B69" s="2" t="b">
        <v>0</v>
      </c>
      <c r="C69" s="2" t="s">
        <v>16</v>
      </c>
      <c r="D69" s="2" t="s">
        <v>17</v>
      </c>
      <c r="E69" s="2" t="s">
        <v>18</v>
      </c>
      <c r="F69" s="2">
        <v>44187</v>
      </c>
      <c r="G69" s="2">
        <v>44187</v>
      </c>
      <c r="H69" s="2">
        <v>0.45833333333333326</v>
      </c>
      <c r="I69" s="2" t="s">
        <v>19</v>
      </c>
      <c r="J69" s="2" t="s">
        <v>57</v>
      </c>
      <c r="K69" s="2">
        <v>0.45833333333333326</v>
      </c>
      <c r="L69" s="2" t="s">
        <v>1</v>
      </c>
      <c r="M69" s="2" t="s">
        <v>58</v>
      </c>
      <c r="N69" s="2" t="s">
        <v>22</v>
      </c>
      <c r="O69" s="2" t="s">
        <v>23</v>
      </c>
      <c r="P69" s="2" t="s">
        <v>259</v>
      </c>
      <c r="Q69" s="2" t="s">
        <v>417</v>
      </c>
      <c r="R69" s="2" t="s">
        <v>58</v>
      </c>
      <c r="S69" s="2">
        <v>256317</v>
      </c>
      <c r="T69" s="2" t="s">
        <v>192</v>
      </c>
      <c r="U69" s="2">
        <v>256317</v>
      </c>
      <c r="V69" s="2" t="s">
        <v>16</v>
      </c>
      <c r="W69" s="1">
        <v>44175</v>
      </c>
    </row>
    <row r="70" spans="1:23" x14ac:dyDescent="0.25">
      <c r="A70" s="2" t="s">
        <v>29</v>
      </c>
      <c r="B70" s="2" t="b">
        <v>0</v>
      </c>
      <c r="C70" s="2" t="s">
        <v>16</v>
      </c>
      <c r="D70" s="2" t="s">
        <v>17</v>
      </c>
      <c r="E70" s="2" t="s">
        <v>18</v>
      </c>
      <c r="F70" s="2">
        <v>44187</v>
      </c>
      <c r="G70" s="2">
        <v>44187</v>
      </c>
      <c r="H70" s="2">
        <v>0.45833333333333326</v>
      </c>
      <c r="I70" s="2" t="s">
        <v>19</v>
      </c>
      <c r="J70" s="2" t="s">
        <v>57</v>
      </c>
      <c r="K70" s="2">
        <v>0.45833333333333326</v>
      </c>
      <c r="L70" s="2" t="s">
        <v>1</v>
      </c>
      <c r="M70" s="2" t="s">
        <v>58</v>
      </c>
      <c r="N70" s="2" t="s">
        <v>22</v>
      </c>
      <c r="O70" s="2" t="s">
        <v>23</v>
      </c>
      <c r="P70" s="2" t="s">
        <v>287</v>
      </c>
      <c r="Q70" s="2" t="s">
        <v>430</v>
      </c>
      <c r="R70" s="2" t="s">
        <v>58</v>
      </c>
      <c r="S70" s="2">
        <v>263158</v>
      </c>
      <c r="T70" s="2" t="s">
        <v>289</v>
      </c>
      <c r="U70" s="2"/>
      <c r="V70" s="2"/>
      <c r="W70" s="1"/>
    </row>
    <row r="71" spans="1:23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>
        <v>266616</v>
      </c>
      <c r="V71" s="2" t="s">
        <v>16</v>
      </c>
      <c r="W71" s="1">
        <v>44195</v>
      </c>
    </row>
    <row r="72" spans="1:23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>
        <v>266633</v>
      </c>
      <c r="V72" s="2" t="s">
        <v>16</v>
      </c>
      <c r="W72" s="1">
        <v>44195</v>
      </c>
    </row>
    <row r="73" spans="1:23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>
        <v>266794</v>
      </c>
      <c r="V73" s="2" t="s">
        <v>16</v>
      </c>
      <c r="W73" s="1">
        <v>44195</v>
      </c>
    </row>
    <row r="74" spans="1:23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>
        <v>265137</v>
      </c>
      <c r="V74" s="2" t="s">
        <v>16</v>
      </c>
      <c r="W74" s="1">
        <v>44191</v>
      </c>
    </row>
    <row r="75" spans="1:23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>
        <v>265171</v>
      </c>
      <c r="V75" s="2" t="s">
        <v>16</v>
      </c>
      <c r="W75" s="1">
        <v>44191</v>
      </c>
    </row>
    <row r="76" spans="1:23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>
        <v>265180</v>
      </c>
      <c r="V76" s="2" t="s">
        <v>16</v>
      </c>
      <c r="W76" s="1">
        <v>44191</v>
      </c>
    </row>
    <row r="77" spans="1:23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>
        <v>265210</v>
      </c>
      <c r="V77" s="2" t="s">
        <v>16</v>
      </c>
      <c r="W77" s="1">
        <v>44191</v>
      </c>
    </row>
    <row r="78" spans="1:23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>
        <v>261911</v>
      </c>
      <c r="V78" s="2" t="s">
        <v>16</v>
      </c>
      <c r="W78" s="1">
        <v>44186</v>
      </c>
    </row>
    <row r="79" spans="1:23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>
        <v>261923</v>
      </c>
      <c r="V79" s="2" t="s">
        <v>16</v>
      </c>
      <c r="W79" s="1">
        <v>44186</v>
      </c>
    </row>
    <row r="80" spans="1:23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>
        <v>262065</v>
      </c>
      <c r="V80" s="2" t="s">
        <v>16</v>
      </c>
      <c r="W80" s="1">
        <v>44186</v>
      </c>
    </row>
    <row r="81" spans="1:23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>
        <v>262623</v>
      </c>
      <c r="V81" s="2" t="s">
        <v>16</v>
      </c>
      <c r="W81" s="1">
        <v>44186</v>
      </c>
    </row>
    <row r="82" spans="1:23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>
        <v>262664</v>
      </c>
      <c r="V82" s="2" t="s">
        <v>16</v>
      </c>
      <c r="W82" s="1">
        <v>44186</v>
      </c>
    </row>
    <row r="83" spans="1:23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>
        <v>262676</v>
      </c>
      <c r="V83" s="2" t="s">
        <v>16</v>
      </c>
      <c r="W83" s="1">
        <v>44186</v>
      </c>
    </row>
    <row r="84" spans="1:23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>
        <v>262686</v>
      </c>
      <c r="V84" s="2" t="s">
        <v>16</v>
      </c>
      <c r="W84" s="1">
        <v>44186</v>
      </c>
    </row>
    <row r="85" spans="1:23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>
        <v>262689</v>
      </c>
      <c r="V85" s="2" t="s">
        <v>16</v>
      </c>
      <c r="W85" s="1">
        <v>44186</v>
      </c>
    </row>
    <row r="86" spans="1:23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>
        <v>262690</v>
      </c>
      <c r="V86" s="2" t="s">
        <v>16</v>
      </c>
      <c r="W86" s="1">
        <v>44186</v>
      </c>
    </row>
    <row r="87" spans="1:23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>
        <v>256034</v>
      </c>
      <c r="V87" s="2" t="s">
        <v>16</v>
      </c>
      <c r="W87" s="1">
        <v>44175</v>
      </c>
    </row>
    <row r="88" spans="1:23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v>256280</v>
      </c>
      <c r="V88" s="2" t="s">
        <v>16</v>
      </c>
      <c r="W88" s="1">
        <v>44175</v>
      </c>
    </row>
    <row r="89" spans="1:23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v>256284</v>
      </c>
      <c r="V89" s="2" t="s">
        <v>16</v>
      </c>
      <c r="W89" s="1">
        <v>44175</v>
      </c>
    </row>
    <row r="90" spans="1:23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v>256318</v>
      </c>
      <c r="V90" s="2" t="s">
        <v>16</v>
      </c>
      <c r="W90" s="1">
        <v>44175</v>
      </c>
    </row>
    <row r="91" spans="1:23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v>256319</v>
      </c>
      <c r="V91" s="2" t="s">
        <v>16</v>
      </c>
      <c r="W91" s="1">
        <v>44175</v>
      </c>
    </row>
    <row r="92" spans="1:23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>
        <v>254922</v>
      </c>
      <c r="V92" s="2" t="s">
        <v>16</v>
      </c>
      <c r="W92" s="1">
        <v>44172</v>
      </c>
    </row>
    <row r="93" spans="1:23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>
        <v>254925</v>
      </c>
      <c r="V93" s="2" t="s">
        <v>16</v>
      </c>
      <c r="W93" s="1">
        <v>44172</v>
      </c>
    </row>
    <row r="94" spans="1:23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>
        <v>254973</v>
      </c>
      <c r="V94" s="2" t="s">
        <v>16</v>
      </c>
      <c r="W94" s="1">
        <v>44172</v>
      </c>
    </row>
    <row r="95" spans="1:23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>
        <v>253723</v>
      </c>
      <c r="V95" s="2" t="s">
        <v>16</v>
      </c>
      <c r="W95" s="1">
        <v>44168</v>
      </c>
    </row>
    <row r="96" spans="1:23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>
        <v>253743</v>
      </c>
      <c r="V96" s="2" t="s">
        <v>16</v>
      </c>
      <c r="W96" s="1">
        <v>44168</v>
      </c>
    </row>
    <row r="97" spans="1:23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>
        <v>253746</v>
      </c>
      <c r="V97" s="2" t="s">
        <v>16</v>
      </c>
      <c r="W97" s="1">
        <v>44168</v>
      </c>
    </row>
    <row r="98" spans="1:23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>
        <v>253264</v>
      </c>
      <c r="V98" s="2" t="s">
        <v>16</v>
      </c>
      <c r="W98" s="1">
        <v>44167</v>
      </c>
    </row>
    <row r="99" spans="1:23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>
        <v>253043</v>
      </c>
      <c r="V99" s="2" t="s">
        <v>16</v>
      </c>
      <c r="W99" s="1">
        <v>44166</v>
      </c>
    </row>
    <row r="100" spans="1:23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>
        <v>253048</v>
      </c>
      <c r="V100" s="2" t="s">
        <v>16</v>
      </c>
      <c r="W100" s="1">
        <v>44166</v>
      </c>
    </row>
    <row r="101" spans="1:23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>
        <v>253049</v>
      </c>
      <c r="V101" s="2" t="s">
        <v>16</v>
      </c>
      <c r="W101" s="1">
        <v>44166</v>
      </c>
    </row>
    <row r="102" spans="1:23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>
        <v>250430</v>
      </c>
      <c r="V102" s="2" t="s">
        <v>16</v>
      </c>
      <c r="W102" s="1">
        <v>44160</v>
      </c>
    </row>
    <row r="103" spans="1:23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>
        <v>250466</v>
      </c>
      <c r="V103" s="2" t="s">
        <v>16</v>
      </c>
      <c r="W103" s="1">
        <v>44160</v>
      </c>
    </row>
    <row r="104" spans="1:23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>
        <v>250467</v>
      </c>
      <c r="V104" s="2" t="s">
        <v>16</v>
      </c>
      <c r="W104" s="1">
        <v>44160</v>
      </c>
    </row>
    <row r="105" spans="1:23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>
        <v>250527</v>
      </c>
      <c r="V105" s="2" t="s">
        <v>16</v>
      </c>
      <c r="W105" s="1">
        <v>44160</v>
      </c>
    </row>
    <row r="106" spans="1:23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>
        <v>250615</v>
      </c>
      <c r="V106" s="2" t="s">
        <v>16</v>
      </c>
      <c r="W106" s="1">
        <v>44160</v>
      </c>
    </row>
    <row r="107" spans="1:23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>
        <v>249041</v>
      </c>
      <c r="V107" s="2" t="s">
        <v>16</v>
      </c>
      <c r="W107" s="1">
        <v>44156</v>
      </c>
    </row>
    <row r="108" spans="1:23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>
        <v>248164</v>
      </c>
      <c r="V108" s="2" t="s">
        <v>16</v>
      </c>
      <c r="W108" s="1">
        <v>44155</v>
      </c>
    </row>
    <row r="109" spans="1:23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>
        <v>248176</v>
      </c>
      <c r="V109" s="2" t="s">
        <v>16</v>
      </c>
      <c r="W109" s="1">
        <v>44155</v>
      </c>
    </row>
    <row r="110" spans="1:23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>
        <v>248224</v>
      </c>
      <c r="V110" s="2" t="s">
        <v>16</v>
      </c>
      <c r="W110" s="1">
        <v>44155</v>
      </c>
    </row>
    <row r="111" spans="1:23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>
        <v>244428</v>
      </c>
      <c r="V111" s="2" t="s">
        <v>16</v>
      </c>
      <c r="W111" s="1">
        <v>44149</v>
      </c>
    </row>
    <row r="112" spans="1:23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>
        <v>244431</v>
      </c>
      <c r="V112" s="2" t="s">
        <v>16</v>
      </c>
      <c r="W112" s="1">
        <v>44149</v>
      </c>
    </row>
    <row r="113" spans="1:23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>
        <v>244435</v>
      </c>
      <c r="V113" s="2" t="s">
        <v>16</v>
      </c>
      <c r="W113" s="1">
        <v>44149</v>
      </c>
    </row>
    <row r="114" spans="1:23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>
        <v>244444</v>
      </c>
      <c r="V114" s="2" t="s">
        <v>16</v>
      </c>
      <c r="W114" s="1">
        <v>44149</v>
      </c>
    </row>
    <row r="115" spans="1:23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>
        <v>244449</v>
      </c>
      <c r="V115" s="2" t="s">
        <v>16</v>
      </c>
      <c r="W115" s="1">
        <v>44149</v>
      </c>
    </row>
    <row r="116" spans="1:23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>
        <v>244450</v>
      </c>
      <c r="V116" s="2" t="s">
        <v>16</v>
      </c>
      <c r="W116" s="1">
        <v>44149</v>
      </c>
    </row>
    <row r="117" spans="1:23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>
        <v>244488</v>
      </c>
      <c r="V117" s="2" t="s">
        <v>16</v>
      </c>
      <c r="W117" s="1">
        <v>44149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Z640"/>
  <sheetViews>
    <sheetView topLeftCell="A22" workbookViewId="0">
      <selection activeCell="A2" sqref="A2:A59"/>
    </sheetView>
  </sheetViews>
  <sheetFormatPr defaultRowHeight="15" x14ac:dyDescent="0.25"/>
  <cols>
    <col min="1" max="1" width="14" bestFit="1" customWidth="1"/>
    <col min="2" max="3" width="11.140625" bestFit="1" customWidth="1"/>
    <col min="4" max="4" width="11.5703125" customWidth="1"/>
    <col min="5" max="5" width="16.28515625" customWidth="1"/>
    <col min="6" max="8" width="11.140625" style="1" bestFit="1" customWidth="1"/>
    <col min="9" max="10" width="20.85546875" customWidth="1"/>
    <col min="11" max="12" width="12.140625" bestFit="1" customWidth="1"/>
    <col min="13" max="13" width="182.7109375" customWidth="1"/>
    <col min="14" max="14" width="12.140625" customWidth="1"/>
    <col min="15" max="15" width="20.85546875" customWidth="1"/>
    <col min="16" max="16" width="16.28515625" bestFit="1" customWidth="1"/>
    <col min="17" max="17" width="27" bestFit="1" customWidth="1"/>
    <col min="18" max="18" width="21.42578125" bestFit="1" customWidth="1"/>
    <col min="19" max="19" width="37" customWidth="1"/>
    <col min="20" max="20" width="16.28515625" customWidth="1"/>
    <col min="21" max="21" width="19" customWidth="1"/>
    <col min="22" max="22" width="14.7109375" customWidth="1"/>
    <col min="23" max="23" width="16.85546875" customWidth="1"/>
    <col min="24" max="24" width="12" customWidth="1"/>
    <col min="26" max="26" width="14.28515625" style="1" customWidth="1"/>
  </cols>
  <sheetData>
    <row r="1" spans="1:24" x14ac:dyDescent="0.25">
      <c r="A1" s="2" t="s">
        <v>431</v>
      </c>
      <c r="B1" s="2" t="s">
        <v>432</v>
      </c>
      <c r="C1" s="2" t="s">
        <v>433</v>
      </c>
      <c r="D1" s="2" t="s">
        <v>434</v>
      </c>
      <c r="E1" s="2" t="s">
        <v>435</v>
      </c>
      <c r="F1" s="1" t="s">
        <v>436</v>
      </c>
      <c r="G1" s="1" t="s">
        <v>437</v>
      </c>
      <c r="H1" s="1" t="s">
        <v>438</v>
      </c>
      <c r="I1" s="2" t="s">
        <v>439</v>
      </c>
      <c r="J1" s="2" t="s">
        <v>440</v>
      </c>
      <c r="K1" s="2" t="s">
        <v>441</v>
      </c>
      <c r="L1" s="2" t="s">
        <v>442</v>
      </c>
      <c r="M1" s="2" t="s">
        <v>443</v>
      </c>
      <c r="N1" s="2" t="s">
        <v>444</v>
      </c>
      <c r="O1" s="2" t="s">
        <v>445</v>
      </c>
      <c r="P1" s="2" t="s">
        <v>460</v>
      </c>
      <c r="Q1" s="2" t="s">
        <v>461</v>
      </c>
      <c r="R1" s="2" t="s">
        <v>462</v>
      </c>
      <c r="S1" s="2" t="s">
        <v>2568</v>
      </c>
      <c r="T1" s="2" t="s">
        <v>463</v>
      </c>
      <c r="U1" s="2" t="s">
        <v>464</v>
      </c>
      <c r="V1" s="2" t="s">
        <v>510</v>
      </c>
      <c r="W1" s="2" t="s">
        <v>511</v>
      </c>
      <c r="X1" s="2" t="s">
        <v>2567</v>
      </c>
    </row>
    <row r="2" spans="1:24" x14ac:dyDescent="0.25">
      <c r="A2" s="2" t="s">
        <v>29</v>
      </c>
      <c r="B2" s="2" t="b">
        <v>0</v>
      </c>
      <c r="C2" s="2" t="s">
        <v>3887</v>
      </c>
      <c r="D2" s="2" t="s">
        <v>3888</v>
      </c>
      <c r="E2" s="2" t="s">
        <v>3889</v>
      </c>
      <c r="F2" s="1">
        <v>44264</v>
      </c>
      <c r="G2" s="1">
        <v>0.31874999999999998</v>
      </c>
      <c r="H2" s="1">
        <v>44264</v>
      </c>
      <c r="I2" s="2" t="s">
        <v>4032</v>
      </c>
      <c r="J2" s="2" t="s">
        <v>609</v>
      </c>
      <c r="K2" s="2" t="s">
        <v>38</v>
      </c>
      <c r="L2" s="2" t="s">
        <v>585</v>
      </c>
      <c r="M2" s="2" t="s">
        <v>4033</v>
      </c>
      <c r="N2" s="2" t="s">
        <v>1</v>
      </c>
      <c r="O2" s="2" t="s">
        <v>609</v>
      </c>
      <c r="P2" s="2" t="s">
        <v>150</v>
      </c>
      <c r="Q2" s="2" t="s">
        <v>2817</v>
      </c>
      <c r="R2" s="2" t="s">
        <v>2818</v>
      </c>
      <c r="S2" s="2" t="s">
        <v>151</v>
      </c>
      <c r="T2" s="2">
        <v>1268655</v>
      </c>
      <c r="U2" s="2" t="s">
        <v>152</v>
      </c>
      <c r="V2" s="2" t="s">
        <v>3887</v>
      </c>
      <c r="W2" s="1">
        <v>44264</v>
      </c>
      <c r="X2" s="2" t="str">
        <f>IF(W2=H2,"CRS","")</f>
        <v>CRS</v>
      </c>
    </row>
    <row r="3" spans="1:24" x14ac:dyDescent="0.25">
      <c r="A3" s="2" t="s">
        <v>29</v>
      </c>
      <c r="B3" s="2" t="b">
        <v>0</v>
      </c>
      <c r="C3" s="2" t="s">
        <v>3887</v>
      </c>
      <c r="D3" s="2" t="s">
        <v>3888</v>
      </c>
      <c r="E3" s="2" t="s">
        <v>3889</v>
      </c>
      <c r="F3" s="1">
        <v>44267</v>
      </c>
      <c r="G3" s="1">
        <v>0.34861111111111109</v>
      </c>
      <c r="H3" s="1">
        <v>44267</v>
      </c>
      <c r="I3" s="2" t="s">
        <v>3237</v>
      </c>
      <c r="J3" s="2" t="s">
        <v>3959</v>
      </c>
      <c r="K3" s="2" t="s">
        <v>24</v>
      </c>
      <c r="L3" s="2" t="s">
        <v>585</v>
      </c>
      <c r="M3" s="2" t="s">
        <v>4018</v>
      </c>
      <c r="N3" s="2" t="s">
        <v>1</v>
      </c>
      <c r="O3" s="2" t="s">
        <v>3959</v>
      </c>
      <c r="P3" s="2" t="s">
        <v>326</v>
      </c>
      <c r="Q3" s="2" t="s">
        <v>2957</v>
      </c>
      <c r="R3" s="2" t="s">
        <v>2958</v>
      </c>
      <c r="S3" s="2" t="s">
        <v>132</v>
      </c>
      <c r="T3" s="2">
        <v>292033</v>
      </c>
      <c r="U3" s="2" t="s">
        <v>328</v>
      </c>
      <c r="V3" s="2" t="s">
        <v>3887</v>
      </c>
      <c r="W3" s="1">
        <v>44268</v>
      </c>
    </row>
    <row r="4" spans="1:24" x14ac:dyDescent="0.25">
      <c r="A4" s="2" t="s">
        <v>29</v>
      </c>
      <c r="B4" s="2" t="b">
        <v>0</v>
      </c>
      <c r="C4" s="2" t="s">
        <v>3887</v>
      </c>
      <c r="D4" s="2" t="s">
        <v>3888</v>
      </c>
      <c r="E4" s="2" t="s">
        <v>3889</v>
      </c>
      <c r="F4" s="1">
        <v>44267</v>
      </c>
      <c r="G4" s="1">
        <v>0.19166666666666668</v>
      </c>
      <c r="H4" s="1">
        <v>44267</v>
      </c>
      <c r="I4" s="2" t="s">
        <v>3245</v>
      </c>
      <c r="J4" s="2" t="s">
        <v>3935</v>
      </c>
      <c r="K4" s="2" t="s">
        <v>24</v>
      </c>
      <c r="L4" s="2" t="s">
        <v>585</v>
      </c>
      <c r="M4" s="2" t="s">
        <v>4021</v>
      </c>
      <c r="N4" s="2" t="s">
        <v>1</v>
      </c>
      <c r="O4" s="2" t="s">
        <v>3935</v>
      </c>
      <c r="P4" s="2" t="s">
        <v>326</v>
      </c>
      <c r="Q4" s="2" t="s">
        <v>398</v>
      </c>
      <c r="R4" s="2" t="s">
        <v>2912</v>
      </c>
      <c r="S4" s="2" t="s">
        <v>132</v>
      </c>
      <c r="T4" s="2">
        <v>1268971</v>
      </c>
      <c r="U4" s="2" t="s">
        <v>328</v>
      </c>
      <c r="V4" s="2" t="s">
        <v>3887</v>
      </c>
      <c r="W4" s="1">
        <v>44267</v>
      </c>
      <c r="X4" s="2" t="str">
        <f>IF(W4=H4,"CRS","")</f>
        <v>CRS</v>
      </c>
    </row>
    <row r="5" spans="1:24" x14ac:dyDescent="0.25">
      <c r="A5" s="2" t="s">
        <v>29</v>
      </c>
      <c r="B5" s="2" t="b">
        <v>0</v>
      </c>
      <c r="C5" s="2" t="s">
        <v>3887</v>
      </c>
      <c r="D5" s="2" t="s">
        <v>3888</v>
      </c>
      <c r="E5" s="2" t="s">
        <v>3889</v>
      </c>
      <c r="F5" s="1">
        <v>44268</v>
      </c>
      <c r="G5" s="1">
        <v>7.2916666666666671E-2</v>
      </c>
      <c r="H5" s="1">
        <v>44268</v>
      </c>
      <c r="I5" s="2" t="s">
        <v>4017</v>
      </c>
      <c r="J5" s="2" t="s">
        <v>604</v>
      </c>
      <c r="K5" s="2" t="s">
        <v>24</v>
      </c>
      <c r="L5" s="2" t="s">
        <v>585</v>
      </c>
      <c r="M5" s="2" t="s">
        <v>4018</v>
      </c>
      <c r="N5" s="2" t="s">
        <v>1</v>
      </c>
      <c r="O5" s="2" t="s">
        <v>604</v>
      </c>
      <c r="P5" s="2" t="s">
        <v>326</v>
      </c>
      <c r="Q5" s="2" t="s">
        <v>2957</v>
      </c>
      <c r="R5" s="2" t="s">
        <v>2958</v>
      </c>
      <c r="S5" s="2" t="s">
        <v>132</v>
      </c>
      <c r="T5" s="2">
        <v>292033</v>
      </c>
      <c r="U5" s="2" t="s">
        <v>328</v>
      </c>
      <c r="V5" s="2" t="s">
        <v>3887</v>
      </c>
      <c r="W5" s="1">
        <v>44268</v>
      </c>
    </row>
    <row r="6" spans="1:24" x14ac:dyDescent="0.25">
      <c r="A6" s="2" t="s">
        <v>29</v>
      </c>
      <c r="B6" s="2" t="b">
        <v>0</v>
      </c>
      <c r="C6" s="2" t="s">
        <v>3887</v>
      </c>
      <c r="D6" s="2" t="s">
        <v>3888</v>
      </c>
      <c r="E6" s="2" t="s">
        <v>3889</v>
      </c>
      <c r="F6" s="1">
        <v>44267</v>
      </c>
      <c r="G6" s="1">
        <v>0.91805555555555551</v>
      </c>
      <c r="H6" s="1">
        <v>44268</v>
      </c>
      <c r="I6" s="2" t="s">
        <v>4019</v>
      </c>
      <c r="J6" s="2" t="s">
        <v>3935</v>
      </c>
      <c r="K6" s="2" t="s">
        <v>24</v>
      </c>
      <c r="L6" s="2" t="s">
        <v>585</v>
      </c>
      <c r="M6" s="2" t="s">
        <v>4020</v>
      </c>
      <c r="N6" s="2" t="s">
        <v>1</v>
      </c>
      <c r="O6" s="2" t="s">
        <v>3935</v>
      </c>
      <c r="P6" s="2" t="s">
        <v>326</v>
      </c>
      <c r="Q6" s="2" t="s">
        <v>2888</v>
      </c>
      <c r="R6" s="2" t="s">
        <v>2889</v>
      </c>
      <c r="S6" s="2" t="s">
        <v>132</v>
      </c>
      <c r="T6" s="2">
        <v>1268901</v>
      </c>
      <c r="U6" s="2" t="s">
        <v>328</v>
      </c>
      <c r="V6" s="2" t="s">
        <v>3887</v>
      </c>
      <c r="W6" s="1">
        <v>44268</v>
      </c>
    </row>
    <row r="7" spans="1:24" x14ac:dyDescent="0.25">
      <c r="A7" s="2" t="s">
        <v>29</v>
      </c>
      <c r="B7" s="2" t="b">
        <v>0</v>
      </c>
      <c r="C7" s="2" t="s">
        <v>3887</v>
      </c>
      <c r="D7" s="2" t="s">
        <v>3888</v>
      </c>
      <c r="E7" s="2" t="s">
        <v>3889</v>
      </c>
      <c r="F7" s="1">
        <v>44268</v>
      </c>
      <c r="G7" s="1">
        <v>0.41597222222222224</v>
      </c>
      <c r="H7" s="1">
        <v>44268</v>
      </c>
      <c r="I7" s="2" t="s">
        <v>4013</v>
      </c>
      <c r="J7" s="2" t="s">
        <v>3926</v>
      </c>
      <c r="K7" s="2" t="s">
        <v>38</v>
      </c>
      <c r="L7" s="2" t="s">
        <v>585</v>
      </c>
      <c r="M7" s="2" t="s">
        <v>4014</v>
      </c>
      <c r="N7" s="2" t="s">
        <v>1</v>
      </c>
      <c r="O7" s="2" t="s">
        <v>3926</v>
      </c>
      <c r="P7" s="2" t="s">
        <v>206</v>
      </c>
      <c r="Q7" s="2" t="s">
        <v>2916</v>
      </c>
      <c r="R7" s="2" t="s">
        <v>2917</v>
      </c>
      <c r="S7" s="2" t="s">
        <v>207</v>
      </c>
      <c r="T7" s="2">
        <v>1269000</v>
      </c>
      <c r="U7" s="2" t="s">
        <v>152</v>
      </c>
      <c r="V7" s="2" t="s">
        <v>3887</v>
      </c>
      <c r="W7" s="1">
        <v>44268</v>
      </c>
    </row>
    <row r="8" spans="1:24" x14ac:dyDescent="0.25">
      <c r="A8" s="2" t="s">
        <v>29</v>
      </c>
      <c r="B8" s="2" t="b">
        <v>0</v>
      </c>
      <c r="C8" s="2" t="s">
        <v>3887</v>
      </c>
      <c r="D8" s="2" t="s">
        <v>3888</v>
      </c>
      <c r="E8" s="2" t="s">
        <v>3889</v>
      </c>
      <c r="F8" s="1">
        <v>44268</v>
      </c>
      <c r="G8" s="1">
        <v>0.45624999999999999</v>
      </c>
      <c r="H8" s="1">
        <v>44268</v>
      </c>
      <c r="I8" s="2" t="s">
        <v>4010</v>
      </c>
      <c r="J8" s="2" t="s">
        <v>604</v>
      </c>
      <c r="K8" s="2" t="s">
        <v>38</v>
      </c>
      <c r="L8" s="2" t="s">
        <v>585</v>
      </c>
      <c r="M8" s="2" t="s">
        <v>4011</v>
      </c>
      <c r="N8" s="2" t="s">
        <v>1</v>
      </c>
      <c r="O8" s="2" t="s">
        <v>604</v>
      </c>
      <c r="P8" s="2" t="s">
        <v>206</v>
      </c>
      <c r="Q8" s="2" t="s">
        <v>2989</v>
      </c>
      <c r="R8" s="2" t="s">
        <v>2990</v>
      </c>
      <c r="S8" s="2" t="s">
        <v>207</v>
      </c>
      <c r="T8" s="2">
        <v>1269373</v>
      </c>
      <c r="U8" s="2" t="s">
        <v>152</v>
      </c>
      <c r="V8" s="2" t="s">
        <v>3887</v>
      </c>
      <c r="W8" s="1">
        <v>44268</v>
      </c>
      <c r="X8" s="2" t="str">
        <f>IF(W8=H8,"CRS","")</f>
        <v>CRS</v>
      </c>
    </row>
    <row r="9" spans="1:24" x14ac:dyDescent="0.25">
      <c r="A9" s="2" t="s">
        <v>29</v>
      </c>
      <c r="B9" s="2" t="b">
        <v>0</v>
      </c>
      <c r="C9" s="2" t="s">
        <v>3887</v>
      </c>
      <c r="D9" s="2" t="s">
        <v>3888</v>
      </c>
      <c r="E9" s="2" t="s">
        <v>3889</v>
      </c>
      <c r="F9" s="1">
        <v>44269</v>
      </c>
      <c r="G9" s="1">
        <v>0.42152777777777778</v>
      </c>
      <c r="H9" s="1">
        <v>44269</v>
      </c>
      <c r="I9" s="2" t="s">
        <v>4005</v>
      </c>
      <c r="J9" s="2" t="s">
        <v>586</v>
      </c>
      <c r="K9" s="2" t="s">
        <v>24</v>
      </c>
      <c r="L9" s="2" t="s">
        <v>585</v>
      </c>
      <c r="M9" s="2" t="s">
        <v>3953</v>
      </c>
      <c r="N9" s="2" t="s">
        <v>1</v>
      </c>
      <c r="O9" s="2" t="s">
        <v>586</v>
      </c>
      <c r="P9" s="2" t="s">
        <v>400</v>
      </c>
      <c r="Q9" s="2" t="s">
        <v>2998</v>
      </c>
      <c r="R9" s="2" t="s">
        <v>2999</v>
      </c>
      <c r="S9" s="2" t="s">
        <v>401</v>
      </c>
      <c r="T9" s="2">
        <v>1269381</v>
      </c>
      <c r="U9" s="2" t="s">
        <v>142</v>
      </c>
      <c r="V9" s="2" t="s">
        <v>3887</v>
      </c>
      <c r="W9" s="1">
        <v>44277</v>
      </c>
      <c r="X9" s="2" t="str">
        <f>IF(W9=H9,"CRS","")</f>
        <v/>
      </c>
    </row>
    <row r="10" spans="1:24" x14ac:dyDescent="0.25">
      <c r="A10" s="2" t="s">
        <v>29</v>
      </c>
      <c r="B10" s="2" t="b">
        <v>0</v>
      </c>
      <c r="C10" s="2" t="s">
        <v>3887</v>
      </c>
      <c r="D10" s="2" t="s">
        <v>3888</v>
      </c>
      <c r="E10" s="2" t="s">
        <v>3889</v>
      </c>
      <c r="F10" s="1">
        <v>44269</v>
      </c>
      <c r="G10" s="1">
        <v>0.42569444444444438</v>
      </c>
      <c r="H10" s="1">
        <v>44269</v>
      </c>
      <c r="I10" s="2" t="s">
        <v>2698</v>
      </c>
      <c r="J10" s="2" t="s">
        <v>586</v>
      </c>
      <c r="K10" s="2" t="s">
        <v>24</v>
      </c>
      <c r="L10" s="2" t="s">
        <v>585</v>
      </c>
      <c r="M10" s="2" t="s">
        <v>3951</v>
      </c>
      <c r="N10" s="2" t="s">
        <v>1</v>
      </c>
      <c r="O10" s="2" t="s">
        <v>586</v>
      </c>
      <c r="P10" s="2" t="s">
        <v>400</v>
      </c>
      <c r="Q10" s="2" t="s">
        <v>3001</v>
      </c>
      <c r="R10" s="2" t="s">
        <v>3002</v>
      </c>
      <c r="S10" s="2" t="s">
        <v>401</v>
      </c>
      <c r="T10" s="2">
        <v>1269382</v>
      </c>
      <c r="U10" s="2" t="s">
        <v>142</v>
      </c>
      <c r="V10" s="2" t="s">
        <v>3887</v>
      </c>
      <c r="W10" s="1">
        <v>44277</v>
      </c>
    </row>
    <row r="11" spans="1:24" x14ac:dyDescent="0.25">
      <c r="A11" s="2" t="s">
        <v>29</v>
      </c>
      <c r="B11" s="2" t="b">
        <v>0</v>
      </c>
      <c r="C11" s="2" t="s">
        <v>3887</v>
      </c>
      <c r="D11" s="2" t="s">
        <v>3888</v>
      </c>
      <c r="E11" s="2" t="s">
        <v>3889</v>
      </c>
      <c r="F11" s="1">
        <v>44269</v>
      </c>
      <c r="G11" s="1">
        <v>0.41944444444444445</v>
      </c>
      <c r="H11" s="1">
        <v>44269</v>
      </c>
      <c r="I11" s="2" t="s">
        <v>3974</v>
      </c>
      <c r="J11" s="2" t="s">
        <v>586</v>
      </c>
      <c r="K11" s="2" t="s">
        <v>24</v>
      </c>
      <c r="L11" s="2" t="s">
        <v>585</v>
      </c>
      <c r="M11" s="2" t="s">
        <v>3982</v>
      </c>
      <c r="N11" s="2" t="s">
        <v>1</v>
      </c>
      <c r="O11" s="2" t="s">
        <v>586</v>
      </c>
      <c r="P11" s="2" t="s">
        <v>139</v>
      </c>
      <c r="Q11" s="2" t="s">
        <v>3095</v>
      </c>
      <c r="R11" s="2" t="s">
        <v>3008</v>
      </c>
      <c r="S11" s="2" t="s">
        <v>141</v>
      </c>
      <c r="T11" s="2">
        <v>301800</v>
      </c>
      <c r="U11" s="2" t="s">
        <v>142</v>
      </c>
      <c r="V11" s="2" t="s">
        <v>3887</v>
      </c>
      <c r="W11" s="1">
        <v>44273</v>
      </c>
    </row>
    <row r="12" spans="1:24" x14ac:dyDescent="0.25">
      <c r="A12" s="2" t="s">
        <v>29</v>
      </c>
      <c r="B12" s="2" t="b">
        <v>0</v>
      </c>
      <c r="C12" s="2" t="s">
        <v>3887</v>
      </c>
      <c r="D12" s="2" t="s">
        <v>3888</v>
      </c>
      <c r="E12" s="2" t="s">
        <v>3889</v>
      </c>
      <c r="F12" s="1">
        <v>44269</v>
      </c>
      <c r="G12" s="1">
        <v>0.41736111111111113</v>
      </c>
      <c r="H12" s="1">
        <v>44269</v>
      </c>
      <c r="I12" s="2" t="s">
        <v>4006</v>
      </c>
      <c r="J12" s="2" t="s">
        <v>586</v>
      </c>
      <c r="K12" s="2" t="s">
        <v>24</v>
      </c>
      <c r="L12" s="2" t="s">
        <v>585</v>
      </c>
      <c r="M12" s="2" t="s">
        <v>3986</v>
      </c>
      <c r="N12" s="2" t="s">
        <v>1</v>
      </c>
      <c r="O12" s="2" t="s">
        <v>586</v>
      </c>
      <c r="P12" s="2" t="s">
        <v>139</v>
      </c>
      <c r="Q12" s="2" t="s">
        <v>3099</v>
      </c>
      <c r="R12" s="2" t="s">
        <v>3005</v>
      </c>
      <c r="S12" s="2" t="s">
        <v>141</v>
      </c>
      <c r="T12" s="2">
        <v>301828</v>
      </c>
      <c r="U12" s="2" t="s">
        <v>142</v>
      </c>
      <c r="V12" s="2" t="s">
        <v>3887</v>
      </c>
      <c r="W12" s="1">
        <v>44273</v>
      </c>
    </row>
    <row r="13" spans="1:24" x14ac:dyDescent="0.25">
      <c r="A13" s="2" t="s">
        <v>29</v>
      </c>
      <c r="B13" s="2" t="b">
        <v>0</v>
      </c>
      <c r="C13" s="2" t="s">
        <v>3887</v>
      </c>
      <c r="D13" s="2" t="s">
        <v>3888</v>
      </c>
      <c r="E13" s="2" t="s">
        <v>3889</v>
      </c>
      <c r="F13" s="1">
        <v>44269</v>
      </c>
      <c r="G13" s="1">
        <v>0.41736111111111113</v>
      </c>
      <c r="H13" s="1">
        <v>44269</v>
      </c>
      <c r="I13" s="2" t="s">
        <v>4006</v>
      </c>
      <c r="J13" s="2" t="s">
        <v>586</v>
      </c>
      <c r="K13" s="2" t="s">
        <v>24</v>
      </c>
      <c r="L13" s="2" t="s">
        <v>585</v>
      </c>
      <c r="M13" s="2" t="s">
        <v>3986</v>
      </c>
      <c r="N13" s="2" t="s">
        <v>1</v>
      </c>
      <c r="O13" s="2" t="s">
        <v>586</v>
      </c>
      <c r="P13" s="2" t="s">
        <v>400</v>
      </c>
      <c r="Q13" s="2" t="s">
        <v>3004</v>
      </c>
      <c r="R13" s="2" t="s">
        <v>3005</v>
      </c>
      <c r="S13" s="2" t="s">
        <v>401</v>
      </c>
      <c r="T13" s="2">
        <v>1269383</v>
      </c>
      <c r="U13" s="2" t="s">
        <v>142</v>
      </c>
      <c r="V13" s="2" t="s">
        <v>3887</v>
      </c>
      <c r="W13" s="1">
        <v>44273</v>
      </c>
    </row>
    <row r="14" spans="1:24" x14ac:dyDescent="0.25">
      <c r="A14" s="2" t="s">
        <v>29</v>
      </c>
      <c r="B14" s="2" t="b">
        <v>0</v>
      </c>
      <c r="C14" s="2" t="s">
        <v>3887</v>
      </c>
      <c r="D14" s="2" t="s">
        <v>3888</v>
      </c>
      <c r="E14" s="2" t="s">
        <v>3889</v>
      </c>
      <c r="F14" s="1">
        <v>44269</v>
      </c>
      <c r="G14" s="1">
        <v>0.41944444444444445</v>
      </c>
      <c r="H14" s="1">
        <v>44269</v>
      </c>
      <c r="I14" s="2" t="s">
        <v>3974</v>
      </c>
      <c r="J14" s="2" t="s">
        <v>586</v>
      </c>
      <c r="K14" s="2" t="s">
        <v>24</v>
      </c>
      <c r="L14" s="2" t="s">
        <v>585</v>
      </c>
      <c r="M14" s="2" t="s">
        <v>3982</v>
      </c>
      <c r="N14" s="2" t="s">
        <v>1</v>
      </c>
      <c r="O14" s="2" t="s">
        <v>586</v>
      </c>
      <c r="P14" s="2" t="s">
        <v>400</v>
      </c>
      <c r="Q14" s="2" t="s">
        <v>3007</v>
      </c>
      <c r="R14" s="2" t="s">
        <v>3008</v>
      </c>
      <c r="S14" s="2" t="s">
        <v>401</v>
      </c>
      <c r="T14" s="2">
        <v>1269384</v>
      </c>
      <c r="U14" s="2" t="s">
        <v>142</v>
      </c>
      <c r="V14" s="2" t="s">
        <v>3887</v>
      </c>
      <c r="W14" s="1">
        <v>44273</v>
      </c>
    </row>
    <row r="15" spans="1:24" x14ac:dyDescent="0.25">
      <c r="A15" s="2" t="s">
        <v>29</v>
      </c>
      <c r="B15" s="2" t="b">
        <v>0</v>
      </c>
      <c r="C15" s="2" t="s">
        <v>3887</v>
      </c>
      <c r="D15" s="2" t="s">
        <v>3888</v>
      </c>
      <c r="E15" s="2" t="s">
        <v>3889</v>
      </c>
      <c r="F15" s="1">
        <v>44269</v>
      </c>
      <c r="G15" s="1">
        <v>0.42569444444444438</v>
      </c>
      <c r="H15" s="1">
        <v>44269</v>
      </c>
      <c r="I15" s="2" t="s">
        <v>2698</v>
      </c>
      <c r="J15" s="2" t="s">
        <v>586</v>
      </c>
      <c r="K15" s="2" t="s">
        <v>24</v>
      </c>
      <c r="L15" s="2" t="s">
        <v>585</v>
      </c>
      <c r="M15" s="2" t="s">
        <v>3951</v>
      </c>
      <c r="N15" s="2" t="s">
        <v>1</v>
      </c>
      <c r="O15" s="2" t="s">
        <v>586</v>
      </c>
      <c r="P15" s="2" t="s">
        <v>139</v>
      </c>
      <c r="Q15" s="2" t="s">
        <v>3097</v>
      </c>
      <c r="R15" s="2" t="s">
        <v>3002</v>
      </c>
      <c r="S15" s="2" t="s">
        <v>141</v>
      </c>
      <c r="T15" s="2">
        <v>301827</v>
      </c>
      <c r="U15" s="2" t="s">
        <v>142</v>
      </c>
      <c r="V15" s="2"/>
      <c r="W15" s="1"/>
    </row>
    <row r="16" spans="1:24" x14ac:dyDescent="0.25">
      <c r="A16" s="2" t="s">
        <v>29</v>
      </c>
      <c r="B16" s="2" t="b">
        <v>0</v>
      </c>
      <c r="C16" s="2" t="s">
        <v>3887</v>
      </c>
      <c r="D16" s="2" t="s">
        <v>3888</v>
      </c>
      <c r="E16" s="2" t="s">
        <v>3889</v>
      </c>
      <c r="F16" s="1">
        <v>44269</v>
      </c>
      <c r="G16" s="1">
        <v>0.42152777777777778</v>
      </c>
      <c r="H16" s="1">
        <v>44269</v>
      </c>
      <c r="I16" s="2" t="s">
        <v>4005</v>
      </c>
      <c r="J16" s="2" t="s">
        <v>586</v>
      </c>
      <c r="K16" s="2" t="s">
        <v>24</v>
      </c>
      <c r="L16" s="2" t="s">
        <v>585</v>
      </c>
      <c r="M16" s="2" t="s">
        <v>3953</v>
      </c>
      <c r="N16" s="2" t="s">
        <v>1</v>
      </c>
      <c r="O16" s="2" t="s">
        <v>586</v>
      </c>
      <c r="P16" s="2" t="s">
        <v>139</v>
      </c>
      <c r="Q16" s="2" t="s">
        <v>3101</v>
      </c>
      <c r="R16" s="2" t="s">
        <v>2999</v>
      </c>
      <c r="S16" s="2" t="s">
        <v>141</v>
      </c>
      <c r="T16" s="2">
        <v>301829</v>
      </c>
      <c r="U16" s="2" t="s">
        <v>142</v>
      </c>
      <c r="V16" s="2"/>
      <c r="W16" s="1"/>
      <c r="X16" s="2" t="str">
        <f>IF(W16=H16,"CRS","")</f>
        <v/>
      </c>
    </row>
    <row r="17" spans="1:24" x14ac:dyDescent="0.25">
      <c r="A17" s="2" t="s">
        <v>29</v>
      </c>
      <c r="B17" s="2" t="b">
        <v>0</v>
      </c>
      <c r="C17" s="2" t="s">
        <v>3887</v>
      </c>
      <c r="D17" s="2" t="s">
        <v>3888</v>
      </c>
      <c r="E17" s="2" t="s">
        <v>3889</v>
      </c>
      <c r="F17" s="1">
        <v>44272</v>
      </c>
      <c r="G17" s="1">
        <v>0.33194444444444443</v>
      </c>
      <c r="H17" s="1">
        <v>44272</v>
      </c>
      <c r="I17" s="2" t="s">
        <v>4000</v>
      </c>
      <c r="J17" s="2" t="s">
        <v>590</v>
      </c>
      <c r="K17" s="2" t="s">
        <v>24</v>
      </c>
      <c r="L17" s="2" t="s">
        <v>585</v>
      </c>
      <c r="M17" s="2" t="s">
        <v>3979</v>
      </c>
      <c r="N17" s="2" t="s">
        <v>1</v>
      </c>
      <c r="O17" s="2" t="s">
        <v>590</v>
      </c>
      <c r="P17" s="2" t="s">
        <v>206</v>
      </c>
      <c r="Q17" s="2" t="s">
        <v>3147</v>
      </c>
      <c r="R17" s="2" t="s">
        <v>3148</v>
      </c>
      <c r="S17" s="2" t="s">
        <v>207</v>
      </c>
      <c r="T17" s="2">
        <v>1269713</v>
      </c>
      <c r="U17" s="2" t="s">
        <v>152</v>
      </c>
      <c r="V17" s="2" t="s">
        <v>3887</v>
      </c>
      <c r="W17" s="1">
        <v>44273</v>
      </c>
    </row>
    <row r="18" spans="1:24" x14ac:dyDescent="0.25">
      <c r="A18" s="2" t="s">
        <v>29</v>
      </c>
      <c r="B18" s="2" t="b">
        <v>0</v>
      </c>
      <c r="C18" s="2" t="s">
        <v>3887</v>
      </c>
      <c r="D18" s="2" t="s">
        <v>3888</v>
      </c>
      <c r="E18" s="2" t="s">
        <v>3889</v>
      </c>
      <c r="F18" s="1">
        <v>44272</v>
      </c>
      <c r="G18" s="1">
        <v>0.37986111111111109</v>
      </c>
      <c r="H18" s="1">
        <v>44272</v>
      </c>
      <c r="I18" s="2" t="s">
        <v>3998</v>
      </c>
      <c r="J18" s="2" t="s">
        <v>609</v>
      </c>
      <c r="K18" s="2" t="s">
        <v>38</v>
      </c>
      <c r="L18" s="2" t="s">
        <v>585</v>
      </c>
      <c r="M18" s="2" t="s">
        <v>3999</v>
      </c>
      <c r="N18" s="2" t="s">
        <v>1</v>
      </c>
      <c r="O18" s="2" t="s">
        <v>609</v>
      </c>
      <c r="P18" s="2" t="s">
        <v>157</v>
      </c>
      <c r="Q18" s="2" t="s">
        <v>517</v>
      </c>
      <c r="R18" s="2" t="s">
        <v>3282</v>
      </c>
      <c r="S18" s="2" t="s">
        <v>151</v>
      </c>
      <c r="T18" s="2">
        <v>1269864</v>
      </c>
      <c r="U18" s="2" t="s">
        <v>152</v>
      </c>
      <c r="V18" s="2" t="s">
        <v>3887</v>
      </c>
      <c r="W18" s="1">
        <v>44272</v>
      </c>
    </row>
    <row r="19" spans="1:24" x14ac:dyDescent="0.25">
      <c r="A19" s="2" t="s">
        <v>15</v>
      </c>
      <c r="B19" s="2" t="b">
        <v>0</v>
      </c>
      <c r="C19" s="2" t="s">
        <v>3887</v>
      </c>
      <c r="D19" s="2" t="s">
        <v>3888</v>
      </c>
      <c r="E19" s="2" t="s">
        <v>3889</v>
      </c>
      <c r="F19" s="1">
        <v>44272</v>
      </c>
      <c r="G19" s="1">
        <v>0.13125000000000001</v>
      </c>
      <c r="H19" s="1">
        <v>44272</v>
      </c>
      <c r="I19" s="2" t="s">
        <v>2665</v>
      </c>
      <c r="J19" s="2" t="s">
        <v>604</v>
      </c>
      <c r="K19" s="2" t="s">
        <v>24</v>
      </c>
      <c r="L19" s="2" t="s">
        <v>585</v>
      </c>
      <c r="M19" s="2" t="s">
        <v>3906</v>
      </c>
      <c r="N19" s="2" t="s">
        <v>1</v>
      </c>
      <c r="O19" s="2" t="s">
        <v>604</v>
      </c>
      <c r="P19" s="2" t="s">
        <v>738</v>
      </c>
      <c r="Q19" s="2" t="s">
        <v>3030</v>
      </c>
      <c r="R19" s="2" t="s">
        <v>3031</v>
      </c>
      <c r="S19" s="2" t="s">
        <v>2720</v>
      </c>
      <c r="T19" s="2">
        <v>108008</v>
      </c>
      <c r="U19" s="2" t="s">
        <v>296</v>
      </c>
      <c r="V19" s="2"/>
      <c r="W19" s="1"/>
    </row>
    <row r="20" spans="1:24" x14ac:dyDescent="0.25">
      <c r="A20" s="2" t="s">
        <v>29</v>
      </c>
      <c r="B20" s="2" t="b">
        <v>0</v>
      </c>
      <c r="C20" s="2" t="s">
        <v>3887</v>
      </c>
      <c r="D20" s="2" t="s">
        <v>3888</v>
      </c>
      <c r="E20" s="2" t="s">
        <v>3889</v>
      </c>
      <c r="F20" s="1">
        <v>44273</v>
      </c>
      <c r="G20" s="1">
        <v>0.25624999999999998</v>
      </c>
      <c r="H20" s="1">
        <v>44273</v>
      </c>
      <c r="I20" s="2" t="s">
        <v>3981</v>
      </c>
      <c r="J20" s="2" t="s">
        <v>3950</v>
      </c>
      <c r="K20" s="2" t="s">
        <v>24</v>
      </c>
      <c r="L20" s="2" t="s">
        <v>585</v>
      </c>
      <c r="M20" s="2" t="s">
        <v>3982</v>
      </c>
      <c r="N20" s="2" t="s">
        <v>1</v>
      </c>
      <c r="O20" s="2" t="s">
        <v>3950</v>
      </c>
      <c r="P20" s="2" t="s">
        <v>139</v>
      </c>
      <c r="Q20" s="2" t="s">
        <v>3095</v>
      </c>
      <c r="R20" s="2" t="s">
        <v>3008</v>
      </c>
      <c r="S20" s="2" t="s">
        <v>141</v>
      </c>
      <c r="T20" s="2">
        <v>301800</v>
      </c>
      <c r="U20" s="2" t="s">
        <v>142</v>
      </c>
      <c r="V20" s="2" t="s">
        <v>3887</v>
      </c>
      <c r="W20" s="1">
        <v>44273</v>
      </c>
    </row>
    <row r="21" spans="1:24" x14ac:dyDescent="0.25">
      <c r="A21" s="2" t="s">
        <v>29</v>
      </c>
      <c r="B21" s="2" t="b">
        <v>0</v>
      </c>
      <c r="C21" s="2" t="s">
        <v>3887</v>
      </c>
      <c r="D21" s="2" t="s">
        <v>3888</v>
      </c>
      <c r="E21" s="2" t="s">
        <v>3889</v>
      </c>
      <c r="F21" s="1">
        <v>44273</v>
      </c>
      <c r="G21" s="1">
        <v>0.23680555555555555</v>
      </c>
      <c r="H21" s="1">
        <v>44273</v>
      </c>
      <c r="I21" s="2" t="s">
        <v>3985</v>
      </c>
      <c r="J21" s="2" t="s">
        <v>3950</v>
      </c>
      <c r="K21" s="2" t="s">
        <v>24</v>
      </c>
      <c r="L21" s="2" t="s">
        <v>585</v>
      </c>
      <c r="M21" s="2" t="s">
        <v>3986</v>
      </c>
      <c r="N21" s="2" t="s">
        <v>1</v>
      </c>
      <c r="O21" s="2" t="s">
        <v>3950</v>
      </c>
      <c r="P21" s="2" t="s">
        <v>139</v>
      </c>
      <c r="Q21" s="2" t="s">
        <v>3099</v>
      </c>
      <c r="R21" s="2" t="s">
        <v>3005</v>
      </c>
      <c r="S21" s="2" t="s">
        <v>141</v>
      </c>
      <c r="T21" s="2">
        <v>301828</v>
      </c>
      <c r="U21" s="2" t="s">
        <v>142</v>
      </c>
      <c r="V21" s="2" t="s">
        <v>3887</v>
      </c>
      <c r="W21" s="1">
        <v>44273</v>
      </c>
    </row>
    <row r="22" spans="1:24" x14ac:dyDescent="0.25">
      <c r="A22" s="2" t="s">
        <v>29</v>
      </c>
      <c r="B22" s="2" t="b">
        <v>0</v>
      </c>
      <c r="C22" s="2" t="s">
        <v>3887</v>
      </c>
      <c r="D22" s="2" t="s">
        <v>3888</v>
      </c>
      <c r="E22" s="2" t="s">
        <v>3889</v>
      </c>
      <c r="F22" s="1">
        <v>44273</v>
      </c>
      <c r="G22" s="1">
        <v>0.23680555555555555</v>
      </c>
      <c r="H22" s="1">
        <v>44273</v>
      </c>
      <c r="I22" s="2" t="s">
        <v>3985</v>
      </c>
      <c r="J22" s="2" t="s">
        <v>3950</v>
      </c>
      <c r="K22" s="2" t="s">
        <v>24</v>
      </c>
      <c r="L22" s="2" t="s">
        <v>585</v>
      </c>
      <c r="M22" s="2" t="s">
        <v>3986</v>
      </c>
      <c r="N22" s="2" t="s">
        <v>1</v>
      </c>
      <c r="O22" s="2" t="s">
        <v>3950</v>
      </c>
      <c r="P22" s="2" t="s">
        <v>400</v>
      </c>
      <c r="Q22" s="2" t="s">
        <v>3004</v>
      </c>
      <c r="R22" s="2" t="s">
        <v>3005</v>
      </c>
      <c r="S22" s="2" t="s">
        <v>401</v>
      </c>
      <c r="T22" s="2">
        <v>1269383</v>
      </c>
      <c r="U22" s="2" t="s">
        <v>142</v>
      </c>
      <c r="V22" s="2" t="s">
        <v>3887</v>
      </c>
      <c r="W22" s="1">
        <v>44273</v>
      </c>
    </row>
    <row r="23" spans="1:24" x14ac:dyDescent="0.25">
      <c r="A23" s="2" t="s">
        <v>29</v>
      </c>
      <c r="B23" s="2" t="b">
        <v>0</v>
      </c>
      <c r="C23" s="2" t="s">
        <v>3887</v>
      </c>
      <c r="D23" s="2" t="s">
        <v>3888</v>
      </c>
      <c r="E23" s="2" t="s">
        <v>3889</v>
      </c>
      <c r="F23" s="1">
        <v>44273</v>
      </c>
      <c r="G23" s="1">
        <v>0.25624999999999998</v>
      </c>
      <c r="H23" s="1">
        <v>44273</v>
      </c>
      <c r="I23" s="2" t="s">
        <v>3981</v>
      </c>
      <c r="J23" s="2" t="s">
        <v>3950</v>
      </c>
      <c r="K23" s="2" t="s">
        <v>24</v>
      </c>
      <c r="L23" s="2" t="s">
        <v>585</v>
      </c>
      <c r="M23" s="2" t="s">
        <v>3982</v>
      </c>
      <c r="N23" s="2" t="s">
        <v>1</v>
      </c>
      <c r="O23" s="2" t="s">
        <v>3950</v>
      </c>
      <c r="P23" s="2" t="s">
        <v>400</v>
      </c>
      <c r="Q23" s="2" t="s">
        <v>3007</v>
      </c>
      <c r="R23" s="2" t="s">
        <v>3008</v>
      </c>
      <c r="S23" s="2" t="s">
        <v>401</v>
      </c>
      <c r="T23" s="2">
        <v>1269384</v>
      </c>
      <c r="U23" s="2" t="s">
        <v>142</v>
      </c>
      <c r="V23" s="2" t="s">
        <v>3887</v>
      </c>
      <c r="W23" s="1">
        <v>44273</v>
      </c>
    </row>
    <row r="24" spans="1:24" x14ac:dyDescent="0.25">
      <c r="A24" s="2" t="s">
        <v>29</v>
      </c>
      <c r="B24" s="2" t="b">
        <v>0</v>
      </c>
      <c r="C24" s="2" t="s">
        <v>3887</v>
      </c>
      <c r="D24" s="2" t="s">
        <v>3888</v>
      </c>
      <c r="E24" s="2" t="s">
        <v>3889</v>
      </c>
      <c r="F24" s="1">
        <v>44273</v>
      </c>
      <c r="G24" s="1">
        <v>0.4381944444444445</v>
      </c>
      <c r="H24" s="1">
        <v>44273</v>
      </c>
      <c r="I24" s="2" t="s">
        <v>3977</v>
      </c>
      <c r="J24" s="2" t="s">
        <v>3978</v>
      </c>
      <c r="K24" s="2" t="s">
        <v>24</v>
      </c>
      <c r="L24" s="2" t="s">
        <v>585</v>
      </c>
      <c r="M24" s="2" t="s">
        <v>3979</v>
      </c>
      <c r="N24" s="2" t="s">
        <v>1</v>
      </c>
      <c r="O24" s="2" t="s">
        <v>3978</v>
      </c>
      <c r="P24" s="2" t="s">
        <v>206</v>
      </c>
      <c r="Q24" s="2" t="s">
        <v>3147</v>
      </c>
      <c r="R24" s="2" t="s">
        <v>3148</v>
      </c>
      <c r="S24" s="2" t="s">
        <v>207</v>
      </c>
      <c r="T24" s="2">
        <v>1269713</v>
      </c>
      <c r="U24" s="2" t="s">
        <v>152</v>
      </c>
      <c r="V24" s="2" t="s">
        <v>3887</v>
      </c>
      <c r="W24" s="1">
        <v>44273</v>
      </c>
    </row>
    <row r="25" spans="1:24" x14ac:dyDescent="0.25">
      <c r="A25" s="2" t="s">
        <v>29</v>
      </c>
      <c r="B25" s="2" t="b">
        <v>0</v>
      </c>
      <c r="C25" s="2" t="s">
        <v>3887</v>
      </c>
      <c r="D25" s="2" t="s">
        <v>3888</v>
      </c>
      <c r="E25" s="2" t="s">
        <v>3889</v>
      </c>
      <c r="F25" s="1">
        <v>44276</v>
      </c>
      <c r="G25" s="1">
        <v>0.47361111111111109</v>
      </c>
      <c r="H25" s="1">
        <v>44276</v>
      </c>
      <c r="I25" s="2" t="s">
        <v>3961</v>
      </c>
      <c r="J25" s="2" t="s">
        <v>604</v>
      </c>
      <c r="K25" s="2" t="s">
        <v>24</v>
      </c>
      <c r="L25" s="2" t="s">
        <v>585</v>
      </c>
      <c r="M25" s="2" t="s">
        <v>3960</v>
      </c>
      <c r="N25" s="2" t="s">
        <v>1</v>
      </c>
      <c r="O25" s="2" t="s">
        <v>604</v>
      </c>
      <c r="P25" s="2" t="s">
        <v>206</v>
      </c>
      <c r="Q25" s="2" t="s">
        <v>3180</v>
      </c>
      <c r="R25" s="2" t="s">
        <v>3356</v>
      </c>
      <c r="S25" s="2" t="s">
        <v>207</v>
      </c>
      <c r="T25" s="2">
        <v>1270208</v>
      </c>
      <c r="U25" s="2" t="s">
        <v>152</v>
      </c>
      <c r="V25" s="2" t="s">
        <v>3887</v>
      </c>
      <c r="W25" s="1">
        <v>44277</v>
      </c>
    </row>
    <row r="26" spans="1:24" x14ac:dyDescent="0.25">
      <c r="A26" s="2" t="s">
        <v>29</v>
      </c>
      <c r="B26" s="2" t="b">
        <v>0</v>
      </c>
      <c r="C26" s="2" t="s">
        <v>3887</v>
      </c>
      <c r="D26" s="2" t="s">
        <v>3888</v>
      </c>
      <c r="E26" s="2" t="s">
        <v>3889</v>
      </c>
      <c r="F26" s="1">
        <v>44276</v>
      </c>
      <c r="G26" s="1">
        <v>0.38611111111111113</v>
      </c>
      <c r="H26" s="1">
        <v>44276</v>
      </c>
      <c r="I26" s="2" t="s">
        <v>3962</v>
      </c>
      <c r="J26" s="2" t="s">
        <v>609</v>
      </c>
      <c r="K26" s="2" t="s">
        <v>38</v>
      </c>
      <c r="L26" s="2" t="s">
        <v>585</v>
      </c>
      <c r="M26" s="2" t="s">
        <v>3963</v>
      </c>
      <c r="N26" s="2" t="s">
        <v>1</v>
      </c>
      <c r="O26" s="2" t="s">
        <v>609</v>
      </c>
      <c r="P26" s="2" t="s">
        <v>150</v>
      </c>
      <c r="Q26" s="2" t="s">
        <v>256</v>
      </c>
      <c r="R26" s="2" t="s">
        <v>3354</v>
      </c>
      <c r="S26" s="2" t="s">
        <v>151</v>
      </c>
      <c r="T26" s="2">
        <v>303348</v>
      </c>
      <c r="U26" s="2" t="s">
        <v>152</v>
      </c>
      <c r="V26" s="2" t="s">
        <v>3887</v>
      </c>
      <c r="W26" s="1">
        <v>44276</v>
      </c>
    </row>
    <row r="27" spans="1:24" x14ac:dyDescent="0.25">
      <c r="A27" s="2" t="s">
        <v>29</v>
      </c>
      <c r="B27" s="2" t="b">
        <v>0</v>
      </c>
      <c r="C27" s="2" t="s">
        <v>3887</v>
      </c>
      <c r="D27" s="2" t="s">
        <v>3888</v>
      </c>
      <c r="E27" s="2" t="s">
        <v>3889</v>
      </c>
      <c r="F27" s="1">
        <v>44277</v>
      </c>
      <c r="G27" s="1">
        <v>3.2638888888888891E-2</v>
      </c>
      <c r="H27" s="1">
        <v>44277</v>
      </c>
      <c r="I27" s="2" t="s">
        <v>3956</v>
      </c>
      <c r="J27" s="2" t="s">
        <v>609</v>
      </c>
      <c r="K27" s="2" t="s">
        <v>38</v>
      </c>
      <c r="L27" s="2" t="s">
        <v>585</v>
      </c>
      <c r="M27" s="2" t="s">
        <v>3957</v>
      </c>
      <c r="N27" s="2" t="s">
        <v>1</v>
      </c>
      <c r="O27" s="2" t="s">
        <v>609</v>
      </c>
      <c r="P27" s="2" t="s">
        <v>206</v>
      </c>
      <c r="Q27" s="2" t="s">
        <v>3180</v>
      </c>
      <c r="R27" s="2" t="s">
        <v>3356</v>
      </c>
      <c r="S27" s="2" t="s">
        <v>207</v>
      </c>
      <c r="T27" s="2">
        <v>1270208</v>
      </c>
      <c r="U27" s="2" t="s">
        <v>152</v>
      </c>
      <c r="V27" s="2" t="s">
        <v>3887</v>
      </c>
      <c r="W27" s="1">
        <v>44277</v>
      </c>
    </row>
    <row r="28" spans="1:24" x14ac:dyDescent="0.25">
      <c r="A28" s="2" t="s">
        <v>29</v>
      </c>
      <c r="B28" s="2" t="b">
        <v>0</v>
      </c>
      <c r="C28" s="2" t="s">
        <v>3887</v>
      </c>
      <c r="D28" s="2" t="s">
        <v>3888</v>
      </c>
      <c r="E28" s="2" t="s">
        <v>3889</v>
      </c>
      <c r="F28" s="1">
        <v>44277</v>
      </c>
      <c r="G28" s="1">
        <v>0.13333333333333333</v>
      </c>
      <c r="H28" s="1">
        <v>44277</v>
      </c>
      <c r="I28" s="2" t="s">
        <v>3954</v>
      </c>
      <c r="J28" s="2" t="s">
        <v>3926</v>
      </c>
      <c r="K28" s="2" t="s">
        <v>24</v>
      </c>
      <c r="L28" s="2" t="s">
        <v>585</v>
      </c>
      <c r="M28" s="2" t="s">
        <v>3955</v>
      </c>
      <c r="N28" s="2" t="s">
        <v>1</v>
      </c>
      <c r="O28" s="2" t="s">
        <v>3926</v>
      </c>
      <c r="P28" s="2" t="s">
        <v>318</v>
      </c>
      <c r="Q28" s="2" t="s">
        <v>3217</v>
      </c>
      <c r="R28" s="2" t="s">
        <v>3332</v>
      </c>
      <c r="S28" s="2" t="s">
        <v>257</v>
      </c>
      <c r="T28" s="2">
        <v>294628</v>
      </c>
      <c r="U28" s="2" t="s">
        <v>258</v>
      </c>
      <c r="V28" s="2" t="s">
        <v>3887</v>
      </c>
      <c r="W28" s="1">
        <v>44277</v>
      </c>
      <c r="X28" s="2" t="str">
        <f>IF(W28=H28,"CRS","")</f>
        <v>CRS</v>
      </c>
    </row>
    <row r="29" spans="1:24" x14ac:dyDescent="0.25">
      <c r="A29" s="2" t="s">
        <v>29</v>
      </c>
      <c r="B29" s="2" t="b">
        <v>0</v>
      </c>
      <c r="C29" s="2" t="s">
        <v>3887</v>
      </c>
      <c r="D29" s="2" t="s">
        <v>3888</v>
      </c>
      <c r="E29" s="2" t="s">
        <v>3889</v>
      </c>
      <c r="F29" s="1">
        <v>44277</v>
      </c>
      <c r="G29" s="1">
        <v>0.31388888888888888</v>
      </c>
      <c r="H29" s="1">
        <v>44277</v>
      </c>
      <c r="I29" s="2" t="s">
        <v>3238</v>
      </c>
      <c r="J29" s="2" t="s">
        <v>609</v>
      </c>
      <c r="K29" s="2" t="s">
        <v>38</v>
      </c>
      <c r="L29" s="2" t="s">
        <v>585</v>
      </c>
      <c r="M29" s="2" t="s">
        <v>3949</v>
      </c>
      <c r="N29" s="2" t="s">
        <v>1</v>
      </c>
      <c r="O29" s="2" t="s">
        <v>609</v>
      </c>
      <c r="P29" s="2" t="s">
        <v>400</v>
      </c>
      <c r="Q29" s="2" t="s">
        <v>2998</v>
      </c>
      <c r="R29" s="2" t="s">
        <v>2999</v>
      </c>
      <c r="S29" s="2" t="s">
        <v>401</v>
      </c>
      <c r="T29" s="2">
        <v>1269381</v>
      </c>
      <c r="U29" s="2" t="s">
        <v>142</v>
      </c>
      <c r="V29" s="2" t="s">
        <v>3887</v>
      </c>
      <c r="W29" s="1">
        <v>44277</v>
      </c>
    </row>
    <row r="30" spans="1:24" x14ac:dyDescent="0.25">
      <c r="A30" s="2" t="s">
        <v>29</v>
      </c>
      <c r="B30" s="2" t="b">
        <v>0</v>
      </c>
      <c r="C30" s="2" t="s">
        <v>3887</v>
      </c>
      <c r="D30" s="2" t="s">
        <v>3888</v>
      </c>
      <c r="E30" s="2" t="s">
        <v>3889</v>
      </c>
      <c r="F30" s="1">
        <v>44277</v>
      </c>
      <c r="G30" s="1">
        <v>0.34791666666666665</v>
      </c>
      <c r="H30" s="1">
        <v>44277</v>
      </c>
      <c r="I30" s="2" t="s">
        <v>3947</v>
      </c>
      <c r="J30" s="2" t="s">
        <v>609</v>
      </c>
      <c r="K30" s="2" t="s">
        <v>38</v>
      </c>
      <c r="L30" s="2" t="s">
        <v>585</v>
      </c>
      <c r="M30" s="2" t="s">
        <v>3948</v>
      </c>
      <c r="N30" s="2" t="s">
        <v>1</v>
      </c>
      <c r="O30" s="2" t="s">
        <v>609</v>
      </c>
      <c r="P30" s="2" t="s">
        <v>400</v>
      </c>
      <c r="Q30" s="2" t="s">
        <v>3001</v>
      </c>
      <c r="R30" s="2" t="s">
        <v>3002</v>
      </c>
      <c r="S30" s="2" t="s">
        <v>401</v>
      </c>
      <c r="T30" s="2">
        <v>1269382</v>
      </c>
      <c r="U30" s="2" t="s">
        <v>142</v>
      </c>
      <c r="V30" s="2" t="s">
        <v>3887</v>
      </c>
      <c r="W30" s="1">
        <v>44277</v>
      </c>
    </row>
    <row r="31" spans="1:24" x14ac:dyDescent="0.25">
      <c r="A31" s="2" t="s">
        <v>29</v>
      </c>
      <c r="B31" s="2" t="b">
        <v>0</v>
      </c>
      <c r="C31" s="2" t="s">
        <v>3887</v>
      </c>
      <c r="D31" s="2" t="s">
        <v>3888</v>
      </c>
      <c r="E31" s="2" t="s">
        <v>3889</v>
      </c>
      <c r="F31" s="1">
        <v>44277</v>
      </c>
      <c r="G31" s="1">
        <v>0.43888888888888888</v>
      </c>
      <c r="H31" s="1">
        <v>44277</v>
      </c>
      <c r="I31" s="2" t="s">
        <v>3937</v>
      </c>
      <c r="J31" s="2" t="s">
        <v>609</v>
      </c>
      <c r="K31" s="2" t="s">
        <v>24</v>
      </c>
      <c r="L31" s="2" t="s">
        <v>585</v>
      </c>
      <c r="M31" s="2" t="s">
        <v>3938</v>
      </c>
      <c r="N31" s="2" t="s">
        <v>1</v>
      </c>
      <c r="O31" s="2" t="s">
        <v>609</v>
      </c>
      <c r="P31" s="2" t="s">
        <v>209</v>
      </c>
      <c r="Q31" s="2" t="s">
        <v>292</v>
      </c>
      <c r="R31" s="2" t="s">
        <v>3315</v>
      </c>
      <c r="S31" s="2" t="s">
        <v>210</v>
      </c>
      <c r="T31" s="2">
        <v>272185</v>
      </c>
      <c r="U31" s="2" t="s">
        <v>211</v>
      </c>
      <c r="V31" s="2"/>
      <c r="W31" s="1"/>
    </row>
    <row r="32" spans="1:24" x14ac:dyDescent="0.25">
      <c r="A32" s="2" t="s">
        <v>29</v>
      </c>
      <c r="B32" s="2" t="b">
        <v>0</v>
      </c>
      <c r="C32" s="2" t="s">
        <v>3887</v>
      </c>
      <c r="D32" s="2" t="s">
        <v>3888</v>
      </c>
      <c r="E32" s="2" t="s">
        <v>3889</v>
      </c>
      <c r="F32" s="1">
        <v>44277</v>
      </c>
      <c r="G32" s="1">
        <v>0.4381944444444445</v>
      </c>
      <c r="H32" s="1">
        <v>44277</v>
      </c>
      <c r="I32" s="2" t="s">
        <v>3242</v>
      </c>
      <c r="J32" s="2" t="s">
        <v>609</v>
      </c>
      <c r="K32" s="2" t="s">
        <v>24</v>
      </c>
      <c r="L32" s="2" t="s">
        <v>585</v>
      </c>
      <c r="M32" s="2" t="s">
        <v>3941</v>
      </c>
      <c r="N32" s="2" t="s">
        <v>1</v>
      </c>
      <c r="O32" s="2" t="s">
        <v>609</v>
      </c>
      <c r="P32" s="2" t="s">
        <v>209</v>
      </c>
      <c r="Q32" s="2" t="s">
        <v>293</v>
      </c>
      <c r="R32" s="2" t="s">
        <v>3313</v>
      </c>
      <c r="S32" s="2" t="s">
        <v>210</v>
      </c>
      <c r="T32" s="2">
        <v>272177</v>
      </c>
      <c r="U32" s="2" t="s">
        <v>211</v>
      </c>
      <c r="V32" s="2"/>
      <c r="W32" s="1"/>
    </row>
    <row r="33" spans="1:26" x14ac:dyDescent="0.25">
      <c r="A33" s="2" t="s">
        <v>29</v>
      </c>
      <c r="B33" s="2" t="b">
        <v>0</v>
      </c>
      <c r="C33" s="2" t="s">
        <v>3887</v>
      </c>
      <c r="D33" s="2" t="s">
        <v>3888</v>
      </c>
      <c r="E33" s="2" t="s">
        <v>3889</v>
      </c>
      <c r="F33" s="1">
        <v>44277</v>
      </c>
      <c r="G33" s="1">
        <v>0.4375</v>
      </c>
      <c r="H33" s="1">
        <v>44277</v>
      </c>
      <c r="I33" s="2" t="s">
        <v>3231</v>
      </c>
      <c r="J33" s="2" t="s">
        <v>609</v>
      </c>
      <c r="K33" s="2" t="s">
        <v>24</v>
      </c>
      <c r="L33" s="2" t="s">
        <v>585</v>
      </c>
      <c r="M33" s="2" t="s">
        <v>3942</v>
      </c>
      <c r="N33" s="2" t="s">
        <v>1</v>
      </c>
      <c r="O33" s="2" t="s">
        <v>609</v>
      </c>
      <c r="P33" s="2" t="s">
        <v>209</v>
      </c>
      <c r="Q33" s="2" t="s">
        <v>279</v>
      </c>
      <c r="R33" s="2" t="s">
        <v>3137</v>
      </c>
      <c r="S33" s="2" t="s">
        <v>210</v>
      </c>
      <c r="T33" s="2">
        <v>270598</v>
      </c>
      <c r="U33" s="2" t="s">
        <v>211</v>
      </c>
      <c r="V33" s="2"/>
      <c r="W33" s="1"/>
    </row>
    <row r="34" spans="1:26" x14ac:dyDescent="0.25">
      <c r="A34" s="2" t="s">
        <v>29</v>
      </c>
      <c r="B34" s="2" t="b">
        <v>0</v>
      </c>
      <c r="C34" s="2" t="s">
        <v>3887</v>
      </c>
      <c r="D34" s="2" t="s">
        <v>3888</v>
      </c>
      <c r="E34" s="2" t="s">
        <v>3889</v>
      </c>
      <c r="F34" s="1">
        <v>44277</v>
      </c>
      <c r="G34" s="1">
        <v>0.4368055555555555</v>
      </c>
      <c r="H34" s="1">
        <v>44277</v>
      </c>
      <c r="I34" s="2" t="s">
        <v>3913</v>
      </c>
      <c r="J34" s="2" t="s">
        <v>609</v>
      </c>
      <c r="K34" s="2" t="s">
        <v>24</v>
      </c>
      <c r="L34" s="2" t="s">
        <v>585</v>
      </c>
      <c r="M34" s="2" t="s">
        <v>3943</v>
      </c>
      <c r="N34" s="2" t="s">
        <v>1</v>
      </c>
      <c r="O34" s="2" t="s">
        <v>609</v>
      </c>
      <c r="P34" s="2" t="s">
        <v>209</v>
      </c>
      <c r="Q34" s="2" t="s">
        <v>213</v>
      </c>
      <c r="R34" s="2" t="s">
        <v>3123</v>
      </c>
      <c r="S34" s="2" t="s">
        <v>210</v>
      </c>
      <c r="T34" s="2">
        <v>270619</v>
      </c>
      <c r="U34" s="2" t="s">
        <v>211</v>
      </c>
      <c r="V34" s="2"/>
      <c r="W34" s="1"/>
    </row>
    <row r="35" spans="1:26" x14ac:dyDescent="0.25">
      <c r="A35" s="2" t="s">
        <v>29</v>
      </c>
      <c r="B35" s="2" t="b">
        <v>0</v>
      </c>
      <c r="C35" s="2" t="s">
        <v>3887</v>
      </c>
      <c r="D35" s="2" t="s">
        <v>3888</v>
      </c>
      <c r="E35" s="2" t="s">
        <v>3889</v>
      </c>
      <c r="F35" s="1">
        <v>44277</v>
      </c>
      <c r="G35" s="1">
        <v>0.43541666666666662</v>
      </c>
      <c r="H35" s="1">
        <v>44277</v>
      </c>
      <c r="I35" s="2" t="s">
        <v>3944</v>
      </c>
      <c r="J35" s="2" t="s">
        <v>609</v>
      </c>
      <c r="K35" s="2" t="s">
        <v>24</v>
      </c>
      <c r="L35" s="2" t="s">
        <v>585</v>
      </c>
      <c r="M35" s="2" t="s">
        <v>3945</v>
      </c>
      <c r="N35" s="2" t="s">
        <v>1</v>
      </c>
      <c r="O35" s="2" t="s">
        <v>609</v>
      </c>
      <c r="P35" s="2" t="s">
        <v>209</v>
      </c>
      <c r="Q35" s="2" t="s">
        <v>278</v>
      </c>
      <c r="R35" s="2" t="s">
        <v>3103</v>
      </c>
      <c r="S35" s="2" t="s">
        <v>210</v>
      </c>
      <c r="T35" s="2">
        <v>270601</v>
      </c>
      <c r="U35" s="2" t="s">
        <v>211</v>
      </c>
      <c r="V35" s="2"/>
      <c r="W35" s="1"/>
      <c r="Z35"/>
    </row>
    <row r="36" spans="1:26" x14ac:dyDescent="0.25">
      <c r="A36" s="2" t="s">
        <v>29</v>
      </c>
      <c r="B36" s="2" t="b">
        <v>0</v>
      </c>
      <c r="C36" s="2" t="s">
        <v>3887</v>
      </c>
      <c r="D36" s="2" t="s">
        <v>3888</v>
      </c>
      <c r="E36" s="2" t="s">
        <v>3889</v>
      </c>
      <c r="F36" s="1">
        <v>44277</v>
      </c>
      <c r="G36" s="1">
        <v>0.43541666666666662</v>
      </c>
      <c r="H36" s="1">
        <v>44277</v>
      </c>
      <c r="I36" s="2" t="s">
        <v>3944</v>
      </c>
      <c r="J36" s="2" t="s">
        <v>609</v>
      </c>
      <c r="K36" s="2" t="s">
        <v>24</v>
      </c>
      <c r="L36" s="2" t="s">
        <v>585</v>
      </c>
      <c r="M36" s="2" t="s">
        <v>3946</v>
      </c>
      <c r="N36" s="2" t="s">
        <v>1</v>
      </c>
      <c r="O36" s="2" t="s">
        <v>609</v>
      </c>
      <c r="P36" s="2" t="s">
        <v>209</v>
      </c>
      <c r="Q36" s="2" t="s">
        <v>277</v>
      </c>
      <c r="R36" s="2" t="s">
        <v>3105</v>
      </c>
      <c r="S36" s="2" t="s">
        <v>210</v>
      </c>
      <c r="T36" s="2">
        <v>270609</v>
      </c>
      <c r="U36" s="2" t="s">
        <v>211</v>
      </c>
      <c r="V36" s="2"/>
      <c r="W36" s="1"/>
      <c r="Z36"/>
    </row>
    <row r="37" spans="1:26" x14ac:dyDescent="0.25">
      <c r="A37" s="2" t="s">
        <v>29</v>
      </c>
      <c r="B37" s="2" t="b">
        <v>0</v>
      </c>
      <c r="C37" s="2" t="s">
        <v>3887</v>
      </c>
      <c r="D37" s="2" t="s">
        <v>3888</v>
      </c>
      <c r="E37" s="2" t="s">
        <v>3889</v>
      </c>
      <c r="F37" s="1">
        <v>44277</v>
      </c>
      <c r="G37" s="1">
        <v>0.34791666666666665</v>
      </c>
      <c r="H37" s="1">
        <v>44277</v>
      </c>
      <c r="I37" s="2" t="s">
        <v>3947</v>
      </c>
      <c r="J37" s="2" t="s">
        <v>609</v>
      </c>
      <c r="K37" s="2" t="s">
        <v>38</v>
      </c>
      <c r="L37" s="2" t="s">
        <v>585</v>
      </c>
      <c r="M37" s="2" t="s">
        <v>3948</v>
      </c>
      <c r="N37" s="2" t="s">
        <v>1</v>
      </c>
      <c r="O37" s="2" t="s">
        <v>609</v>
      </c>
      <c r="P37" s="2" t="s">
        <v>139</v>
      </c>
      <c r="Q37" s="2" t="s">
        <v>3097</v>
      </c>
      <c r="R37" s="2" t="s">
        <v>3002</v>
      </c>
      <c r="S37" s="2" t="s">
        <v>141</v>
      </c>
      <c r="T37" s="2">
        <v>301827</v>
      </c>
      <c r="U37" s="2" t="s">
        <v>142</v>
      </c>
      <c r="V37" s="2"/>
      <c r="W37" s="1"/>
      <c r="Z37"/>
    </row>
    <row r="38" spans="1:26" x14ac:dyDescent="0.25">
      <c r="A38" s="2" t="s">
        <v>29</v>
      </c>
      <c r="B38" s="2" t="b">
        <v>0</v>
      </c>
      <c r="C38" s="2" t="s">
        <v>3887</v>
      </c>
      <c r="D38" s="2" t="s">
        <v>3888</v>
      </c>
      <c r="E38" s="2" t="s">
        <v>3889</v>
      </c>
      <c r="F38" s="1">
        <v>44277</v>
      </c>
      <c r="G38" s="1">
        <v>0.31388888888888888</v>
      </c>
      <c r="H38" s="1">
        <v>44277</v>
      </c>
      <c r="I38" s="2" t="s">
        <v>3238</v>
      </c>
      <c r="J38" s="2" t="s">
        <v>609</v>
      </c>
      <c r="K38" s="2" t="s">
        <v>38</v>
      </c>
      <c r="L38" s="2" t="s">
        <v>585</v>
      </c>
      <c r="M38" s="2" t="s">
        <v>3949</v>
      </c>
      <c r="N38" s="2" t="s">
        <v>1</v>
      </c>
      <c r="O38" s="2" t="s">
        <v>609</v>
      </c>
      <c r="P38" s="2" t="s">
        <v>139</v>
      </c>
      <c r="Q38" s="2" t="s">
        <v>3101</v>
      </c>
      <c r="R38" s="2" t="s">
        <v>2999</v>
      </c>
      <c r="S38" s="2" t="s">
        <v>141</v>
      </c>
      <c r="T38" s="2">
        <v>301829</v>
      </c>
      <c r="U38" s="2" t="s">
        <v>142</v>
      </c>
      <c r="V38" s="2"/>
      <c r="W38" s="1"/>
      <c r="Z38"/>
    </row>
    <row r="39" spans="1:26" x14ac:dyDescent="0.25">
      <c r="A39" s="2" t="s">
        <v>29</v>
      </c>
      <c r="B39" s="2" t="b">
        <v>0</v>
      </c>
      <c r="C39" s="2" t="s">
        <v>3887</v>
      </c>
      <c r="D39" s="2" t="s">
        <v>3888</v>
      </c>
      <c r="E39" s="2" t="s">
        <v>3889</v>
      </c>
      <c r="F39" s="1">
        <v>44280</v>
      </c>
      <c r="G39" s="1">
        <v>0.31041666666666667</v>
      </c>
      <c r="H39" s="1">
        <v>44280</v>
      </c>
      <c r="I39" s="2" t="s">
        <v>3934</v>
      </c>
      <c r="J39" s="2" t="s">
        <v>3935</v>
      </c>
      <c r="K39" s="2" t="s">
        <v>24</v>
      </c>
      <c r="L39" s="2" t="s">
        <v>585</v>
      </c>
      <c r="M39" s="2" t="s">
        <v>3936</v>
      </c>
      <c r="N39" s="2" t="s">
        <v>1</v>
      </c>
      <c r="O39" s="2" t="s">
        <v>3935</v>
      </c>
      <c r="P39" s="2" t="s">
        <v>326</v>
      </c>
      <c r="Q39" s="2" t="s">
        <v>397</v>
      </c>
      <c r="R39" s="2" t="s">
        <v>3470</v>
      </c>
      <c r="S39" s="2" t="s">
        <v>132</v>
      </c>
      <c r="T39" s="2">
        <v>1270591</v>
      </c>
      <c r="U39" s="2" t="s">
        <v>328</v>
      </c>
      <c r="V39" s="2" t="s">
        <v>3887</v>
      </c>
      <c r="W39" s="1">
        <v>44280</v>
      </c>
      <c r="X39" s="2" t="str">
        <f>IF(W39=H39,"CRS","")</f>
        <v>CRS</v>
      </c>
      <c r="Z39"/>
    </row>
    <row r="40" spans="1:26" x14ac:dyDescent="0.25">
      <c r="A40" s="2" t="s">
        <v>29</v>
      </c>
      <c r="B40" s="2" t="b">
        <v>0</v>
      </c>
      <c r="C40" s="2" t="s">
        <v>3887</v>
      </c>
      <c r="D40" s="2" t="s">
        <v>3888</v>
      </c>
      <c r="E40" s="2" t="s">
        <v>3889</v>
      </c>
      <c r="F40" s="1">
        <v>44280</v>
      </c>
      <c r="G40" s="1">
        <v>0.36736111111111114</v>
      </c>
      <c r="H40" s="1">
        <v>44280</v>
      </c>
      <c r="I40" s="2" t="s">
        <v>3930</v>
      </c>
      <c r="J40" s="2" t="s">
        <v>590</v>
      </c>
      <c r="K40" s="2" t="s">
        <v>24</v>
      </c>
      <c r="L40" s="2" t="s">
        <v>585</v>
      </c>
      <c r="M40" s="2" t="s">
        <v>3931</v>
      </c>
      <c r="N40" s="2" t="s">
        <v>1</v>
      </c>
      <c r="O40" s="2" t="s">
        <v>590</v>
      </c>
      <c r="P40" s="2" t="s">
        <v>326</v>
      </c>
      <c r="Q40" s="2" t="s">
        <v>327</v>
      </c>
      <c r="R40" s="2" t="s">
        <v>3393</v>
      </c>
      <c r="S40" s="2" t="s">
        <v>132</v>
      </c>
      <c r="T40" s="2">
        <v>1270390</v>
      </c>
      <c r="U40" s="2" t="s">
        <v>328</v>
      </c>
      <c r="V40" s="2"/>
      <c r="W40" s="1"/>
      <c r="Z40"/>
    </row>
    <row r="41" spans="1:26" x14ac:dyDescent="0.25">
      <c r="A41" s="2" t="s">
        <v>15</v>
      </c>
      <c r="B41" s="2" t="b">
        <v>0</v>
      </c>
      <c r="C41" s="2" t="s">
        <v>3887</v>
      </c>
      <c r="D41" s="2" t="s">
        <v>3888</v>
      </c>
      <c r="E41" s="2" t="s">
        <v>3889</v>
      </c>
      <c r="F41" s="1">
        <v>44284</v>
      </c>
      <c r="G41" s="1">
        <v>0.12777777777777777</v>
      </c>
      <c r="H41" s="1">
        <v>44284</v>
      </c>
      <c r="I41" s="2" t="s">
        <v>3904</v>
      </c>
      <c r="J41" s="2" t="s">
        <v>590</v>
      </c>
      <c r="K41" s="2" t="s">
        <v>24</v>
      </c>
      <c r="L41" s="2" t="s">
        <v>585</v>
      </c>
      <c r="M41" s="2" t="s">
        <v>3905</v>
      </c>
      <c r="N41" s="2" t="s">
        <v>1</v>
      </c>
      <c r="O41" s="2" t="s">
        <v>590</v>
      </c>
      <c r="P41" s="2" t="s">
        <v>131</v>
      </c>
      <c r="Q41" s="2" t="s">
        <v>3320</v>
      </c>
      <c r="R41" s="2" t="s">
        <v>3321</v>
      </c>
      <c r="S41" s="2" t="s">
        <v>132</v>
      </c>
      <c r="T41" s="2">
        <v>300277</v>
      </c>
      <c r="U41" s="2" t="s">
        <v>133</v>
      </c>
      <c r="V41" s="2"/>
      <c r="W41" s="1"/>
      <c r="Z41"/>
    </row>
    <row r="42" spans="1:26" x14ac:dyDescent="0.25">
      <c r="A42" s="2" t="s">
        <v>29</v>
      </c>
      <c r="B42" s="2" t="b">
        <v>0</v>
      </c>
      <c r="C42" s="2" t="s">
        <v>3887</v>
      </c>
      <c r="D42" s="2" t="s">
        <v>3888</v>
      </c>
      <c r="E42" s="2" t="s">
        <v>3889</v>
      </c>
      <c r="F42" s="1">
        <v>44284</v>
      </c>
      <c r="G42" s="1">
        <v>0.40972222222222227</v>
      </c>
      <c r="H42" s="1">
        <v>44284</v>
      </c>
      <c r="I42" s="2" t="s">
        <v>3235</v>
      </c>
      <c r="J42" s="2" t="s">
        <v>604</v>
      </c>
      <c r="K42" s="2" t="s">
        <v>24</v>
      </c>
      <c r="L42" s="2" t="s">
        <v>585</v>
      </c>
      <c r="M42" s="2" t="s">
        <v>3918</v>
      </c>
      <c r="N42" s="2" t="s">
        <v>1</v>
      </c>
      <c r="O42" s="2" t="s">
        <v>604</v>
      </c>
      <c r="P42" s="2" t="s">
        <v>388</v>
      </c>
      <c r="Q42" s="2" t="s">
        <v>3368</v>
      </c>
      <c r="R42" s="2" t="s">
        <v>3369</v>
      </c>
      <c r="S42" s="2" t="s">
        <v>218</v>
      </c>
      <c r="T42" s="2">
        <v>1270274</v>
      </c>
      <c r="U42" s="2" t="s">
        <v>219</v>
      </c>
      <c r="V42" s="2"/>
      <c r="W42" s="1"/>
      <c r="X42" s="2" t="str">
        <f>IF(W42=H42,"CRS","")</f>
        <v/>
      </c>
      <c r="Z42"/>
    </row>
    <row r="43" spans="1:26" x14ac:dyDescent="0.25">
      <c r="A43" s="2" t="s">
        <v>29</v>
      </c>
      <c r="B43" s="2" t="b">
        <v>0</v>
      </c>
      <c r="C43" s="2" t="s">
        <v>3887</v>
      </c>
      <c r="D43" s="2" t="s">
        <v>3888</v>
      </c>
      <c r="E43" s="2" t="s">
        <v>3889</v>
      </c>
      <c r="F43" s="1">
        <v>44284</v>
      </c>
      <c r="G43" s="1">
        <v>0.40763888888888888</v>
      </c>
      <c r="H43" s="1">
        <v>44284</v>
      </c>
      <c r="I43" s="2" t="s">
        <v>615</v>
      </c>
      <c r="J43" s="2" t="s">
        <v>586</v>
      </c>
      <c r="K43" s="2" t="s">
        <v>38</v>
      </c>
      <c r="L43" s="2" t="s">
        <v>585</v>
      </c>
      <c r="M43" s="2" t="s">
        <v>3924</v>
      </c>
      <c r="N43" s="2" t="s">
        <v>1</v>
      </c>
      <c r="O43" s="2" t="s">
        <v>586</v>
      </c>
      <c r="P43" s="2" t="s">
        <v>315</v>
      </c>
      <c r="Q43" s="2" t="s">
        <v>3435</v>
      </c>
      <c r="R43" s="2" t="s">
        <v>3436</v>
      </c>
      <c r="S43" s="2" t="s">
        <v>316</v>
      </c>
      <c r="T43" s="2">
        <v>47434</v>
      </c>
      <c r="U43" s="2" t="s">
        <v>296</v>
      </c>
      <c r="V43" s="2"/>
      <c r="W43" s="1"/>
      <c r="Z43"/>
    </row>
    <row r="44" spans="1:26" x14ac:dyDescent="0.25">
      <c r="A44" s="2" t="s">
        <v>29</v>
      </c>
      <c r="B44" s="2" t="b">
        <v>0</v>
      </c>
      <c r="C44" s="2" t="s">
        <v>3887</v>
      </c>
      <c r="D44" s="2" t="s">
        <v>3888</v>
      </c>
      <c r="E44" s="2" t="s">
        <v>3889</v>
      </c>
      <c r="F44" s="1">
        <v>44284</v>
      </c>
      <c r="G44" s="1">
        <v>0.40833333333333338</v>
      </c>
      <c r="H44" s="1">
        <v>44284</v>
      </c>
      <c r="I44" s="2" t="s">
        <v>2646</v>
      </c>
      <c r="J44" s="2" t="s">
        <v>586</v>
      </c>
      <c r="K44" s="2" t="s">
        <v>38</v>
      </c>
      <c r="L44" s="2" t="s">
        <v>585</v>
      </c>
      <c r="M44" s="2" t="s">
        <v>3923</v>
      </c>
      <c r="N44" s="2" t="s">
        <v>1</v>
      </c>
      <c r="O44" s="2" t="s">
        <v>586</v>
      </c>
      <c r="P44" s="2" t="s">
        <v>315</v>
      </c>
      <c r="Q44" s="2" t="s">
        <v>3440</v>
      </c>
      <c r="R44" s="2" t="s">
        <v>3441</v>
      </c>
      <c r="S44" s="2" t="s">
        <v>316</v>
      </c>
      <c r="T44" s="2">
        <v>45161</v>
      </c>
      <c r="U44" s="2" t="s">
        <v>296</v>
      </c>
      <c r="V44" s="2"/>
      <c r="W44" s="1"/>
      <c r="Z44"/>
    </row>
    <row r="45" spans="1:26" x14ac:dyDescent="0.25">
      <c r="A45" s="2" t="s">
        <v>29</v>
      </c>
      <c r="B45" s="2" t="b">
        <v>0</v>
      </c>
      <c r="C45" s="2" t="s">
        <v>3887</v>
      </c>
      <c r="D45" s="2" t="s">
        <v>3888</v>
      </c>
      <c r="E45" s="2" t="s">
        <v>3889</v>
      </c>
      <c r="F45" s="1">
        <v>44284</v>
      </c>
      <c r="G45" s="1">
        <v>9.5138888888888884E-2</v>
      </c>
      <c r="H45" s="1">
        <v>44284</v>
      </c>
      <c r="I45" s="2" t="s">
        <v>3929</v>
      </c>
      <c r="J45" s="2" t="s">
        <v>3926</v>
      </c>
      <c r="K45" s="2" t="s">
        <v>24</v>
      </c>
      <c r="L45" s="2" t="s">
        <v>585</v>
      </c>
      <c r="M45" s="2" t="s">
        <v>3914</v>
      </c>
      <c r="N45" s="2" t="s">
        <v>1</v>
      </c>
      <c r="O45" s="2" t="s">
        <v>3926</v>
      </c>
      <c r="P45" s="2" t="s">
        <v>294</v>
      </c>
      <c r="Q45" s="2" t="s">
        <v>136</v>
      </c>
      <c r="R45" s="2" t="s">
        <v>3481</v>
      </c>
      <c r="S45" s="2" t="s">
        <v>295</v>
      </c>
      <c r="T45" s="2">
        <v>1270664</v>
      </c>
      <c r="U45" s="2" t="s">
        <v>296</v>
      </c>
      <c r="V45" s="2"/>
      <c r="W45" s="1"/>
      <c r="Z45"/>
    </row>
    <row r="46" spans="1:26" x14ac:dyDescent="0.25">
      <c r="A46" s="2" t="s">
        <v>29</v>
      </c>
      <c r="B46" s="2" t="b">
        <v>0</v>
      </c>
      <c r="C46" s="2" t="s">
        <v>3887</v>
      </c>
      <c r="D46" s="2" t="s">
        <v>3888</v>
      </c>
      <c r="E46" s="2" t="s">
        <v>3889</v>
      </c>
      <c r="F46" s="1">
        <v>44284</v>
      </c>
      <c r="G46" s="1">
        <v>0.10972222222222222</v>
      </c>
      <c r="H46" s="1">
        <v>44284</v>
      </c>
      <c r="I46" s="2" t="s">
        <v>3925</v>
      </c>
      <c r="J46" s="2" t="s">
        <v>3926</v>
      </c>
      <c r="K46" s="2" t="s">
        <v>24</v>
      </c>
      <c r="L46" s="2" t="s">
        <v>585</v>
      </c>
      <c r="M46" s="2" t="s">
        <v>3907</v>
      </c>
      <c r="N46" s="2" t="s">
        <v>1</v>
      </c>
      <c r="O46" s="2" t="s">
        <v>3926</v>
      </c>
      <c r="P46" s="2" t="s">
        <v>294</v>
      </c>
      <c r="Q46" s="2" t="s">
        <v>3505</v>
      </c>
      <c r="R46" s="2" t="s">
        <v>3506</v>
      </c>
      <c r="S46" s="2" t="s">
        <v>295</v>
      </c>
      <c r="T46" s="2">
        <v>200597</v>
      </c>
      <c r="U46" s="2" t="s">
        <v>296</v>
      </c>
      <c r="V46" s="2"/>
      <c r="W46" s="1"/>
      <c r="Z46"/>
    </row>
    <row r="47" spans="1:26" x14ac:dyDescent="0.25">
      <c r="A47" s="2" t="s">
        <v>29</v>
      </c>
      <c r="B47" s="2" t="b">
        <v>0</v>
      </c>
      <c r="C47" s="2" t="s">
        <v>3887</v>
      </c>
      <c r="D47" s="2" t="s">
        <v>3888</v>
      </c>
      <c r="E47" s="2" t="s">
        <v>3889</v>
      </c>
      <c r="F47" s="1">
        <v>44285</v>
      </c>
      <c r="G47" s="1">
        <v>0.23055555555555557</v>
      </c>
      <c r="H47" s="1">
        <v>44285</v>
      </c>
      <c r="I47" s="2" t="s">
        <v>2616</v>
      </c>
      <c r="J47" s="2" t="s">
        <v>604</v>
      </c>
      <c r="K47" s="2" t="s">
        <v>38</v>
      </c>
      <c r="L47" s="2" t="s">
        <v>585</v>
      </c>
      <c r="M47" s="2" t="s">
        <v>3917</v>
      </c>
      <c r="N47" s="2" t="s">
        <v>1</v>
      </c>
      <c r="O47" s="2" t="s">
        <v>604</v>
      </c>
      <c r="P47" s="2" t="s">
        <v>388</v>
      </c>
      <c r="Q47" s="2" t="s">
        <v>3368</v>
      </c>
      <c r="R47" s="2" t="s">
        <v>3369</v>
      </c>
      <c r="S47" s="2" t="s">
        <v>218</v>
      </c>
      <c r="T47" s="2">
        <v>1270274</v>
      </c>
      <c r="U47" s="2" t="s">
        <v>219</v>
      </c>
      <c r="V47" s="2"/>
      <c r="W47" s="1"/>
      <c r="Z47"/>
    </row>
    <row r="48" spans="1:26" x14ac:dyDescent="0.25">
      <c r="A48" s="2" t="s">
        <v>15</v>
      </c>
      <c r="B48" s="2" t="b">
        <v>0</v>
      </c>
      <c r="C48" s="2" t="s">
        <v>3887</v>
      </c>
      <c r="D48" s="2" t="s">
        <v>3888</v>
      </c>
      <c r="E48" s="2" t="s">
        <v>3889</v>
      </c>
      <c r="F48" s="1">
        <v>44285</v>
      </c>
      <c r="G48" s="1">
        <v>0.40486111111111112</v>
      </c>
      <c r="H48" s="1">
        <v>44285</v>
      </c>
      <c r="I48" s="2" t="s">
        <v>2676</v>
      </c>
      <c r="J48" s="2" t="s">
        <v>586</v>
      </c>
      <c r="K48" s="2" t="s">
        <v>24</v>
      </c>
      <c r="L48" s="2" t="s">
        <v>585</v>
      </c>
      <c r="M48" s="2" t="s">
        <v>3903</v>
      </c>
      <c r="N48" s="2" t="s">
        <v>1</v>
      </c>
      <c r="O48" s="2" t="s">
        <v>586</v>
      </c>
      <c r="P48" s="2" t="s">
        <v>390</v>
      </c>
      <c r="Q48" s="2" t="s">
        <v>3429</v>
      </c>
      <c r="R48" s="2" t="s">
        <v>3430</v>
      </c>
      <c r="S48" s="2" t="s">
        <v>2719</v>
      </c>
      <c r="T48" s="2">
        <v>243912</v>
      </c>
      <c r="U48" s="2" t="s">
        <v>296</v>
      </c>
      <c r="V48" s="2"/>
      <c r="W48" s="1"/>
      <c r="X48" s="2" t="str">
        <f>IF(W48=H48,"CRS","")</f>
        <v/>
      </c>
      <c r="Z48"/>
    </row>
    <row r="49" spans="1:26" x14ac:dyDescent="0.25">
      <c r="A49" s="2" t="s">
        <v>29</v>
      </c>
      <c r="B49" s="2" t="b">
        <v>0</v>
      </c>
      <c r="C49" s="2" t="s">
        <v>3887</v>
      </c>
      <c r="D49" s="2" t="s">
        <v>3888</v>
      </c>
      <c r="E49" s="2" t="s">
        <v>3889</v>
      </c>
      <c r="F49" s="1">
        <v>44284</v>
      </c>
      <c r="G49" s="1">
        <v>0.99166666666666681</v>
      </c>
      <c r="H49" s="1">
        <v>44285</v>
      </c>
      <c r="I49" s="2" t="s">
        <v>3919</v>
      </c>
      <c r="J49" s="2" t="s">
        <v>586</v>
      </c>
      <c r="K49" s="2" t="s">
        <v>24</v>
      </c>
      <c r="L49" s="2" t="s">
        <v>585</v>
      </c>
      <c r="M49" s="2" t="s">
        <v>3920</v>
      </c>
      <c r="N49" s="2" t="s">
        <v>1</v>
      </c>
      <c r="O49" s="2" t="s">
        <v>586</v>
      </c>
      <c r="P49" s="2" t="s">
        <v>315</v>
      </c>
      <c r="Q49" s="2" t="s">
        <v>3435</v>
      </c>
      <c r="R49" s="2" t="s">
        <v>3436</v>
      </c>
      <c r="S49" s="2" t="s">
        <v>316</v>
      </c>
      <c r="T49" s="2">
        <v>47434</v>
      </c>
      <c r="U49" s="2" t="s">
        <v>296</v>
      </c>
      <c r="V49" s="2"/>
      <c r="W49" s="1"/>
      <c r="X49" s="2" t="str">
        <f>IF(W49=H49,"CRS","")</f>
        <v/>
      </c>
      <c r="Z49"/>
    </row>
    <row r="50" spans="1:26" x14ac:dyDescent="0.25">
      <c r="A50" s="2" t="s">
        <v>29</v>
      </c>
      <c r="B50" s="2" t="b">
        <v>0</v>
      </c>
      <c r="C50" s="2" t="s">
        <v>3887</v>
      </c>
      <c r="D50" s="2" t="s">
        <v>3888</v>
      </c>
      <c r="E50" s="2" t="s">
        <v>3889</v>
      </c>
      <c r="F50" s="1">
        <v>44284</v>
      </c>
      <c r="G50" s="1">
        <v>0.98402777777777772</v>
      </c>
      <c r="H50" s="1">
        <v>44285</v>
      </c>
      <c r="I50" s="2" t="s">
        <v>3921</v>
      </c>
      <c r="J50" s="2" t="s">
        <v>586</v>
      </c>
      <c r="K50" s="2" t="s">
        <v>24</v>
      </c>
      <c r="L50" s="2" t="s">
        <v>585</v>
      </c>
      <c r="M50" s="2" t="s">
        <v>3922</v>
      </c>
      <c r="N50" s="2" t="s">
        <v>1</v>
      </c>
      <c r="O50" s="2" t="s">
        <v>586</v>
      </c>
      <c r="P50" s="2" t="s">
        <v>315</v>
      </c>
      <c r="Q50" s="2" t="s">
        <v>3440</v>
      </c>
      <c r="R50" s="2" t="s">
        <v>3441</v>
      </c>
      <c r="S50" s="2" t="s">
        <v>316</v>
      </c>
      <c r="T50" s="2">
        <v>45161</v>
      </c>
      <c r="U50" s="2" t="s">
        <v>296</v>
      </c>
      <c r="V50" s="2"/>
      <c r="W50" s="1"/>
      <c r="Z50"/>
    </row>
    <row r="51" spans="1:26" x14ac:dyDescent="0.25">
      <c r="A51" s="2" t="s">
        <v>15</v>
      </c>
      <c r="B51" s="2" t="b">
        <v>0</v>
      </c>
      <c r="C51" s="2" t="s">
        <v>3887</v>
      </c>
      <c r="D51" s="2" t="s">
        <v>3888</v>
      </c>
      <c r="E51" s="2" t="s">
        <v>3889</v>
      </c>
      <c r="F51" s="1">
        <v>44288</v>
      </c>
      <c r="G51" s="1">
        <v>0.2951388888888889</v>
      </c>
      <c r="H51" s="1">
        <v>44288</v>
      </c>
      <c r="I51" s="2" t="s">
        <v>616</v>
      </c>
      <c r="J51" s="2" t="s">
        <v>3902</v>
      </c>
      <c r="K51" s="2" t="s">
        <v>24</v>
      </c>
      <c r="L51" s="2" t="s">
        <v>585</v>
      </c>
      <c r="M51" s="2" t="s">
        <v>3903</v>
      </c>
      <c r="N51" s="2" t="s">
        <v>1</v>
      </c>
      <c r="O51" s="2" t="s">
        <v>3902</v>
      </c>
      <c r="P51" s="2" t="s">
        <v>390</v>
      </c>
      <c r="Q51" s="2" t="s">
        <v>3429</v>
      </c>
      <c r="R51" s="2" t="s">
        <v>3430</v>
      </c>
      <c r="S51" s="2" t="s">
        <v>2719</v>
      </c>
      <c r="T51" s="2">
        <v>243912</v>
      </c>
      <c r="U51" s="2" t="s">
        <v>296</v>
      </c>
      <c r="V51" s="2"/>
      <c r="W51" s="1"/>
      <c r="X51" s="2" t="str">
        <f>IF(W51=H51,"CRS","")</f>
        <v/>
      </c>
      <c r="Z51"/>
    </row>
    <row r="52" spans="1:26" x14ac:dyDescent="0.25">
      <c r="A52" s="2" t="s">
        <v>29</v>
      </c>
      <c r="B52" s="2" t="b">
        <v>0</v>
      </c>
      <c r="C52" s="2" t="s">
        <v>3887</v>
      </c>
      <c r="D52" s="2" t="s">
        <v>3888</v>
      </c>
      <c r="E52" s="2" t="s">
        <v>3889</v>
      </c>
      <c r="F52" s="1">
        <v>44288</v>
      </c>
      <c r="G52" s="1">
        <v>0.3743055555555555</v>
      </c>
      <c r="H52" s="1">
        <v>44288</v>
      </c>
      <c r="I52" s="2" t="s">
        <v>3913</v>
      </c>
      <c r="J52" s="2" t="s">
        <v>586</v>
      </c>
      <c r="K52" s="2" t="s">
        <v>24</v>
      </c>
      <c r="L52" s="2" t="s">
        <v>585</v>
      </c>
      <c r="M52" s="2" t="s">
        <v>3914</v>
      </c>
      <c r="N52" s="2" t="s">
        <v>1</v>
      </c>
      <c r="O52" s="2" t="s">
        <v>586</v>
      </c>
      <c r="P52" s="2" t="s">
        <v>294</v>
      </c>
      <c r="Q52" s="2" t="s">
        <v>136</v>
      </c>
      <c r="R52" s="2" t="s">
        <v>3481</v>
      </c>
      <c r="S52" s="2" t="s">
        <v>295</v>
      </c>
      <c r="T52" s="2">
        <v>1270664</v>
      </c>
      <c r="U52" s="2" t="s">
        <v>296</v>
      </c>
      <c r="V52" s="2"/>
      <c r="W52" s="1"/>
      <c r="X52" s="2" t="str">
        <f>IF(W52=H52,"CRS","")</f>
        <v/>
      </c>
      <c r="Z52"/>
    </row>
    <row r="53" spans="1:26" x14ac:dyDescent="0.25">
      <c r="A53" s="2" t="s">
        <v>29</v>
      </c>
      <c r="B53" s="2" t="b">
        <v>0</v>
      </c>
      <c r="C53" s="2" t="s">
        <v>3887</v>
      </c>
      <c r="D53" s="2" t="s">
        <v>3888</v>
      </c>
      <c r="E53" s="2" t="s">
        <v>3889</v>
      </c>
      <c r="F53" s="1">
        <v>44288</v>
      </c>
      <c r="G53" s="1">
        <v>0.4069444444444445</v>
      </c>
      <c r="H53" s="1">
        <v>44288</v>
      </c>
      <c r="I53" s="2" t="s">
        <v>2674</v>
      </c>
      <c r="J53" s="2" t="s">
        <v>586</v>
      </c>
      <c r="K53" s="2" t="s">
        <v>24</v>
      </c>
      <c r="L53" s="2" t="s">
        <v>585</v>
      </c>
      <c r="M53" s="2" t="s">
        <v>3907</v>
      </c>
      <c r="N53" s="2" t="s">
        <v>1</v>
      </c>
      <c r="O53" s="2" t="s">
        <v>586</v>
      </c>
      <c r="P53" s="2" t="s">
        <v>294</v>
      </c>
      <c r="Q53" s="2" t="s">
        <v>3505</v>
      </c>
      <c r="R53" s="2" t="s">
        <v>3506</v>
      </c>
      <c r="S53" s="2" t="s">
        <v>295</v>
      </c>
      <c r="T53" s="2">
        <v>200597</v>
      </c>
      <c r="U53" s="2" t="s">
        <v>296</v>
      </c>
      <c r="V53" s="2"/>
      <c r="W53" s="1"/>
      <c r="Z53"/>
    </row>
    <row r="54" spans="1:26" x14ac:dyDescent="0.25">
      <c r="A54" s="2" t="s">
        <v>15</v>
      </c>
      <c r="B54" s="2" t="b">
        <v>0</v>
      </c>
      <c r="C54" s="2" t="s">
        <v>3887</v>
      </c>
      <c r="D54" s="2" t="s">
        <v>3888</v>
      </c>
      <c r="E54" s="2" t="s">
        <v>3889</v>
      </c>
      <c r="F54" s="1">
        <v>44291</v>
      </c>
      <c r="G54" s="1">
        <v>0.2013888888888889</v>
      </c>
      <c r="H54" s="1">
        <v>44291</v>
      </c>
      <c r="I54" s="2" t="s">
        <v>3235</v>
      </c>
      <c r="J54" s="2" t="s">
        <v>587</v>
      </c>
      <c r="K54" s="2" t="s">
        <v>24</v>
      </c>
      <c r="L54" s="2" t="s">
        <v>585</v>
      </c>
      <c r="M54" s="2" t="s">
        <v>3899</v>
      </c>
      <c r="N54" s="2" t="s">
        <v>1</v>
      </c>
      <c r="O54" s="2" t="s">
        <v>587</v>
      </c>
      <c r="P54" s="2" t="s">
        <v>223</v>
      </c>
      <c r="Q54" s="2" t="s">
        <v>301</v>
      </c>
      <c r="R54" s="2" t="s">
        <v>3456</v>
      </c>
      <c r="S54" s="2" t="s">
        <v>225</v>
      </c>
      <c r="T54" s="2">
        <v>292026</v>
      </c>
      <c r="U54" s="2" t="s">
        <v>226</v>
      </c>
      <c r="V54" s="2"/>
      <c r="W54" s="1"/>
      <c r="Z54"/>
    </row>
    <row r="55" spans="1:26" x14ac:dyDescent="0.25">
      <c r="A55" s="2" t="s">
        <v>15</v>
      </c>
      <c r="B55" s="2" t="b">
        <v>0</v>
      </c>
      <c r="C55" s="2" t="s">
        <v>3887</v>
      </c>
      <c r="D55" s="2" t="s">
        <v>3888</v>
      </c>
      <c r="E55" s="2" t="s">
        <v>3889</v>
      </c>
      <c r="F55" s="1">
        <v>44291</v>
      </c>
      <c r="G55" s="1">
        <v>0.20208333333333336</v>
      </c>
      <c r="H55" s="1">
        <v>44291</v>
      </c>
      <c r="I55" s="2" t="s">
        <v>3897</v>
      </c>
      <c r="J55" s="2" t="s">
        <v>587</v>
      </c>
      <c r="K55" s="2" t="s">
        <v>24</v>
      </c>
      <c r="L55" s="2" t="s">
        <v>585</v>
      </c>
      <c r="M55" s="2" t="s">
        <v>3898</v>
      </c>
      <c r="N55" s="2" t="s">
        <v>1</v>
      </c>
      <c r="O55" s="2" t="s">
        <v>587</v>
      </c>
      <c r="P55" s="2" t="s">
        <v>223</v>
      </c>
      <c r="Q55" s="2" t="s">
        <v>300</v>
      </c>
      <c r="R55" s="2" t="s">
        <v>3458</v>
      </c>
      <c r="S55" s="2" t="s">
        <v>225</v>
      </c>
      <c r="T55" s="2">
        <v>292028</v>
      </c>
      <c r="U55" s="2" t="s">
        <v>226</v>
      </c>
      <c r="V55" s="2"/>
      <c r="W55" s="1"/>
      <c r="Z55"/>
    </row>
    <row r="56" spans="1:26" x14ac:dyDescent="0.25">
      <c r="A56" s="2" t="s">
        <v>15</v>
      </c>
      <c r="B56" s="2" t="b">
        <v>0</v>
      </c>
      <c r="C56" s="2" t="s">
        <v>3887</v>
      </c>
      <c r="D56" s="2" t="s">
        <v>3888</v>
      </c>
      <c r="E56" s="2" t="s">
        <v>3889</v>
      </c>
      <c r="F56" s="1">
        <v>44291</v>
      </c>
      <c r="G56" s="1">
        <v>0.20277777777777775</v>
      </c>
      <c r="H56" s="1">
        <v>44291</v>
      </c>
      <c r="I56" s="2" t="s">
        <v>3895</v>
      </c>
      <c r="J56" s="2" t="s">
        <v>587</v>
      </c>
      <c r="K56" s="2" t="s">
        <v>24</v>
      </c>
      <c r="L56" s="2" t="s">
        <v>585</v>
      </c>
      <c r="M56" s="2" t="s">
        <v>3896</v>
      </c>
      <c r="N56" s="2" t="s">
        <v>1</v>
      </c>
      <c r="O56" s="2" t="s">
        <v>587</v>
      </c>
      <c r="P56" s="2" t="s">
        <v>223</v>
      </c>
      <c r="Q56" s="2" t="s">
        <v>522</v>
      </c>
      <c r="R56" s="2" t="s">
        <v>3521</v>
      </c>
      <c r="S56" s="2" t="s">
        <v>225</v>
      </c>
      <c r="T56" s="2">
        <v>293029</v>
      </c>
      <c r="U56" s="2" t="s">
        <v>226</v>
      </c>
      <c r="V56" s="2"/>
      <c r="W56" s="1"/>
      <c r="Z56"/>
    </row>
    <row r="57" spans="1:26" x14ac:dyDescent="0.25">
      <c r="A57" s="2" t="s">
        <v>15</v>
      </c>
      <c r="B57" s="2" t="b">
        <v>0</v>
      </c>
      <c r="C57" s="2" t="s">
        <v>3887</v>
      </c>
      <c r="D57" s="2" t="s">
        <v>3888</v>
      </c>
      <c r="E57" s="2" t="s">
        <v>3889</v>
      </c>
      <c r="F57" s="1">
        <v>44291</v>
      </c>
      <c r="G57" s="1">
        <v>0.41249999999999998</v>
      </c>
      <c r="H57" s="1">
        <v>44291</v>
      </c>
      <c r="I57" s="2" t="s">
        <v>3893</v>
      </c>
      <c r="J57" s="2" t="s">
        <v>604</v>
      </c>
      <c r="K57" s="2" t="s">
        <v>24</v>
      </c>
      <c r="L57" s="2" t="s">
        <v>585</v>
      </c>
      <c r="M57" s="2" t="s">
        <v>3894</v>
      </c>
      <c r="N57" s="2" t="s">
        <v>1</v>
      </c>
      <c r="O57" s="2" t="s">
        <v>604</v>
      </c>
      <c r="P57" s="2" t="s">
        <v>400</v>
      </c>
      <c r="Q57" s="2" t="s">
        <v>565</v>
      </c>
      <c r="R57" s="2" t="s">
        <v>3629</v>
      </c>
      <c r="S57" s="2" t="s">
        <v>401</v>
      </c>
      <c r="T57" s="2">
        <v>289403</v>
      </c>
      <c r="U57" s="2" t="s">
        <v>142</v>
      </c>
      <c r="V57" s="2"/>
      <c r="W57" s="1"/>
      <c r="Z57"/>
    </row>
    <row r="58" spans="1:26" x14ac:dyDescent="0.25">
      <c r="A58" s="2" t="s">
        <v>15</v>
      </c>
      <c r="B58" s="2" t="b">
        <v>0</v>
      </c>
      <c r="C58" s="2" t="s">
        <v>3887</v>
      </c>
      <c r="D58" s="2" t="s">
        <v>3888</v>
      </c>
      <c r="E58" s="2" t="s">
        <v>3889</v>
      </c>
      <c r="F58" s="1">
        <v>44291</v>
      </c>
      <c r="G58" s="1">
        <v>0.41666666666666674</v>
      </c>
      <c r="H58" s="1">
        <v>44291</v>
      </c>
      <c r="I58" s="2" t="s">
        <v>3231</v>
      </c>
      <c r="J58" s="2" t="s">
        <v>604</v>
      </c>
      <c r="K58" s="2" t="s">
        <v>24</v>
      </c>
      <c r="L58" s="2" t="s">
        <v>585</v>
      </c>
      <c r="M58" s="2" t="s">
        <v>3890</v>
      </c>
      <c r="N58" s="2" t="s">
        <v>1</v>
      </c>
      <c r="O58" s="2" t="s">
        <v>604</v>
      </c>
      <c r="P58" s="2" t="s">
        <v>139</v>
      </c>
      <c r="Q58" s="2" t="s">
        <v>3790</v>
      </c>
      <c r="R58" s="2" t="s">
        <v>3791</v>
      </c>
      <c r="S58" s="2" t="s">
        <v>141</v>
      </c>
      <c r="T58" s="2">
        <v>265313</v>
      </c>
      <c r="U58" s="2" t="s">
        <v>142</v>
      </c>
      <c r="V58" s="2"/>
      <c r="W58" s="1"/>
      <c r="Z58"/>
    </row>
    <row r="59" spans="1:26" x14ac:dyDescent="0.25">
      <c r="A59" s="2" t="s">
        <v>15</v>
      </c>
      <c r="B59" s="2" t="b">
        <v>0</v>
      </c>
      <c r="C59" s="2" t="s">
        <v>3887</v>
      </c>
      <c r="D59" s="2" t="s">
        <v>3888</v>
      </c>
      <c r="E59" s="2" t="s">
        <v>3889</v>
      </c>
      <c r="F59" s="1">
        <v>44291</v>
      </c>
      <c r="G59" s="1">
        <v>0.41249999999999998</v>
      </c>
      <c r="H59" s="1">
        <v>44291</v>
      </c>
      <c r="I59" s="2" t="s">
        <v>3893</v>
      </c>
      <c r="J59" s="2" t="s">
        <v>604</v>
      </c>
      <c r="K59" s="2" t="s">
        <v>24</v>
      </c>
      <c r="L59" s="2" t="s">
        <v>585</v>
      </c>
      <c r="M59" s="2" t="s">
        <v>3894</v>
      </c>
      <c r="N59" s="2" t="s">
        <v>1</v>
      </c>
      <c r="O59" s="2" t="s">
        <v>604</v>
      </c>
      <c r="P59" s="2" t="s">
        <v>139</v>
      </c>
      <c r="Q59" s="2" t="s">
        <v>159</v>
      </c>
      <c r="R59" s="2" t="s">
        <v>3629</v>
      </c>
      <c r="S59" s="2" t="s">
        <v>141</v>
      </c>
      <c r="T59" s="2">
        <v>312870</v>
      </c>
      <c r="U59" s="2" t="s">
        <v>142</v>
      </c>
      <c r="V59" s="2"/>
      <c r="W59" s="1"/>
      <c r="Z59"/>
    </row>
    <row r="60" spans="1:26" x14ac:dyDescent="0.25">
      <c r="A60" s="2"/>
      <c r="B60" s="2"/>
      <c r="C60" s="2"/>
      <c r="D60" s="2"/>
      <c r="E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 t="s">
        <v>3887</v>
      </c>
      <c r="W60" s="1">
        <v>44277</v>
      </c>
      <c r="Z60"/>
    </row>
    <row r="61" spans="1:26" x14ac:dyDescent="0.25">
      <c r="F61"/>
      <c r="G61"/>
      <c r="H61"/>
      <c r="Z61"/>
    </row>
    <row r="62" spans="1:26" x14ac:dyDescent="0.25">
      <c r="F62"/>
      <c r="G62"/>
      <c r="H62"/>
      <c r="Z62"/>
    </row>
    <row r="63" spans="1:26" x14ac:dyDescent="0.25">
      <c r="F63"/>
      <c r="G63"/>
      <c r="H63"/>
      <c r="Z63"/>
    </row>
    <row r="64" spans="1:26" x14ac:dyDescent="0.25">
      <c r="F64"/>
      <c r="G64"/>
      <c r="H64"/>
      <c r="Z64"/>
    </row>
    <row r="65" spans="6:26" x14ac:dyDescent="0.25">
      <c r="F65"/>
      <c r="G65"/>
      <c r="H65"/>
      <c r="Z65"/>
    </row>
    <row r="66" spans="6:26" x14ac:dyDescent="0.25">
      <c r="F66"/>
      <c r="G66"/>
      <c r="H66"/>
      <c r="Z66"/>
    </row>
    <row r="67" spans="6:26" x14ac:dyDescent="0.25">
      <c r="F67"/>
      <c r="G67"/>
      <c r="H67"/>
      <c r="Z67"/>
    </row>
    <row r="68" spans="6:26" x14ac:dyDescent="0.25">
      <c r="F68"/>
      <c r="G68"/>
      <c r="H68"/>
      <c r="Z68"/>
    </row>
    <row r="69" spans="6:26" x14ac:dyDescent="0.25">
      <c r="F69"/>
      <c r="G69"/>
      <c r="H69"/>
      <c r="Z69"/>
    </row>
    <row r="70" spans="6:26" x14ac:dyDescent="0.25">
      <c r="F70"/>
      <c r="G70"/>
      <c r="H70"/>
      <c r="Z70"/>
    </row>
    <row r="71" spans="6:26" x14ac:dyDescent="0.25">
      <c r="F71"/>
      <c r="G71"/>
      <c r="H71"/>
      <c r="Z71"/>
    </row>
    <row r="72" spans="6:26" x14ac:dyDescent="0.25">
      <c r="F72"/>
      <c r="G72"/>
      <c r="H72"/>
      <c r="Z72"/>
    </row>
    <row r="73" spans="6:26" x14ac:dyDescent="0.25">
      <c r="F73"/>
      <c r="G73"/>
      <c r="H73"/>
      <c r="Z73"/>
    </row>
    <row r="74" spans="6:26" x14ac:dyDescent="0.25">
      <c r="F74"/>
      <c r="G74"/>
      <c r="H74"/>
      <c r="Z74"/>
    </row>
    <row r="75" spans="6:26" x14ac:dyDescent="0.25">
      <c r="F75"/>
      <c r="G75"/>
      <c r="H75"/>
      <c r="Z75"/>
    </row>
    <row r="76" spans="6:26" x14ac:dyDescent="0.25">
      <c r="F76"/>
      <c r="G76"/>
      <c r="H76"/>
      <c r="Z76"/>
    </row>
    <row r="77" spans="6:26" x14ac:dyDescent="0.25">
      <c r="F77"/>
      <c r="G77"/>
      <c r="H77"/>
      <c r="Z77"/>
    </row>
    <row r="78" spans="6:26" x14ac:dyDescent="0.25">
      <c r="F78"/>
      <c r="G78"/>
      <c r="H78"/>
      <c r="Z78"/>
    </row>
    <row r="79" spans="6:26" x14ac:dyDescent="0.25">
      <c r="F79"/>
      <c r="G79"/>
      <c r="H79"/>
      <c r="Z79"/>
    </row>
    <row r="80" spans="6:26" x14ac:dyDescent="0.25">
      <c r="F80"/>
      <c r="G80"/>
      <c r="H80"/>
      <c r="Z80"/>
    </row>
    <row r="81" spans="6:26" x14ac:dyDescent="0.25">
      <c r="F81"/>
      <c r="G81"/>
      <c r="H81"/>
      <c r="Z81"/>
    </row>
    <row r="82" spans="6:26" x14ac:dyDescent="0.25">
      <c r="F82"/>
      <c r="G82"/>
      <c r="H82"/>
      <c r="Z82"/>
    </row>
    <row r="83" spans="6:26" x14ac:dyDescent="0.25">
      <c r="F83"/>
      <c r="G83"/>
      <c r="H83"/>
      <c r="Z83"/>
    </row>
    <row r="84" spans="6:26" x14ac:dyDescent="0.25">
      <c r="F84"/>
      <c r="G84"/>
      <c r="H84"/>
      <c r="Z84"/>
    </row>
    <row r="85" spans="6:26" x14ac:dyDescent="0.25">
      <c r="F85"/>
      <c r="G85"/>
      <c r="H85"/>
      <c r="Z85"/>
    </row>
    <row r="86" spans="6:26" x14ac:dyDescent="0.25">
      <c r="F86"/>
      <c r="G86"/>
      <c r="H86"/>
      <c r="Z86"/>
    </row>
    <row r="87" spans="6:26" x14ac:dyDescent="0.25">
      <c r="F87"/>
      <c r="G87"/>
      <c r="H87"/>
      <c r="Z87"/>
    </row>
    <row r="88" spans="6:26" x14ac:dyDescent="0.25">
      <c r="F88"/>
      <c r="G88"/>
      <c r="H88"/>
      <c r="Z88"/>
    </row>
    <row r="89" spans="6:26" x14ac:dyDescent="0.25">
      <c r="F89"/>
      <c r="G89"/>
      <c r="H89"/>
      <c r="Z89"/>
    </row>
    <row r="90" spans="6:26" x14ac:dyDescent="0.25">
      <c r="F90"/>
      <c r="G90"/>
      <c r="H90"/>
      <c r="Z90"/>
    </row>
    <row r="91" spans="6:26" x14ac:dyDescent="0.25">
      <c r="F91"/>
      <c r="G91"/>
      <c r="H91"/>
      <c r="Z91"/>
    </row>
    <row r="92" spans="6:26" x14ac:dyDescent="0.25">
      <c r="F92"/>
      <c r="G92"/>
      <c r="H92"/>
      <c r="Z92"/>
    </row>
    <row r="93" spans="6:26" x14ac:dyDescent="0.25">
      <c r="F93"/>
      <c r="G93"/>
      <c r="H93"/>
      <c r="Z93"/>
    </row>
    <row r="94" spans="6:26" x14ac:dyDescent="0.25">
      <c r="F94"/>
      <c r="G94"/>
      <c r="H94"/>
      <c r="Z94"/>
    </row>
    <row r="95" spans="6:26" x14ac:dyDescent="0.25">
      <c r="F95"/>
      <c r="G95"/>
      <c r="H95"/>
      <c r="Z95"/>
    </row>
    <row r="96" spans="6:26" x14ac:dyDescent="0.25">
      <c r="F96"/>
      <c r="G96"/>
      <c r="H96"/>
      <c r="Z96"/>
    </row>
    <row r="97" spans="6:26" x14ac:dyDescent="0.25">
      <c r="F97"/>
      <c r="G97"/>
      <c r="H97"/>
      <c r="Z97"/>
    </row>
    <row r="98" spans="6:26" x14ac:dyDescent="0.25">
      <c r="F98"/>
      <c r="G98"/>
      <c r="H98"/>
      <c r="Z98"/>
    </row>
    <row r="99" spans="6:26" x14ac:dyDescent="0.25">
      <c r="F99"/>
      <c r="G99"/>
      <c r="H99"/>
      <c r="Z99"/>
    </row>
    <row r="100" spans="6:26" x14ac:dyDescent="0.25">
      <c r="F100"/>
      <c r="G100"/>
      <c r="H100"/>
    </row>
    <row r="101" spans="6:26" x14ac:dyDescent="0.25">
      <c r="F101"/>
      <c r="G101"/>
      <c r="H101"/>
    </row>
    <row r="102" spans="6:26" x14ac:dyDescent="0.25">
      <c r="F102"/>
      <c r="G102"/>
      <c r="H102"/>
    </row>
    <row r="103" spans="6:26" x14ac:dyDescent="0.25">
      <c r="F103"/>
      <c r="G103"/>
      <c r="H103"/>
    </row>
    <row r="104" spans="6:26" x14ac:dyDescent="0.25">
      <c r="F104"/>
      <c r="G104"/>
      <c r="H104"/>
    </row>
    <row r="105" spans="6:26" x14ac:dyDescent="0.25">
      <c r="F105"/>
      <c r="G105"/>
      <c r="H105"/>
    </row>
    <row r="106" spans="6:26" x14ac:dyDescent="0.25">
      <c r="F106"/>
      <c r="G106"/>
      <c r="H106"/>
    </row>
    <row r="107" spans="6:26" x14ac:dyDescent="0.25">
      <c r="F107"/>
      <c r="G107"/>
      <c r="H107"/>
    </row>
    <row r="108" spans="6:26" x14ac:dyDescent="0.25">
      <c r="F108"/>
      <c r="G108"/>
      <c r="H108"/>
    </row>
    <row r="109" spans="6:26" x14ac:dyDescent="0.25">
      <c r="F109"/>
      <c r="G109"/>
      <c r="H109"/>
    </row>
    <row r="110" spans="6:26" x14ac:dyDescent="0.25">
      <c r="F110"/>
      <c r="G110"/>
      <c r="H110"/>
    </row>
    <row r="111" spans="6:26" x14ac:dyDescent="0.25">
      <c r="F111"/>
      <c r="G111"/>
      <c r="H111"/>
    </row>
    <row r="112" spans="6:26" x14ac:dyDescent="0.25">
      <c r="F112"/>
      <c r="G112"/>
      <c r="H112"/>
    </row>
    <row r="113" spans="6:8" x14ac:dyDescent="0.25">
      <c r="F113"/>
      <c r="G113"/>
      <c r="H113"/>
    </row>
    <row r="114" spans="6:8" x14ac:dyDescent="0.25">
      <c r="F114"/>
      <c r="G114"/>
      <c r="H114"/>
    </row>
    <row r="115" spans="6:8" x14ac:dyDescent="0.25">
      <c r="F115"/>
      <c r="G115"/>
      <c r="H115"/>
    </row>
    <row r="116" spans="6:8" x14ac:dyDescent="0.25">
      <c r="F116"/>
      <c r="G116"/>
      <c r="H116"/>
    </row>
    <row r="117" spans="6:8" x14ac:dyDescent="0.25">
      <c r="F117"/>
      <c r="G117"/>
      <c r="H117"/>
    </row>
    <row r="118" spans="6:8" x14ac:dyDescent="0.25">
      <c r="F118"/>
      <c r="G118"/>
      <c r="H118"/>
    </row>
    <row r="119" spans="6:8" x14ac:dyDescent="0.25">
      <c r="F119"/>
      <c r="G119"/>
      <c r="H119"/>
    </row>
    <row r="120" spans="6:8" x14ac:dyDescent="0.25">
      <c r="F120"/>
      <c r="G120"/>
      <c r="H120"/>
    </row>
    <row r="121" spans="6:8" x14ac:dyDescent="0.25">
      <c r="F121"/>
      <c r="G121"/>
      <c r="H121"/>
    </row>
    <row r="122" spans="6:8" x14ac:dyDescent="0.25">
      <c r="F122"/>
      <c r="G122"/>
      <c r="H122"/>
    </row>
    <row r="123" spans="6:8" x14ac:dyDescent="0.25">
      <c r="F123"/>
      <c r="G123"/>
      <c r="H123"/>
    </row>
    <row r="124" spans="6:8" x14ac:dyDescent="0.25">
      <c r="F124"/>
      <c r="G124"/>
      <c r="H124"/>
    </row>
    <row r="125" spans="6:8" x14ac:dyDescent="0.25">
      <c r="F125"/>
      <c r="G125"/>
      <c r="H125"/>
    </row>
    <row r="126" spans="6:8" x14ac:dyDescent="0.25">
      <c r="F126"/>
      <c r="G126"/>
      <c r="H126"/>
    </row>
    <row r="127" spans="6:8" x14ac:dyDescent="0.25">
      <c r="F127"/>
      <c r="G127"/>
      <c r="H127"/>
    </row>
    <row r="128" spans="6:8" x14ac:dyDescent="0.25">
      <c r="F128"/>
      <c r="G128"/>
      <c r="H128"/>
    </row>
    <row r="129" spans="6:8" x14ac:dyDescent="0.25">
      <c r="F129"/>
      <c r="G129"/>
      <c r="H129"/>
    </row>
    <row r="130" spans="6:8" x14ac:dyDescent="0.25">
      <c r="F130"/>
      <c r="G130"/>
      <c r="H130"/>
    </row>
    <row r="131" spans="6:8" x14ac:dyDescent="0.25">
      <c r="F131"/>
      <c r="G131"/>
      <c r="H131"/>
    </row>
    <row r="132" spans="6:8" x14ac:dyDescent="0.25">
      <c r="F132"/>
      <c r="G132"/>
      <c r="H132"/>
    </row>
    <row r="133" spans="6:8" x14ac:dyDescent="0.25">
      <c r="F133"/>
      <c r="G133"/>
      <c r="H133"/>
    </row>
    <row r="134" spans="6:8" x14ac:dyDescent="0.25">
      <c r="F134"/>
      <c r="G134"/>
      <c r="H134"/>
    </row>
    <row r="135" spans="6:8" x14ac:dyDescent="0.25">
      <c r="F135"/>
      <c r="G135"/>
      <c r="H135"/>
    </row>
    <row r="136" spans="6:8" x14ac:dyDescent="0.25">
      <c r="F136"/>
      <c r="G136"/>
      <c r="H136"/>
    </row>
    <row r="137" spans="6:8" x14ac:dyDescent="0.25">
      <c r="F137"/>
      <c r="G137"/>
      <c r="H137"/>
    </row>
    <row r="138" spans="6:8" x14ac:dyDescent="0.25">
      <c r="F138"/>
      <c r="G138"/>
      <c r="H138"/>
    </row>
    <row r="139" spans="6:8" x14ac:dyDescent="0.25">
      <c r="F139"/>
      <c r="G139"/>
      <c r="H139"/>
    </row>
    <row r="140" spans="6:8" x14ac:dyDescent="0.25">
      <c r="F140"/>
      <c r="G140"/>
      <c r="H140"/>
    </row>
    <row r="141" spans="6:8" x14ac:dyDescent="0.25">
      <c r="F141"/>
      <c r="G141"/>
      <c r="H141"/>
    </row>
    <row r="142" spans="6:8" x14ac:dyDescent="0.25">
      <c r="F142"/>
      <c r="G142"/>
      <c r="H142"/>
    </row>
    <row r="143" spans="6:8" x14ac:dyDescent="0.25">
      <c r="F143"/>
      <c r="G143"/>
      <c r="H143"/>
    </row>
    <row r="144" spans="6:8" x14ac:dyDescent="0.25">
      <c r="F144"/>
      <c r="G144"/>
      <c r="H144"/>
    </row>
    <row r="145" spans="6:8" x14ac:dyDescent="0.25">
      <c r="F145"/>
      <c r="G145"/>
      <c r="H145"/>
    </row>
    <row r="146" spans="6:8" x14ac:dyDescent="0.25">
      <c r="F146"/>
      <c r="G146"/>
      <c r="H146"/>
    </row>
    <row r="147" spans="6:8" x14ac:dyDescent="0.25">
      <c r="F147"/>
      <c r="G147"/>
      <c r="H147"/>
    </row>
    <row r="148" spans="6:8" x14ac:dyDescent="0.25">
      <c r="F148"/>
      <c r="G148"/>
      <c r="H148"/>
    </row>
    <row r="149" spans="6:8" x14ac:dyDescent="0.25">
      <c r="F149"/>
      <c r="G149"/>
      <c r="H149"/>
    </row>
    <row r="150" spans="6:8" x14ac:dyDescent="0.25">
      <c r="F150"/>
      <c r="G150"/>
      <c r="H150"/>
    </row>
    <row r="151" spans="6:8" x14ac:dyDescent="0.25">
      <c r="F151"/>
      <c r="G151"/>
      <c r="H151"/>
    </row>
    <row r="152" spans="6:8" x14ac:dyDescent="0.25">
      <c r="F152"/>
      <c r="G152"/>
      <c r="H152"/>
    </row>
    <row r="153" spans="6:8" x14ac:dyDescent="0.25">
      <c r="F153"/>
      <c r="G153"/>
      <c r="H153"/>
    </row>
    <row r="154" spans="6:8" x14ac:dyDescent="0.25">
      <c r="F154"/>
      <c r="G154"/>
      <c r="H154"/>
    </row>
    <row r="155" spans="6:8" x14ac:dyDescent="0.25">
      <c r="F155"/>
      <c r="G155"/>
      <c r="H155"/>
    </row>
    <row r="156" spans="6:8" x14ac:dyDescent="0.25">
      <c r="F156"/>
      <c r="G156"/>
      <c r="H156"/>
    </row>
    <row r="157" spans="6:8" x14ac:dyDescent="0.25">
      <c r="F157"/>
      <c r="G157"/>
      <c r="H157"/>
    </row>
    <row r="158" spans="6:8" x14ac:dyDescent="0.25">
      <c r="F158"/>
      <c r="G158"/>
      <c r="H158"/>
    </row>
    <row r="159" spans="6:8" x14ac:dyDescent="0.25">
      <c r="F159"/>
      <c r="G159"/>
      <c r="H159"/>
    </row>
    <row r="160" spans="6:8" x14ac:dyDescent="0.25">
      <c r="F160"/>
      <c r="G160"/>
      <c r="H160"/>
    </row>
    <row r="161" spans="6:8" x14ac:dyDescent="0.25">
      <c r="F161"/>
      <c r="G161"/>
      <c r="H161"/>
    </row>
    <row r="162" spans="6:8" x14ac:dyDescent="0.25">
      <c r="F162"/>
      <c r="G162"/>
      <c r="H162"/>
    </row>
    <row r="163" spans="6:8" x14ac:dyDescent="0.25">
      <c r="F163"/>
      <c r="G163"/>
      <c r="H163"/>
    </row>
    <row r="164" spans="6:8" x14ac:dyDescent="0.25">
      <c r="F164"/>
      <c r="G164"/>
      <c r="H164"/>
    </row>
    <row r="165" spans="6:8" x14ac:dyDescent="0.25">
      <c r="F165"/>
      <c r="G165"/>
      <c r="H165"/>
    </row>
    <row r="166" spans="6:8" x14ac:dyDescent="0.25">
      <c r="F166"/>
      <c r="G166"/>
      <c r="H166"/>
    </row>
    <row r="167" spans="6:8" x14ac:dyDescent="0.25">
      <c r="F167"/>
      <c r="G167"/>
      <c r="H167"/>
    </row>
    <row r="168" spans="6:8" x14ac:dyDescent="0.25">
      <c r="F168"/>
      <c r="G168"/>
      <c r="H168"/>
    </row>
    <row r="169" spans="6:8" x14ac:dyDescent="0.25">
      <c r="F169"/>
      <c r="G169"/>
      <c r="H169"/>
    </row>
    <row r="170" spans="6:8" x14ac:dyDescent="0.25">
      <c r="F170"/>
      <c r="G170"/>
      <c r="H170"/>
    </row>
    <row r="171" spans="6:8" x14ac:dyDescent="0.25">
      <c r="F171"/>
      <c r="G171"/>
      <c r="H171"/>
    </row>
    <row r="172" spans="6:8" x14ac:dyDescent="0.25">
      <c r="F172"/>
      <c r="G172"/>
      <c r="H172"/>
    </row>
    <row r="173" spans="6:8" x14ac:dyDescent="0.25">
      <c r="F173"/>
      <c r="G173"/>
      <c r="H173"/>
    </row>
    <row r="174" spans="6:8" x14ac:dyDescent="0.25">
      <c r="F174"/>
      <c r="G174"/>
      <c r="H174"/>
    </row>
    <row r="175" spans="6:8" x14ac:dyDescent="0.25">
      <c r="F175"/>
      <c r="G175"/>
      <c r="H175"/>
    </row>
    <row r="176" spans="6:8" x14ac:dyDescent="0.25">
      <c r="F176"/>
      <c r="G176"/>
      <c r="H176"/>
    </row>
    <row r="177" spans="6:8" x14ac:dyDescent="0.25">
      <c r="F177"/>
      <c r="G177"/>
      <c r="H177"/>
    </row>
    <row r="178" spans="6:8" x14ac:dyDescent="0.25">
      <c r="F178"/>
      <c r="G178"/>
      <c r="H178"/>
    </row>
    <row r="179" spans="6:8" x14ac:dyDescent="0.25">
      <c r="F179"/>
      <c r="G179"/>
      <c r="H179"/>
    </row>
    <row r="180" spans="6:8" x14ac:dyDescent="0.25">
      <c r="F180"/>
      <c r="G180"/>
      <c r="H180"/>
    </row>
    <row r="181" spans="6:8" x14ac:dyDescent="0.25">
      <c r="F181"/>
      <c r="G181"/>
      <c r="H181"/>
    </row>
    <row r="182" spans="6:8" x14ac:dyDescent="0.25">
      <c r="F182"/>
      <c r="G182"/>
      <c r="H182"/>
    </row>
    <row r="183" spans="6:8" x14ac:dyDescent="0.25">
      <c r="F183"/>
      <c r="G183"/>
      <c r="H183"/>
    </row>
    <row r="184" spans="6:8" x14ac:dyDescent="0.25">
      <c r="F184"/>
      <c r="G184"/>
      <c r="H184"/>
    </row>
    <row r="185" spans="6:8" x14ac:dyDescent="0.25">
      <c r="F185"/>
      <c r="G185"/>
      <c r="H185"/>
    </row>
    <row r="186" spans="6:8" x14ac:dyDescent="0.25">
      <c r="F186"/>
      <c r="G186"/>
      <c r="H186"/>
    </row>
    <row r="187" spans="6:8" x14ac:dyDescent="0.25">
      <c r="F187"/>
      <c r="G187"/>
      <c r="H187"/>
    </row>
    <row r="188" spans="6:8" x14ac:dyDescent="0.25">
      <c r="F188"/>
      <c r="G188"/>
      <c r="H188"/>
    </row>
    <row r="189" spans="6:8" x14ac:dyDescent="0.25">
      <c r="F189"/>
      <c r="G189"/>
      <c r="H189"/>
    </row>
    <row r="190" spans="6:8" x14ac:dyDescent="0.25">
      <c r="F190"/>
      <c r="G190"/>
      <c r="H190"/>
    </row>
    <row r="191" spans="6:8" x14ac:dyDescent="0.25">
      <c r="F191"/>
      <c r="G191"/>
      <c r="H191"/>
    </row>
    <row r="192" spans="6:8" x14ac:dyDescent="0.25">
      <c r="F192"/>
      <c r="G192"/>
      <c r="H192"/>
    </row>
    <row r="193" spans="6:8" x14ac:dyDescent="0.25">
      <c r="F193"/>
      <c r="G193"/>
      <c r="H193"/>
    </row>
    <row r="194" spans="6:8" x14ac:dyDescent="0.25">
      <c r="F194"/>
      <c r="G194"/>
      <c r="H194"/>
    </row>
    <row r="195" spans="6:8" x14ac:dyDescent="0.25">
      <c r="F195"/>
      <c r="G195"/>
      <c r="H195"/>
    </row>
    <row r="196" spans="6:8" x14ac:dyDescent="0.25">
      <c r="F196"/>
      <c r="G196"/>
      <c r="H196"/>
    </row>
    <row r="197" spans="6:8" x14ac:dyDescent="0.25">
      <c r="F197"/>
      <c r="G197"/>
      <c r="H197"/>
    </row>
    <row r="198" spans="6:8" x14ac:dyDescent="0.25">
      <c r="F198"/>
      <c r="G198"/>
      <c r="H198"/>
    </row>
    <row r="199" spans="6:8" x14ac:dyDescent="0.25">
      <c r="F199"/>
      <c r="G199"/>
      <c r="H199"/>
    </row>
    <row r="200" spans="6:8" x14ac:dyDescent="0.25">
      <c r="F200"/>
      <c r="G200"/>
      <c r="H200"/>
    </row>
    <row r="201" spans="6:8" x14ac:dyDescent="0.25">
      <c r="F201"/>
      <c r="G201"/>
      <c r="H201"/>
    </row>
    <row r="202" spans="6:8" x14ac:dyDescent="0.25">
      <c r="F202"/>
      <c r="G202"/>
      <c r="H202"/>
    </row>
    <row r="203" spans="6:8" x14ac:dyDescent="0.25">
      <c r="F203"/>
      <c r="G203"/>
      <c r="H203"/>
    </row>
    <row r="204" spans="6:8" x14ac:dyDescent="0.25">
      <c r="F204"/>
      <c r="G204"/>
      <c r="H204"/>
    </row>
    <row r="205" spans="6:8" x14ac:dyDescent="0.25">
      <c r="F205"/>
      <c r="G205"/>
      <c r="H205"/>
    </row>
    <row r="206" spans="6:8" x14ac:dyDescent="0.25">
      <c r="F206"/>
      <c r="G206"/>
      <c r="H206"/>
    </row>
    <row r="207" spans="6:8" x14ac:dyDescent="0.25">
      <c r="F207"/>
      <c r="G207"/>
      <c r="H207"/>
    </row>
    <row r="208" spans="6:8" x14ac:dyDescent="0.25">
      <c r="F208"/>
      <c r="G208"/>
      <c r="H208"/>
    </row>
    <row r="209" spans="6:8" x14ac:dyDescent="0.25">
      <c r="F209"/>
      <c r="G209"/>
      <c r="H209"/>
    </row>
    <row r="210" spans="6:8" x14ac:dyDescent="0.25">
      <c r="F210"/>
      <c r="G210"/>
      <c r="H210"/>
    </row>
    <row r="211" spans="6:8" x14ac:dyDescent="0.25">
      <c r="F211"/>
      <c r="G211"/>
      <c r="H211"/>
    </row>
    <row r="212" spans="6:8" x14ac:dyDescent="0.25">
      <c r="F212"/>
      <c r="G212"/>
      <c r="H212"/>
    </row>
    <row r="213" spans="6:8" x14ac:dyDescent="0.25">
      <c r="F213"/>
      <c r="G213"/>
      <c r="H213"/>
    </row>
    <row r="214" spans="6:8" x14ac:dyDescent="0.25">
      <c r="F214"/>
      <c r="G214"/>
      <c r="H214"/>
    </row>
    <row r="215" spans="6:8" x14ac:dyDescent="0.25">
      <c r="F215"/>
      <c r="G215"/>
      <c r="H215"/>
    </row>
    <row r="216" spans="6:8" x14ac:dyDescent="0.25">
      <c r="F216"/>
      <c r="G216"/>
      <c r="H216"/>
    </row>
    <row r="217" spans="6:8" x14ac:dyDescent="0.25">
      <c r="F217"/>
      <c r="G217"/>
      <c r="H217"/>
    </row>
    <row r="218" spans="6:8" x14ac:dyDescent="0.25">
      <c r="F218"/>
      <c r="G218"/>
      <c r="H218"/>
    </row>
    <row r="219" spans="6:8" x14ac:dyDescent="0.25">
      <c r="F219"/>
      <c r="G219"/>
      <c r="H219"/>
    </row>
    <row r="220" spans="6:8" x14ac:dyDescent="0.25">
      <c r="F220"/>
      <c r="G220"/>
      <c r="H220"/>
    </row>
    <row r="221" spans="6:8" x14ac:dyDescent="0.25">
      <c r="F221"/>
      <c r="G221"/>
      <c r="H221"/>
    </row>
    <row r="222" spans="6:8" x14ac:dyDescent="0.25">
      <c r="F222"/>
      <c r="G222"/>
      <c r="H222"/>
    </row>
    <row r="223" spans="6:8" x14ac:dyDescent="0.25">
      <c r="F223"/>
      <c r="G223"/>
      <c r="H223"/>
    </row>
    <row r="224" spans="6:8" x14ac:dyDescent="0.25">
      <c r="F224"/>
      <c r="G224"/>
      <c r="H224"/>
    </row>
    <row r="225" spans="6:8" x14ac:dyDescent="0.25">
      <c r="F225"/>
      <c r="G225"/>
      <c r="H225"/>
    </row>
    <row r="226" spans="6:8" x14ac:dyDescent="0.25">
      <c r="F226"/>
      <c r="G226"/>
      <c r="H226"/>
    </row>
    <row r="227" spans="6:8" x14ac:dyDescent="0.25">
      <c r="F227"/>
      <c r="G227"/>
      <c r="H227"/>
    </row>
    <row r="228" spans="6:8" x14ac:dyDescent="0.25">
      <c r="F228"/>
      <c r="G228"/>
      <c r="H228"/>
    </row>
    <row r="229" spans="6:8" x14ac:dyDescent="0.25">
      <c r="F229"/>
      <c r="G229"/>
      <c r="H229"/>
    </row>
    <row r="230" spans="6:8" x14ac:dyDescent="0.25">
      <c r="F230"/>
      <c r="G230"/>
      <c r="H230"/>
    </row>
    <row r="231" spans="6:8" x14ac:dyDescent="0.25">
      <c r="F231"/>
      <c r="G231"/>
      <c r="H231"/>
    </row>
    <row r="232" spans="6:8" x14ac:dyDescent="0.25">
      <c r="F232"/>
      <c r="G232"/>
      <c r="H232"/>
    </row>
    <row r="233" spans="6:8" x14ac:dyDescent="0.25">
      <c r="F233"/>
      <c r="G233"/>
      <c r="H233"/>
    </row>
    <row r="234" spans="6:8" x14ac:dyDescent="0.25">
      <c r="F234"/>
      <c r="G234"/>
      <c r="H234"/>
    </row>
    <row r="235" spans="6:8" x14ac:dyDescent="0.25">
      <c r="F235"/>
      <c r="G235"/>
      <c r="H235"/>
    </row>
    <row r="236" spans="6:8" x14ac:dyDescent="0.25">
      <c r="F236"/>
      <c r="G236"/>
      <c r="H236"/>
    </row>
    <row r="237" spans="6:8" x14ac:dyDescent="0.25">
      <c r="F237"/>
      <c r="G237"/>
      <c r="H237"/>
    </row>
    <row r="238" spans="6:8" x14ac:dyDescent="0.25">
      <c r="F238"/>
      <c r="G238"/>
      <c r="H238"/>
    </row>
    <row r="239" spans="6:8" x14ac:dyDescent="0.25">
      <c r="F239"/>
      <c r="G239"/>
      <c r="H239"/>
    </row>
    <row r="240" spans="6:8" x14ac:dyDescent="0.25">
      <c r="F240"/>
      <c r="G240"/>
      <c r="H240"/>
    </row>
    <row r="241" spans="6:8" x14ac:dyDescent="0.25">
      <c r="F241"/>
      <c r="G241"/>
      <c r="H241"/>
    </row>
    <row r="242" spans="6:8" x14ac:dyDescent="0.25">
      <c r="F242"/>
      <c r="G242"/>
      <c r="H242"/>
    </row>
    <row r="243" spans="6:8" x14ac:dyDescent="0.25">
      <c r="F243"/>
      <c r="G243"/>
      <c r="H243"/>
    </row>
    <row r="244" spans="6:8" x14ac:dyDescent="0.25">
      <c r="F244"/>
      <c r="G244"/>
      <c r="H244"/>
    </row>
    <row r="245" spans="6:8" x14ac:dyDescent="0.25">
      <c r="F245"/>
      <c r="G245"/>
      <c r="H245"/>
    </row>
    <row r="246" spans="6:8" x14ac:dyDescent="0.25">
      <c r="F246"/>
      <c r="G246"/>
      <c r="H246"/>
    </row>
    <row r="247" spans="6:8" x14ac:dyDescent="0.25">
      <c r="F247"/>
      <c r="G247"/>
      <c r="H247"/>
    </row>
    <row r="248" spans="6:8" x14ac:dyDescent="0.25">
      <c r="F248"/>
      <c r="G248"/>
      <c r="H248"/>
    </row>
    <row r="249" spans="6:8" x14ac:dyDescent="0.25">
      <c r="F249"/>
      <c r="G249"/>
      <c r="H249"/>
    </row>
    <row r="250" spans="6:8" x14ac:dyDescent="0.25">
      <c r="F250"/>
      <c r="G250"/>
      <c r="H250"/>
    </row>
    <row r="251" spans="6:8" x14ac:dyDescent="0.25">
      <c r="F251"/>
      <c r="G251"/>
      <c r="H251"/>
    </row>
    <row r="252" spans="6:8" x14ac:dyDescent="0.25">
      <c r="F252"/>
      <c r="G252"/>
      <c r="H252"/>
    </row>
    <row r="253" spans="6:8" x14ac:dyDescent="0.25">
      <c r="F253"/>
      <c r="G253"/>
      <c r="H253"/>
    </row>
    <row r="254" spans="6:8" x14ac:dyDescent="0.25">
      <c r="F254"/>
      <c r="G254"/>
      <c r="H254"/>
    </row>
    <row r="255" spans="6:8" x14ac:dyDescent="0.25">
      <c r="F255"/>
      <c r="G255"/>
      <c r="H255"/>
    </row>
    <row r="256" spans="6:8" x14ac:dyDescent="0.25">
      <c r="F256"/>
      <c r="G256"/>
      <c r="H256"/>
    </row>
    <row r="257" spans="6:8" x14ac:dyDescent="0.25">
      <c r="F257"/>
      <c r="G257"/>
      <c r="H257"/>
    </row>
    <row r="258" spans="6:8" x14ac:dyDescent="0.25">
      <c r="F258"/>
      <c r="G258"/>
      <c r="H258"/>
    </row>
    <row r="259" spans="6:8" x14ac:dyDescent="0.25">
      <c r="F259"/>
      <c r="G259"/>
      <c r="H259"/>
    </row>
    <row r="260" spans="6:8" x14ac:dyDescent="0.25">
      <c r="F260"/>
      <c r="G260"/>
      <c r="H260"/>
    </row>
    <row r="261" spans="6:8" x14ac:dyDescent="0.25">
      <c r="F261"/>
      <c r="G261"/>
      <c r="H261"/>
    </row>
    <row r="262" spans="6:8" x14ac:dyDescent="0.25">
      <c r="F262"/>
      <c r="G262"/>
      <c r="H262"/>
    </row>
    <row r="263" spans="6:8" x14ac:dyDescent="0.25">
      <c r="F263"/>
      <c r="G263"/>
      <c r="H263"/>
    </row>
    <row r="264" spans="6:8" x14ac:dyDescent="0.25">
      <c r="F264"/>
      <c r="G264"/>
      <c r="H264"/>
    </row>
    <row r="265" spans="6:8" x14ac:dyDescent="0.25">
      <c r="F265"/>
      <c r="G265"/>
      <c r="H265"/>
    </row>
    <row r="266" spans="6:8" x14ac:dyDescent="0.25">
      <c r="F266"/>
      <c r="G266"/>
      <c r="H266"/>
    </row>
    <row r="267" spans="6:8" x14ac:dyDescent="0.25">
      <c r="F267"/>
      <c r="G267"/>
      <c r="H267"/>
    </row>
    <row r="268" spans="6:8" x14ac:dyDescent="0.25">
      <c r="F268"/>
      <c r="G268"/>
      <c r="H268"/>
    </row>
    <row r="269" spans="6:8" x14ac:dyDescent="0.25">
      <c r="F269"/>
      <c r="G269"/>
      <c r="H269"/>
    </row>
    <row r="270" spans="6:8" x14ac:dyDescent="0.25">
      <c r="F270"/>
      <c r="G270"/>
      <c r="H270"/>
    </row>
    <row r="271" spans="6:8" x14ac:dyDescent="0.25">
      <c r="F271"/>
      <c r="G271"/>
      <c r="H271"/>
    </row>
    <row r="272" spans="6:8" x14ac:dyDescent="0.25">
      <c r="F272"/>
      <c r="G272"/>
      <c r="H272"/>
    </row>
    <row r="273" spans="6:8" x14ac:dyDescent="0.25">
      <c r="F273"/>
      <c r="G273"/>
      <c r="H273"/>
    </row>
    <row r="274" spans="6:8" x14ac:dyDescent="0.25">
      <c r="F274"/>
      <c r="G274"/>
      <c r="H274"/>
    </row>
    <row r="275" spans="6:8" x14ac:dyDescent="0.25">
      <c r="F275"/>
      <c r="G275"/>
      <c r="H275"/>
    </row>
    <row r="276" spans="6:8" x14ac:dyDescent="0.25">
      <c r="F276"/>
      <c r="G276"/>
      <c r="H276"/>
    </row>
    <row r="277" spans="6:8" x14ac:dyDescent="0.25">
      <c r="F277"/>
      <c r="G277"/>
      <c r="H277"/>
    </row>
    <row r="278" spans="6:8" x14ac:dyDescent="0.25">
      <c r="F278"/>
      <c r="G278"/>
      <c r="H278"/>
    </row>
    <row r="279" spans="6:8" x14ac:dyDescent="0.25">
      <c r="F279"/>
      <c r="G279"/>
      <c r="H279"/>
    </row>
    <row r="280" spans="6:8" x14ac:dyDescent="0.25">
      <c r="F280"/>
      <c r="G280"/>
      <c r="H280"/>
    </row>
    <row r="281" spans="6:8" x14ac:dyDescent="0.25">
      <c r="F281"/>
      <c r="G281"/>
      <c r="H281"/>
    </row>
    <row r="282" spans="6:8" x14ac:dyDescent="0.25">
      <c r="F282"/>
      <c r="G282"/>
      <c r="H282"/>
    </row>
    <row r="283" spans="6:8" x14ac:dyDescent="0.25">
      <c r="F283"/>
      <c r="G283"/>
      <c r="H283"/>
    </row>
    <row r="284" spans="6:8" x14ac:dyDescent="0.25">
      <c r="F284"/>
      <c r="G284"/>
      <c r="H284"/>
    </row>
    <row r="285" spans="6:8" x14ac:dyDescent="0.25">
      <c r="F285"/>
      <c r="G285"/>
      <c r="H285"/>
    </row>
    <row r="286" spans="6:8" x14ac:dyDescent="0.25">
      <c r="F286"/>
      <c r="G286"/>
      <c r="H286"/>
    </row>
    <row r="287" spans="6:8" x14ac:dyDescent="0.25">
      <c r="F287"/>
      <c r="G287"/>
      <c r="H287"/>
    </row>
    <row r="288" spans="6:8" x14ac:dyDescent="0.25">
      <c r="F288"/>
      <c r="G288"/>
      <c r="H288"/>
    </row>
    <row r="289" spans="6:8" x14ac:dyDescent="0.25">
      <c r="F289"/>
      <c r="G289"/>
      <c r="H289"/>
    </row>
    <row r="290" spans="6:8" x14ac:dyDescent="0.25">
      <c r="F290"/>
      <c r="G290"/>
      <c r="H290"/>
    </row>
    <row r="291" spans="6:8" x14ac:dyDescent="0.25">
      <c r="F291"/>
      <c r="G291"/>
      <c r="H291"/>
    </row>
    <row r="292" spans="6:8" x14ac:dyDescent="0.25">
      <c r="F292"/>
      <c r="G292"/>
      <c r="H292"/>
    </row>
    <row r="293" spans="6:8" x14ac:dyDescent="0.25">
      <c r="F293"/>
      <c r="G293"/>
      <c r="H293"/>
    </row>
    <row r="294" spans="6:8" x14ac:dyDescent="0.25">
      <c r="F294"/>
      <c r="G294"/>
      <c r="H294"/>
    </row>
    <row r="295" spans="6:8" x14ac:dyDescent="0.25">
      <c r="F295"/>
      <c r="G295"/>
      <c r="H295"/>
    </row>
    <row r="296" spans="6:8" x14ac:dyDescent="0.25">
      <c r="F296"/>
      <c r="G296"/>
      <c r="H296"/>
    </row>
    <row r="297" spans="6:8" x14ac:dyDescent="0.25">
      <c r="F297"/>
      <c r="G297"/>
      <c r="H297"/>
    </row>
    <row r="298" spans="6:8" x14ac:dyDescent="0.25">
      <c r="F298"/>
      <c r="G298"/>
      <c r="H298"/>
    </row>
    <row r="299" spans="6:8" x14ac:dyDescent="0.25">
      <c r="F299"/>
      <c r="G299"/>
      <c r="H299"/>
    </row>
    <row r="300" spans="6:8" x14ac:dyDescent="0.25">
      <c r="F300"/>
      <c r="G300"/>
      <c r="H300"/>
    </row>
    <row r="301" spans="6:8" x14ac:dyDescent="0.25">
      <c r="F301"/>
      <c r="G301"/>
      <c r="H301"/>
    </row>
    <row r="302" spans="6:8" x14ac:dyDescent="0.25">
      <c r="F302"/>
      <c r="G302"/>
      <c r="H302"/>
    </row>
    <row r="303" spans="6:8" x14ac:dyDescent="0.25">
      <c r="F303"/>
      <c r="G303"/>
      <c r="H303"/>
    </row>
    <row r="304" spans="6:8" x14ac:dyDescent="0.25">
      <c r="F304"/>
      <c r="G304"/>
      <c r="H304"/>
    </row>
    <row r="305" spans="6:8" x14ac:dyDescent="0.25">
      <c r="F305"/>
      <c r="G305"/>
      <c r="H305"/>
    </row>
    <row r="306" spans="6:8" x14ac:dyDescent="0.25">
      <c r="F306"/>
      <c r="G306"/>
      <c r="H306"/>
    </row>
    <row r="307" spans="6:8" x14ac:dyDescent="0.25">
      <c r="F307"/>
      <c r="G307"/>
      <c r="H307"/>
    </row>
    <row r="308" spans="6:8" x14ac:dyDescent="0.25">
      <c r="F308"/>
      <c r="G308"/>
      <c r="H308"/>
    </row>
    <row r="309" spans="6:8" x14ac:dyDescent="0.25">
      <c r="F309"/>
      <c r="G309"/>
      <c r="H309"/>
    </row>
    <row r="310" spans="6:8" x14ac:dyDescent="0.25">
      <c r="F310"/>
      <c r="G310"/>
      <c r="H310"/>
    </row>
    <row r="311" spans="6:8" x14ac:dyDescent="0.25">
      <c r="F311"/>
      <c r="G311"/>
      <c r="H311"/>
    </row>
    <row r="312" spans="6:8" x14ac:dyDescent="0.25">
      <c r="F312"/>
      <c r="G312"/>
      <c r="H312"/>
    </row>
    <row r="313" spans="6:8" x14ac:dyDescent="0.25">
      <c r="F313"/>
      <c r="G313"/>
      <c r="H313"/>
    </row>
    <row r="314" spans="6:8" x14ac:dyDescent="0.25">
      <c r="F314"/>
      <c r="G314"/>
      <c r="H314"/>
    </row>
    <row r="315" spans="6:8" x14ac:dyDescent="0.25">
      <c r="F315"/>
      <c r="G315"/>
      <c r="H315"/>
    </row>
    <row r="316" spans="6:8" x14ac:dyDescent="0.25">
      <c r="F316"/>
      <c r="G316"/>
      <c r="H316"/>
    </row>
    <row r="317" spans="6:8" x14ac:dyDescent="0.25">
      <c r="F317"/>
      <c r="G317"/>
      <c r="H317"/>
    </row>
    <row r="318" spans="6:8" x14ac:dyDescent="0.25">
      <c r="F318"/>
      <c r="G318"/>
      <c r="H318"/>
    </row>
    <row r="319" spans="6:8" x14ac:dyDescent="0.25">
      <c r="F319"/>
      <c r="G319"/>
      <c r="H319"/>
    </row>
    <row r="320" spans="6:8" x14ac:dyDescent="0.25">
      <c r="F320"/>
      <c r="G320"/>
      <c r="H320"/>
    </row>
    <row r="321" spans="6:24" x14ac:dyDescent="0.25">
      <c r="F321"/>
      <c r="G321"/>
      <c r="H321"/>
    </row>
    <row r="322" spans="6:24" x14ac:dyDescent="0.25">
      <c r="F322"/>
      <c r="G322"/>
      <c r="H322"/>
    </row>
    <row r="323" spans="6:24" x14ac:dyDescent="0.25">
      <c r="F323"/>
      <c r="G323"/>
      <c r="H323"/>
    </row>
    <row r="324" spans="6:24" x14ac:dyDescent="0.25">
      <c r="F324"/>
      <c r="G324"/>
      <c r="H324"/>
    </row>
    <row r="325" spans="6:24" x14ac:dyDescent="0.25">
      <c r="F325"/>
      <c r="G325"/>
      <c r="H325"/>
    </row>
    <row r="326" spans="6:24" x14ac:dyDescent="0.25">
      <c r="F326"/>
      <c r="G326"/>
      <c r="H326"/>
    </row>
    <row r="327" spans="6:24" x14ac:dyDescent="0.25">
      <c r="F327"/>
      <c r="G327"/>
      <c r="H327"/>
    </row>
    <row r="328" spans="6:24" x14ac:dyDescent="0.25">
      <c r="F328"/>
      <c r="G328"/>
      <c r="H328"/>
    </row>
    <row r="329" spans="6:24" x14ac:dyDescent="0.25">
      <c r="F329"/>
      <c r="G329"/>
      <c r="H329"/>
    </row>
    <row r="330" spans="6:24" x14ac:dyDescent="0.25">
      <c r="F330"/>
      <c r="G330"/>
      <c r="H330"/>
    </row>
    <row r="331" spans="6:24" x14ac:dyDescent="0.25">
      <c r="F331"/>
      <c r="G331"/>
      <c r="H331"/>
    </row>
    <row r="332" spans="6:24" x14ac:dyDescent="0.25">
      <c r="F332"/>
      <c r="G332"/>
      <c r="H332"/>
      <c r="X332" s="1"/>
    </row>
    <row r="333" spans="6:24" x14ac:dyDescent="0.25">
      <c r="F333"/>
      <c r="G333"/>
      <c r="H333"/>
      <c r="X333" s="1"/>
    </row>
    <row r="334" spans="6:24" x14ac:dyDescent="0.25">
      <c r="F334"/>
      <c r="G334"/>
      <c r="H334"/>
      <c r="X334" s="1"/>
    </row>
    <row r="335" spans="6:24" x14ac:dyDescent="0.25">
      <c r="F335"/>
      <c r="G335"/>
      <c r="H335"/>
      <c r="X335" s="1"/>
    </row>
    <row r="336" spans="6:24" x14ac:dyDescent="0.25">
      <c r="F336"/>
      <c r="G336"/>
      <c r="H336"/>
      <c r="X336" s="1"/>
    </row>
    <row r="337" spans="6:24" x14ac:dyDescent="0.25">
      <c r="F337"/>
      <c r="G337"/>
      <c r="H337"/>
      <c r="X337" s="1"/>
    </row>
    <row r="338" spans="6:24" x14ac:dyDescent="0.25">
      <c r="F338"/>
      <c r="G338"/>
      <c r="H338"/>
      <c r="X338" s="1"/>
    </row>
    <row r="339" spans="6:24" x14ac:dyDescent="0.25">
      <c r="F339"/>
      <c r="G339"/>
      <c r="H339"/>
      <c r="X339" s="1"/>
    </row>
    <row r="340" spans="6:24" x14ac:dyDescent="0.25">
      <c r="F340"/>
      <c r="G340"/>
      <c r="H340"/>
      <c r="X340" s="1"/>
    </row>
    <row r="341" spans="6:24" x14ac:dyDescent="0.25">
      <c r="F341"/>
      <c r="G341"/>
      <c r="H341"/>
      <c r="X341" s="1"/>
    </row>
    <row r="342" spans="6:24" x14ac:dyDescent="0.25">
      <c r="F342"/>
      <c r="G342"/>
      <c r="H342"/>
      <c r="X342" s="1"/>
    </row>
    <row r="343" spans="6:24" x14ac:dyDescent="0.25">
      <c r="F343"/>
      <c r="G343"/>
      <c r="H343"/>
      <c r="X343" s="1"/>
    </row>
    <row r="344" spans="6:24" x14ac:dyDescent="0.25">
      <c r="F344"/>
      <c r="G344"/>
      <c r="H344"/>
      <c r="X344" s="1"/>
    </row>
    <row r="345" spans="6:24" x14ac:dyDescent="0.25">
      <c r="F345"/>
      <c r="G345"/>
      <c r="H345"/>
      <c r="X345" s="1"/>
    </row>
    <row r="346" spans="6:24" x14ac:dyDescent="0.25">
      <c r="F346"/>
      <c r="G346"/>
      <c r="H346"/>
      <c r="X346" s="1"/>
    </row>
    <row r="347" spans="6:24" x14ac:dyDescent="0.25">
      <c r="F347"/>
      <c r="G347"/>
      <c r="H347"/>
      <c r="X347" s="1"/>
    </row>
    <row r="348" spans="6:24" x14ac:dyDescent="0.25">
      <c r="F348"/>
      <c r="G348"/>
      <c r="H348"/>
      <c r="X348" s="1"/>
    </row>
    <row r="349" spans="6:24" x14ac:dyDescent="0.25">
      <c r="F349"/>
      <c r="G349"/>
      <c r="H349"/>
      <c r="X349" s="1"/>
    </row>
    <row r="350" spans="6:24" x14ac:dyDescent="0.25">
      <c r="F350"/>
      <c r="G350"/>
      <c r="H350"/>
      <c r="X350" s="1"/>
    </row>
    <row r="351" spans="6:24" x14ac:dyDescent="0.25">
      <c r="F351"/>
      <c r="G351"/>
      <c r="H351"/>
      <c r="X351" s="1"/>
    </row>
    <row r="352" spans="6:24" x14ac:dyDescent="0.25">
      <c r="F352"/>
      <c r="G352"/>
      <c r="H352"/>
      <c r="X352" s="1"/>
    </row>
    <row r="353" spans="6:24" x14ac:dyDescent="0.25">
      <c r="F353"/>
      <c r="G353"/>
      <c r="H353"/>
      <c r="X353" s="1"/>
    </row>
    <row r="354" spans="6:24" x14ac:dyDescent="0.25">
      <c r="F354"/>
      <c r="G354"/>
      <c r="H354"/>
      <c r="X354" s="1"/>
    </row>
    <row r="355" spans="6:24" x14ac:dyDescent="0.25">
      <c r="F355"/>
      <c r="G355"/>
      <c r="H355"/>
      <c r="X355" s="1"/>
    </row>
    <row r="356" spans="6:24" x14ac:dyDescent="0.25">
      <c r="F356"/>
      <c r="G356"/>
      <c r="H356"/>
      <c r="X356" s="1"/>
    </row>
    <row r="357" spans="6:24" x14ac:dyDescent="0.25">
      <c r="F357"/>
      <c r="G357"/>
      <c r="H357"/>
      <c r="X357" s="1"/>
    </row>
    <row r="358" spans="6:24" x14ac:dyDescent="0.25">
      <c r="F358"/>
      <c r="G358"/>
      <c r="H358"/>
      <c r="X358" s="1"/>
    </row>
    <row r="359" spans="6:24" x14ac:dyDescent="0.25">
      <c r="F359"/>
      <c r="G359"/>
      <c r="H359"/>
      <c r="X359" s="1"/>
    </row>
    <row r="360" spans="6:24" x14ac:dyDescent="0.25">
      <c r="F360"/>
      <c r="G360"/>
      <c r="H360"/>
      <c r="X360" s="1"/>
    </row>
    <row r="361" spans="6:24" x14ac:dyDescent="0.25">
      <c r="F361"/>
      <c r="G361"/>
      <c r="H361"/>
      <c r="X361" s="1"/>
    </row>
    <row r="362" spans="6:24" x14ac:dyDescent="0.25">
      <c r="F362"/>
      <c r="G362"/>
      <c r="H362"/>
      <c r="X362" s="1"/>
    </row>
    <row r="363" spans="6:24" x14ac:dyDescent="0.25">
      <c r="F363"/>
      <c r="G363"/>
      <c r="H363"/>
      <c r="X363" s="1"/>
    </row>
    <row r="364" spans="6:24" x14ac:dyDescent="0.25">
      <c r="F364"/>
      <c r="G364"/>
      <c r="H364"/>
      <c r="X364" s="1"/>
    </row>
    <row r="365" spans="6:24" x14ac:dyDescent="0.25">
      <c r="F365"/>
      <c r="G365"/>
      <c r="H365"/>
      <c r="X365" s="1"/>
    </row>
    <row r="366" spans="6:24" x14ac:dyDescent="0.25">
      <c r="F366"/>
      <c r="G366"/>
      <c r="H366"/>
      <c r="X366" s="1"/>
    </row>
    <row r="367" spans="6:24" x14ac:dyDescent="0.25">
      <c r="F367"/>
      <c r="G367"/>
      <c r="H367"/>
      <c r="X367" s="1"/>
    </row>
    <row r="368" spans="6:24" x14ac:dyDescent="0.25">
      <c r="F368"/>
      <c r="G368"/>
      <c r="H368"/>
      <c r="X368" s="1"/>
    </row>
    <row r="369" spans="6:24" x14ac:dyDescent="0.25">
      <c r="F369"/>
      <c r="G369"/>
      <c r="H369"/>
      <c r="X369" s="1"/>
    </row>
    <row r="370" spans="6:24" x14ac:dyDescent="0.25">
      <c r="F370"/>
      <c r="G370"/>
      <c r="H370"/>
      <c r="X370" s="1"/>
    </row>
    <row r="371" spans="6:24" x14ac:dyDescent="0.25">
      <c r="F371"/>
      <c r="G371"/>
      <c r="H371"/>
      <c r="X371" s="1"/>
    </row>
    <row r="372" spans="6:24" x14ac:dyDescent="0.25">
      <c r="F372"/>
      <c r="G372"/>
      <c r="H372"/>
      <c r="X372" s="1"/>
    </row>
    <row r="373" spans="6:24" x14ac:dyDescent="0.25">
      <c r="F373"/>
      <c r="G373"/>
      <c r="H373"/>
      <c r="X373" s="1"/>
    </row>
    <row r="374" spans="6:24" x14ac:dyDescent="0.25">
      <c r="F374"/>
      <c r="G374"/>
      <c r="H374"/>
      <c r="X374" s="1"/>
    </row>
    <row r="375" spans="6:24" x14ac:dyDescent="0.25">
      <c r="F375"/>
      <c r="G375"/>
      <c r="H375"/>
      <c r="X375" s="1"/>
    </row>
    <row r="376" spans="6:24" x14ac:dyDescent="0.25">
      <c r="F376"/>
      <c r="G376"/>
      <c r="H376"/>
      <c r="X376" s="1"/>
    </row>
    <row r="377" spans="6:24" x14ac:dyDescent="0.25">
      <c r="F377"/>
      <c r="G377"/>
      <c r="H377"/>
      <c r="X377" s="1"/>
    </row>
    <row r="378" spans="6:24" x14ac:dyDescent="0.25">
      <c r="F378"/>
      <c r="G378"/>
      <c r="H378"/>
      <c r="X378" s="1"/>
    </row>
    <row r="379" spans="6:24" x14ac:dyDescent="0.25">
      <c r="F379"/>
      <c r="G379"/>
      <c r="H379"/>
      <c r="X379" s="1"/>
    </row>
    <row r="380" spans="6:24" x14ac:dyDescent="0.25">
      <c r="F380"/>
      <c r="G380"/>
      <c r="H380"/>
      <c r="X380" s="1"/>
    </row>
    <row r="381" spans="6:24" x14ac:dyDescent="0.25">
      <c r="F381"/>
      <c r="G381"/>
      <c r="H381"/>
      <c r="X381" s="1"/>
    </row>
    <row r="382" spans="6:24" x14ac:dyDescent="0.25">
      <c r="F382"/>
      <c r="G382"/>
      <c r="H382"/>
      <c r="X382" s="1"/>
    </row>
    <row r="383" spans="6:24" x14ac:dyDescent="0.25">
      <c r="F383"/>
      <c r="G383"/>
      <c r="H383"/>
      <c r="X383" s="1"/>
    </row>
    <row r="384" spans="6:24" x14ac:dyDescent="0.25">
      <c r="F384"/>
      <c r="G384"/>
      <c r="H384"/>
      <c r="X384" s="1"/>
    </row>
    <row r="385" spans="6:24" x14ac:dyDescent="0.25">
      <c r="F385"/>
      <c r="G385"/>
      <c r="H385"/>
      <c r="X385" s="1"/>
    </row>
    <row r="386" spans="6:24" x14ac:dyDescent="0.25">
      <c r="F386"/>
      <c r="G386"/>
      <c r="H386"/>
      <c r="X386" s="1"/>
    </row>
    <row r="387" spans="6:24" x14ac:dyDescent="0.25">
      <c r="F387"/>
      <c r="G387"/>
      <c r="H387"/>
      <c r="X387" s="1"/>
    </row>
    <row r="388" spans="6:24" x14ac:dyDescent="0.25">
      <c r="F388"/>
      <c r="G388"/>
      <c r="H388"/>
      <c r="X388" s="1"/>
    </row>
    <row r="389" spans="6:24" x14ac:dyDescent="0.25">
      <c r="F389"/>
      <c r="G389"/>
      <c r="H389"/>
      <c r="X389" s="1"/>
    </row>
    <row r="390" spans="6:24" x14ac:dyDescent="0.25">
      <c r="F390"/>
      <c r="G390"/>
      <c r="H390"/>
      <c r="X390" s="1"/>
    </row>
    <row r="391" spans="6:24" x14ac:dyDescent="0.25">
      <c r="F391"/>
      <c r="G391"/>
      <c r="H391"/>
      <c r="X391" s="1"/>
    </row>
    <row r="392" spans="6:24" x14ac:dyDescent="0.25">
      <c r="F392"/>
      <c r="G392"/>
      <c r="H392"/>
      <c r="X392" s="1"/>
    </row>
    <row r="393" spans="6:24" x14ac:dyDescent="0.25">
      <c r="F393"/>
      <c r="G393"/>
      <c r="H393"/>
      <c r="X393" s="1"/>
    </row>
    <row r="394" spans="6:24" x14ac:dyDescent="0.25">
      <c r="F394"/>
      <c r="G394"/>
      <c r="H394"/>
      <c r="X394" s="1"/>
    </row>
    <row r="395" spans="6:24" x14ac:dyDescent="0.25">
      <c r="F395"/>
      <c r="G395"/>
      <c r="H395"/>
      <c r="X395" s="1"/>
    </row>
    <row r="396" spans="6:24" x14ac:dyDescent="0.25">
      <c r="F396"/>
      <c r="G396"/>
      <c r="H396"/>
      <c r="X396" s="1"/>
    </row>
    <row r="397" spans="6:24" x14ac:dyDescent="0.25">
      <c r="F397"/>
      <c r="G397"/>
      <c r="H397"/>
      <c r="X397" s="1"/>
    </row>
    <row r="398" spans="6:24" x14ac:dyDescent="0.25">
      <c r="F398"/>
      <c r="G398"/>
      <c r="H398"/>
      <c r="X398" s="1"/>
    </row>
    <row r="399" spans="6:24" x14ac:dyDescent="0.25">
      <c r="F399"/>
      <c r="G399"/>
      <c r="H399"/>
      <c r="X399" s="1"/>
    </row>
    <row r="400" spans="6:24" x14ac:dyDescent="0.25">
      <c r="F400"/>
      <c r="G400"/>
      <c r="H400"/>
      <c r="X400" s="1"/>
    </row>
    <row r="401" spans="6:24" x14ac:dyDescent="0.25">
      <c r="F401"/>
      <c r="G401"/>
      <c r="H401"/>
      <c r="X401" s="1"/>
    </row>
    <row r="402" spans="6:24" x14ac:dyDescent="0.25">
      <c r="F402"/>
      <c r="G402"/>
      <c r="H402"/>
      <c r="X402" s="1"/>
    </row>
    <row r="403" spans="6:24" x14ac:dyDescent="0.25">
      <c r="F403"/>
      <c r="G403"/>
      <c r="H403"/>
      <c r="X403" s="1"/>
    </row>
    <row r="404" spans="6:24" x14ac:dyDescent="0.25">
      <c r="F404"/>
      <c r="G404"/>
      <c r="H404"/>
      <c r="X404" s="1"/>
    </row>
    <row r="405" spans="6:24" x14ac:dyDescent="0.25">
      <c r="F405"/>
      <c r="G405"/>
      <c r="H405"/>
      <c r="X405" s="1"/>
    </row>
    <row r="406" spans="6:24" x14ac:dyDescent="0.25">
      <c r="F406"/>
      <c r="G406"/>
      <c r="H406"/>
      <c r="X406" s="1"/>
    </row>
    <row r="407" spans="6:24" x14ac:dyDescent="0.25">
      <c r="F407"/>
      <c r="G407"/>
      <c r="H407"/>
      <c r="X407" s="1"/>
    </row>
    <row r="408" spans="6:24" x14ac:dyDescent="0.25">
      <c r="F408"/>
      <c r="G408"/>
      <c r="H408"/>
      <c r="X408" s="1"/>
    </row>
    <row r="409" spans="6:24" x14ac:dyDescent="0.25">
      <c r="F409"/>
      <c r="G409"/>
      <c r="H409"/>
      <c r="X409" s="1"/>
    </row>
    <row r="410" spans="6:24" x14ac:dyDescent="0.25">
      <c r="F410"/>
      <c r="G410"/>
      <c r="H410"/>
      <c r="X410" s="1"/>
    </row>
    <row r="411" spans="6:24" x14ac:dyDescent="0.25">
      <c r="F411"/>
      <c r="G411"/>
      <c r="H411"/>
      <c r="X411" s="1"/>
    </row>
    <row r="412" spans="6:24" x14ac:dyDescent="0.25">
      <c r="F412"/>
      <c r="G412"/>
      <c r="H412"/>
      <c r="X412" s="1"/>
    </row>
    <row r="413" spans="6:24" x14ac:dyDescent="0.25">
      <c r="F413"/>
      <c r="G413"/>
      <c r="H413"/>
      <c r="X413" s="1"/>
    </row>
    <row r="414" spans="6:24" x14ac:dyDescent="0.25">
      <c r="F414"/>
      <c r="G414"/>
      <c r="H414"/>
      <c r="X414" s="1"/>
    </row>
    <row r="415" spans="6:24" x14ac:dyDescent="0.25">
      <c r="F415"/>
      <c r="G415"/>
      <c r="H415"/>
      <c r="X415" s="1"/>
    </row>
    <row r="416" spans="6:24" x14ac:dyDescent="0.25">
      <c r="F416"/>
      <c r="G416"/>
      <c r="H416"/>
      <c r="X416" s="1"/>
    </row>
    <row r="417" spans="6:24" x14ac:dyDescent="0.25">
      <c r="F417"/>
      <c r="G417"/>
      <c r="H417"/>
      <c r="X417" s="1"/>
    </row>
    <row r="418" spans="6:24" x14ac:dyDescent="0.25">
      <c r="F418"/>
      <c r="G418"/>
      <c r="H418"/>
      <c r="X418" s="1"/>
    </row>
    <row r="419" spans="6:24" x14ac:dyDescent="0.25">
      <c r="F419"/>
      <c r="G419"/>
      <c r="H419"/>
      <c r="X419" s="1"/>
    </row>
    <row r="420" spans="6:24" x14ac:dyDescent="0.25">
      <c r="F420"/>
      <c r="G420"/>
      <c r="H420"/>
      <c r="X420" s="1"/>
    </row>
    <row r="421" spans="6:24" x14ac:dyDescent="0.25">
      <c r="F421"/>
      <c r="G421"/>
      <c r="H421"/>
      <c r="X421" s="1"/>
    </row>
    <row r="422" spans="6:24" x14ac:dyDescent="0.25">
      <c r="F422"/>
      <c r="G422"/>
      <c r="H422"/>
      <c r="X422" s="1"/>
    </row>
    <row r="423" spans="6:24" x14ac:dyDescent="0.25">
      <c r="F423"/>
      <c r="G423"/>
      <c r="H423"/>
      <c r="X423" s="1"/>
    </row>
    <row r="424" spans="6:24" x14ac:dyDescent="0.25">
      <c r="F424"/>
      <c r="G424"/>
      <c r="H424"/>
      <c r="X424" s="1"/>
    </row>
    <row r="425" spans="6:24" x14ac:dyDescent="0.25">
      <c r="F425"/>
      <c r="G425"/>
      <c r="H425"/>
      <c r="X425" s="1"/>
    </row>
    <row r="426" spans="6:24" x14ac:dyDescent="0.25">
      <c r="F426"/>
      <c r="G426"/>
      <c r="H426"/>
      <c r="X426" s="1"/>
    </row>
    <row r="427" spans="6:24" x14ac:dyDescent="0.25">
      <c r="F427"/>
      <c r="G427"/>
      <c r="H427"/>
      <c r="X427" s="1"/>
    </row>
    <row r="428" spans="6:24" x14ac:dyDescent="0.25">
      <c r="F428"/>
      <c r="G428"/>
      <c r="H428"/>
      <c r="X428" s="1"/>
    </row>
    <row r="429" spans="6:24" x14ac:dyDescent="0.25">
      <c r="F429"/>
      <c r="G429"/>
      <c r="H429"/>
      <c r="X429" s="1"/>
    </row>
    <row r="430" spans="6:24" x14ac:dyDescent="0.25">
      <c r="F430"/>
      <c r="G430"/>
      <c r="H430"/>
      <c r="X430" s="1"/>
    </row>
    <row r="431" spans="6:24" x14ac:dyDescent="0.25">
      <c r="F431"/>
      <c r="G431"/>
      <c r="H431"/>
      <c r="X431" s="1"/>
    </row>
    <row r="432" spans="6:24" x14ac:dyDescent="0.25">
      <c r="F432"/>
      <c r="G432"/>
      <c r="H432"/>
      <c r="X432" s="1"/>
    </row>
    <row r="433" spans="6:24" x14ac:dyDescent="0.25">
      <c r="F433"/>
      <c r="G433"/>
      <c r="H433"/>
      <c r="X433" s="1"/>
    </row>
    <row r="434" spans="6:24" x14ac:dyDescent="0.25">
      <c r="F434"/>
      <c r="G434"/>
      <c r="H434"/>
      <c r="X434" s="1"/>
    </row>
    <row r="435" spans="6:24" x14ac:dyDescent="0.25">
      <c r="F435"/>
      <c r="G435"/>
      <c r="H435"/>
    </row>
    <row r="436" spans="6:24" x14ac:dyDescent="0.25">
      <c r="F436"/>
      <c r="G436"/>
      <c r="H436"/>
    </row>
    <row r="437" spans="6:24" x14ac:dyDescent="0.25">
      <c r="F437"/>
      <c r="G437"/>
      <c r="H437"/>
    </row>
    <row r="438" spans="6:24" x14ac:dyDescent="0.25">
      <c r="F438"/>
      <c r="G438"/>
      <c r="H438"/>
    </row>
    <row r="439" spans="6:24" x14ac:dyDescent="0.25">
      <c r="F439"/>
      <c r="G439"/>
      <c r="H439"/>
    </row>
    <row r="440" spans="6:24" x14ac:dyDescent="0.25">
      <c r="F440"/>
      <c r="G440"/>
      <c r="H440"/>
    </row>
    <row r="441" spans="6:24" x14ac:dyDescent="0.25">
      <c r="F441"/>
      <c r="G441"/>
      <c r="H441"/>
    </row>
    <row r="442" spans="6:24" x14ac:dyDescent="0.25">
      <c r="F442"/>
      <c r="G442"/>
      <c r="H442"/>
    </row>
    <row r="443" spans="6:24" x14ac:dyDescent="0.25">
      <c r="F443"/>
      <c r="G443"/>
      <c r="H443"/>
    </row>
    <row r="444" spans="6:24" x14ac:dyDescent="0.25">
      <c r="F444"/>
      <c r="G444"/>
      <c r="H444"/>
    </row>
    <row r="445" spans="6:24" x14ac:dyDescent="0.25">
      <c r="F445"/>
      <c r="G445"/>
      <c r="H445"/>
    </row>
    <row r="446" spans="6:24" x14ac:dyDescent="0.25">
      <c r="F446"/>
      <c r="G446"/>
      <c r="H446"/>
    </row>
    <row r="447" spans="6:24" x14ac:dyDescent="0.25">
      <c r="F447"/>
      <c r="G447"/>
      <c r="H447"/>
    </row>
    <row r="448" spans="6:24" x14ac:dyDescent="0.25">
      <c r="F448"/>
      <c r="G448"/>
      <c r="H448"/>
    </row>
    <row r="449" spans="6:8" x14ac:dyDescent="0.25">
      <c r="F449"/>
      <c r="G449"/>
      <c r="H449"/>
    </row>
    <row r="450" spans="6:8" x14ac:dyDescent="0.25">
      <c r="F450"/>
      <c r="G450"/>
      <c r="H450"/>
    </row>
    <row r="451" spans="6:8" x14ac:dyDescent="0.25">
      <c r="F451"/>
      <c r="G451"/>
      <c r="H451"/>
    </row>
    <row r="452" spans="6:8" x14ac:dyDescent="0.25">
      <c r="F452"/>
      <c r="G452"/>
      <c r="H452"/>
    </row>
    <row r="453" spans="6:8" x14ac:dyDescent="0.25">
      <c r="F453"/>
      <c r="G453"/>
      <c r="H453"/>
    </row>
    <row r="454" spans="6:8" x14ac:dyDescent="0.25">
      <c r="F454"/>
      <c r="G454"/>
      <c r="H454"/>
    </row>
    <row r="455" spans="6:8" x14ac:dyDescent="0.25">
      <c r="F455"/>
      <c r="G455"/>
      <c r="H455"/>
    </row>
    <row r="456" spans="6:8" x14ac:dyDescent="0.25">
      <c r="F456"/>
      <c r="G456"/>
      <c r="H456"/>
    </row>
    <row r="457" spans="6:8" x14ac:dyDescent="0.25">
      <c r="F457"/>
      <c r="G457"/>
      <c r="H457"/>
    </row>
    <row r="458" spans="6:8" x14ac:dyDescent="0.25">
      <c r="F458"/>
      <c r="G458"/>
      <c r="H458"/>
    </row>
    <row r="459" spans="6:8" x14ac:dyDescent="0.25">
      <c r="F459"/>
      <c r="G459"/>
      <c r="H459"/>
    </row>
    <row r="460" spans="6:8" x14ac:dyDescent="0.25">
      <c r="F460"/>
      <c r="G460"/>
      <c r="H460"/>
    </row>
    <row r="461" spans="6:8" x14ac:dyDescent="0.25">
      <c r="F461"/>
      <c r="G461"/>
      <c r="H461"/>
    </row>
    <row r="462" spans="6:8" x14ac:dyDescent="0.25">
      <c r="F462"/>
      <c r="G462"/>
      <c r="H462"/>
    </row>
    <row r="463" spans="6:8" x14ac:dyDescent="0.25">
      <c r="F463"/>
      <c r="G463"/>
      <c r="H463"/>
    </row>
    <row r="464" spans="6:8" x14ac:dyDescent="0.25">
      <c r="F464"/>
      <c r="G464"/>
      <c r="H464"/>
    </row>
    <row r="465" spans="6:8" x14ac:dyDescent="0.25">
      <c r="F465"/>
      <c r="G465"/>
      <c r="H465"/>
    </row>
    <row r="466" spans="6:8" x14ac:dyDescent="0.25">
      <c r="F466"/>
      <c r="G466"/>
      <c r="H466"/>
    </row>
    <row r="467" spans="6:8" x14ac:dyDescent="0.25">
      <c r="F467"/>
      <c r="G467"/>
      <c r="H467"/>
    </row>
    <row r="468" spans="6:8" x14ac:dyDescent="0.25">
      <c r="F468"/>
      <c r="G468"/>
      <c r="H468"/>
    </row>
    <row r="469" spans="6:8" x14ac:dyDescent="0.25">
      <c r="F469"/>
      <c r="G469"/>
      <c r="H469"/>
    </row>
    <row r="470" spans="6:8" x14ac:dyDescent="0.25">
      <c r="F470"/>
      <c r="G470"/>
      <c r="H470"/>
    </row>
    <row r="471" spans="6:8" x14ac:dyDescent="0.25">
      <c r="F471"/>
      <c r="G471"/>
      <c r="H471"/>
    </row>
    <row r="472" spans="6:8" x14ac:dyDescent="0.25">
      <c r="F472"/>
      <c r="G472"/>
      <c r="H472"/>
    </row>
    <row r="473" spans="6:8" x14ac:dyDescent="0.25">
      <c r="F473"/>
      <c r="G473"/>
      <c r="H473"/>
    </row>
    <row r="474" spans="6:8" x14ac:dyDescent="0.25">
      <c r="F474"/>
      <c r="G474"/>
      <c r="H474"/>
    </row>
    <row r="475" spans="6:8" x14ac:dyDescent="0.25">
      <c r="F475"/>
      <c r="G475"/>
      <c r="H475"/>
    </row>
    <row r="476" spans="6:8" x14ac:dyDescent="0.25">
      <c r="F476"/>
      <c r="G476"/>
      <c r="H476"/>
    </row>
    <row r="477" spans="6:8" x14ac:dyDescent="0.25">
      <c r="F477"/>
      <c r="G477"/>
      <c r="H477"/>
    </row>
    <row r="478" spans="6:8" x14ac:dyDescent="0.25">
      <c r="F478"/>
      <c r="G478"/>
      <c r="H478"/>
    </row>
    <row r="479" spans="6:8" x14ac:dyDescent="0.25">
      <c r="F479"/>
      <c r="G479"/>
      <c r="H479"/>
    </row>
    <row r="480" spans="6:8" x14ac:dyDescent="0.25">
      <c r="F480"/>
      <c r="G480"/>
      <c r="H480"/>
    </row>
    <row r="481" spans="6:8" x14ac:dyDescent="0.25">
      <c r="F481"/>
      <c r="G481"/>
      <c r="H481"/>
    </row>
    <row r="482" spans="6:8" x14ac:dyDescent="0.25">
      <c r="F482"/>
      <c r="G482"/>
      <c r="H482"/>
    </row>
    <row r="483" spans="6:8" x14ac:dyDescent="0.25">
      <c r="F483"/>
      <c r="G483"/>
      <c r="H483"/>
    </row>
    <row r="484" spans="6:8" x14ac:dyDescent="0.25">
      <c r="F484"/>
      <c r="G484"/>
      <c r="H484"/>
    </row>
    <row r="485" spans="6:8" x14ac:dyDescent="0.25">
      <c r="F485"/>
      <c r="G485"/>
      <c r="H485"/>
    </row>
    <row r="486" spans="6:8" x14ac:dyDescent="0.25">
      <c r="F486"/>
      <c r="G486"/>
      <c r="H486"/>
    </row>
    <row r="487" spans="6:8" x14ac:dyDescent="0.25">
      <c r="F487"/>
      <c r="G487"/>
      <c r="H487"/>
    </row>
    <row r="488" spans="6:8" x14ac:dyDescent="0.25">
      <c r="F488"/>
      <c r="G488"/>
      <c r="H488"/>
    </row>
    <row r="489" spans="6:8" x14ac:dyDescent="0.25">
      <c r="F489"/>
      <c r="G489"/>
      <c r="H489"/>
    </row>
    <row r="490" spans="6:8" x14ac:dyDescent="0.25">
      <c r="F490"/>
      <c r="G490"/>
      <c r="H490"/>
    </row>
    <row r="491" spans="6:8" x14ac:dyDescent="0.25">
      <c r="F491"/>
      <c r="G491"/>
      <c r="H491"/>
    </row>
    <row r="492" spans="6:8" x14ac:dyDescent="0.25">
      <c r="F492"/>
      <c r="G492"/>
      <c r="H492"/>
    </row>
    <row r="493" spans="6:8" x14ac:dyDescent="0.25">
      <c r="F493"/>
      <c r="G493"/>
      <c r="H493"/>
    </row>
    <row r="494" spans="6:8" x14ac:dyDescent="0.25">
      <c r="F494"/>
      <c r="G494"/>
      <c r="H494"/>
    </row>
    <row r="495" spans="6:8" x14ac:dyDescent="0.25">
      <c r="F495"/>
      <c r="G495"/>
      <c r="H495"/>
    </row>
    <row r="496" spans="6:8" x14ac:dyDescent="0.25">
      <c r="F496"/>
      <c r="G496"/>
      <c r="H496"/>
    </row>
    <row r="497" spans="6:8" x14ac:dyDescent="0.25">
      <c r="F497"/>
      <c r="G497"/>
      <c r="H497"/>
    </row>
    <row r="498" spans="6:8" x14ac:dyDescent="0.25">
      <c r="F498"/>
      <c r="G498"/>
      <c r="H498"/>
    </row>
    <row r="499" spans="6:8" x14ac:dyDescent="0.25">
      <c r="F499"/>
      <c r="G499"/>
      <c r="H499"/>
    </row>
    <row r="500" spans="6:8" x14ac:dyDescent="0.25">
      <c r="F500"/>
      <c r="G500"/>
      <c r="H500"/>
    </row>
    <row r="501" spans="6:8" x14ac:dyDescent="0.25">
      <c r="F501"/>
      <c r="G501"/>
      <c r="H501"/>
    </row>
    <row r="502" spans="6:8" x14ac:dyDescent="0.25">
      <c r="F502"/>
      <c r="G502"/>
      <c r="H502"/>
    </row>
    <row r="503" spans="6:8" x14ac:dyDescent="0.25">
      <c r="F503"/>
      <c r="G503"/>
      <c r="H503"/>
    </row>
    <row r="504" spans="6:8" x14ac:dyDescent="0.25">
      <c r="F504"/>
      <c r="G504"/>
      <c r="H504"/>
    </row>
    <row r="505" spans="6:8" x14ac:dyDescent="0.25">
      <c r="F505"/>
      <c r="G505"/>
      <c r="H505"/>
    </row>
    <row r="506" spans="6:8" x14ac:dyDescent="0.25">
      <c r="F506"/>
      <c r="G506"/>
      <c r="H506"/>
    </row>
    <row r="507" spans="6:8" x14ac:dyDescent="0.25">
      <c r="F507"/>
      <c r="G507"/>
      <c r="H507"/>
    </row>
    <row r="508" spans="6:8" x14ac:dyDescent="0.25">
      <c r="F508"/>
      <c r="G508"/>
      <c r="H508"/>
    </row>
    <row r="509" spans="6:8" x14ac:dyDescent="0.25">
      <c r="F509"/>
      <c r="G509"/>
      <c r="H509"/>
    </row>
    <row r="510" spans="6:8" x14ac:dyDescent="0.25">
      <c r="F510"/>
      <c r="G510"/>
      <c r="H510"/>
    </row>
    <row r="511" spans="6:8" x14ac:dyDescent="0.25">
      <c r="F511"/>
      <c r="G511"/>
      <c r="H511"/>
    </row>
    <row r="512" spans="6:8" x14ac:dyDescent="0.25">
      <c r="F512"/>
      <c r="G512"/>
      <c r="H512"/>
    </row>
    <row r="513" spans="6:8" x14ac:dyDescent="0.25">
      <c r="F513"/>
      <c r="G513"/>
      <c r="H513"/>
    </row>
    <row r="514" spans="6:8" x14ac:dyDescent="0.25">
      <c r="F514"/>
      <c r="G514"/>
      <c r="H514"/>
    </row>
    <row r="515" spans="6:8" x14ac:dyDescent="0.25">
      <c r="F515"/>
      <c r="G515"/>
      <c r="H515"/>
    </row>
    <row r="516" spans="6:8" x14ac:dyDescent="0.25">
      <c r="F516"/>
      <c r="G516"/>
      <c r="H516"/>
    </row>
    <row r="517" spans="6:8" x14ac:dyDescent="0.25">
      <c r="F517"/>
      <c r="G517"/>
      <c r="H517"/>
    </row>
    <row r="518" spans="6:8" x14ac:dyDescent="0.25">
      <c r="F518"/>
      <c r="G518"/>
      <c r="H518"/>
    </row>
    <row r="519" spans="6:8" x14ac:dyDescent="0.25">
      <c r="F519"/>
      <c r="G519"/>
      <c r="H519"/>
    </row>
    <row r="520" spans="6:8" x14ac:dyDescent="0.25">
      <c r="F520"/>
      <c r="G520"/>
      <c r="H520"/>
    </row>
    <row r="521" spans="6:8" x14ac:dyDescent="0.25">
      <c r="F521"/>
      <c r="G521"/>
      <c r="H521"/>
    </row>
    <row r="522" spans="6:8" x14ac:dyDescent="0.25">
      <c r="F522"/>
      <c r="G522"/>
      <c r="H522"/>
    </row>
    <row r="523" spans="6:8" x14ac:dyDescent="0.25">
      <c r="F523"/>
      <c r="G523"/>
      <c r="H523"/>
    </row>
    <row r="524" spans="6:8" x14ac:dyDescent="0.25">
      <c r="F524"/>
      <c r="G524"/>
      <c r="H524"/>
    </row>
    <row r="525" spans="6:8" x14ac:dyDescent="0.25">
      <c r="F525"/>
      <c r="G525"/>
      <c r="H525"/>
    </row>
    <row r="526" spans="6:8" x14ac:dyDescent="0.25">
      <c r="F526"/>
      <c r="G526"/>
      <c r="H526"/>
    </row>
    <row r="527" spans="6:8" x14ac:dyDescent="0.25">
      <c r="F527"/>
      <c r="G527"/>
      <c r="H527"/>
    </row>
    <row r="528" spans="6:8" x14ac:dyDescent="0.25">
      <c r="F528"/>
      <c r="G528"/>
      <c r="H528"/>
    </row>
    <row r="529" spans="6:8" x14ac:dyDescent="0.25">
      <c r="F529"/>
      <c r="G529"/>
      <c r="H529"/>
    </row>
    <row r="530" spans="6:8" x14ac:dyDescent="0.25">
      <c r="F530"/>
      <c r="G530"/>
      <c r="H530"/>
    </row>
    <row r="531" spans="6:8" x14ac:dyDescent="0.25">
      <c r="F531"/>
      <c r="G531"/>
      <c r="H531"/>
    </row>
    <row r="532" spans="6:8" x14ac:dyDescent="0.25">
      <c r="F532"/>
      <c r="G532"/>
      <c r="H532"/>
    </row>
    <row r="533" spans="6:8" x14ac:dyDescent="0.25">
      <c r="F533"/>
      <c r="G533"/>
      <c r="H533"/>
    </row>
    <row r="534" spans="6:8" x14ac:dyDescent="0.25">
      <c r="F534"/>
      <c r="G534"/>
      <c r="H534"/>
    </row>
    <row r="535" spans="6:8" x14ac:dyDescent="0.25">
      <c r="F535"/>
      <c r="G535"/>
      <c r="H535"/>
    </row>
    <row r="536" spans="6:8" x14ac:dyDescent="0.25">
      <c r="F536"/>
      <c r="G536"/>
      <c r="H536"/>
    </row>
    <row r="537" spans="6:8" x14ac:dyDescent="0.25">
      <c r="F537"/>
      <c r="G537"/>
      <c r="H537"/>
    </row>
    <row r="538" spans="6:8" x14ac:dyDescent="0.25">
      <c r="F538"/>
      <c r="G538"/>
      <c r="H538"/>
    </row>
    <row r="539" spans="6:8" x14ac:dyDescent="0.25">
      <c r="F539"/>
      <c r="G539"/>
      <c r="H539"/>
    </row>
    <row r="540" spans="6:8" x14ac:dyDescent="0.25">
      <c r="F540"/>
      <c r="G540"/>
      <c r="H540"/>
    </row>
    <row r="541" spans="6:8" x14ac:dyDescent="0.25">
      <c r="F541"/>
      <c r="G541"/>
      <c r="H541"/>
    </row>
    <row r="542" spans="6:8" x14ac:dyDescent="0.25">
      <c r="F542"/>
      <c r="G542"/>
      <c r="H542"/>
    </row>
    <row r="543" spans="6:8" x14ac:dyDescent="0.25">
      <c r="F543"/>
      <c r="G543"/>
      <c r="H543"/>
    </row>
    <row r="544" spans="6:8" x14ac:dyDescent="0.25">
      <c r="F544"/>
      <c r="G544"/>
      <c r="H544"/>
    </row>
    <row r="545" spans="6:8" x14ac:dyDescent="0.25">
      <c r="F545"/>
      <c r="G545"/>
      <c r="H545"/>
    </row>
    <row r="546" spans="6:8" x14ac:dyDescent="0.25">
      <c r="F546"/>
      <c r="G546"/>
      <c r="H546"/>
    </row>
    <row r="547" spans="6:8" x14ac:dyDescent="0.25">
      <c r="F547"/>
      <c r="G547"/>
      <c r="H547"/>
    </row>
    <row r="548" spans="6:8" x14ac:dyDescent="0.25">
      <c r="F548"/>
      <c r="G548"/>
      <c r="H548"/>
    </row>
    <row r="549" spans="6:8" x14ac:dyDescent="0.25">
      <c r="F549"/>
      <c r="G549"/>
      <c r="H549"/>
    </row>
    <row r="550" spans="6:8" x14ac:dyDescent="0.25">
      <c r="F550"/>
      <c r="G550"/>
      <c r="H550"/>
    </row>
    <row r="551" spans="6:8" x14ac:dyDescent="0.25">
      <c r="F551"/>
      <c r="G551"/>
      <c r="H551"/>
    </row>
    <row r="552" spans="6:8" x14ac:dyDescent="0.25">
      <c r="F552"/>
      <c r="G552"/>
      <c r="H552"/>
    </row>
    <row r="553" spans="6:8" x14ac:dyDescent="0.25">
      <c r="F553"/>
      <c r="G553"/>
      <c r="H553"/>
    </row>
    <row r="554" spans="6:8" x14ac:dyDescent="0.25">
      <c r="F554"/>
      <c r="G554"/>
      <c r="H554"/>
    </row>
    <row r="555" spans="6:8" x14ac:dyDescent="0.25">
      <c r="F555"/>
      <c r="G555"/>
      <c r="H555"/>
    </row>
    <row r="556" spans="6:8" x14ac:dyDescent="0.25">
      <c r="F556"/>
      <c r="G556"/>
      <c r="H556"/>
    </row>
    <row r="557" spans="6:8" x14ac:dyDescent="0.25">
      <c r="F557"/>
      <c r="G557"/>
      <c r="H557"/>
    </row>
    <row r="558" spans="6:8" x14ac:dyDescent="0.25">
      <c r="F558"/>
      <c r="G558"/>
      <c r="H558"/>
    </row>
    <row r="559" spans="6:8" x14ac:dyDescent="0.25">
      <c r="F559"/>
      <c r="G559"/>
      <c r="H559"/>
    </row>
    <row r="560" spans="6:8" x14ac:dyDescent="0.25">
      <c r="F560"/>
      <c r="G560"/>
      <c r="H560"/>
    </row>
    <row r="561" spans="6:8" x14ac:dyDescent="0.25">
      <c r="F561"/>
      <c r="G561"/>
      <c r="H561"/>
    </row>
    <row r="562" spans="6:8" x14ac:dyDescent="0.25">
      <c r="F562"/>
      <c r="G562"/>
      <c r="H562"/>
    </row>
    <row r="563" spans="6:8" x14ac:dyDescent="0.25">
      <c r="F563"/>
      <c r="G563"/>
      <c r="H563"/>
    </row>
    <row r="564" spans="6:8" x14ac:dyDescent="0.25">
      <c r="F564"/>
      <c r="G564"/>
      <c r="H564"/>
    </row>
    <row r="565" spans="6:8" x14ac:dyDescent="0.25">
      <c r="F565"/>
      <c r="G565"/>
      <c r="H565"/>
    </row>
    <row r="566" spans="6:8" x14ac:dyDescent="0.25">
      <c r="F566"/>
      <c r="G566"/>
      <c r="H566"/>
    </row>
    <row r="567" spans="6:8" x14ac:dyDescent="0.25">
      <c r="F567"/>
      <c r="G567"/>
      <c r="H567"/>
    </row>
    <row r="568" spans="6:8" x14ac:dyDescent="0.25">
      <c r="F568"/>
      <c r="G568"/>
      <c r="H568"/>
    </row>
    <row r="569" spans="6:8" x14ac:dyDescent="0.25">
      <c r="F569"/>
      <c r="G569"/>
      <c r="H569"/>
    </row>
    <row r="570" spans="6:8" x14ac:dyDescent="0.25">
      <c r="F570"/>
      <c r="G570"/>
      <c r="H570"/>
    </row>
    <row r="571" spans="6:8" x14ac:dyDescent="0.25">
      <c r="F571"/>
      <c r="G571"/>
      <c r="H571"/>
    </row>
    <row r="572" spans="6:8" x14ac:dyDescent="0.25">
      <c r="F572"/>
      <c r="G572"/>
      <c r="H572"/>
    </row>
    <row r="573" spans="6:8" x14ac:dyDescent="0.25">
      <c r="F573"/>
      <c r="G573"/>
      <c r="H573"/>
    </row>
    <row r="574" spans="6:8" x14ac:dyDescent="0.25">
      <c r="F574"/>
      <c r="G574"/>
      <c r="H574"/>
    </row>
    <row r="575" spans="6:8" x14ac:dyDescent="0.25">
      <c r="F575"/>
      <c r="G575"/>
      <c r="H575"/>
    </row>
    <row r="576" spans="6:8" x14ac:dyDescent="0.25">
      <c r="F576"/>
      <c r="G576"/>
      <c r="H576"/>
    </row>
    <row r="577" spans="6:8" x14ac:dyDescent="0.25">
      <c r="F577"/>
      <c r="G577"/>
      <c r="H577"/>
    </row>
    <row r="578" spans="6:8" x14ac:dyDescent="0.25">
      <c r="F578"/>
      <c r="G578"/>
      <c r="H578"/>
    </row>
    <row r="579" spans="6:8" x14ac:dyDescent="0.25">
      <c r="F579"/>
      <c r="G579"/>
      <c r="H579"/>
    </row>
    <row r="580" spans="6:8" x14ac:dyDescent="0.25">
      <c r="F580"/>
      <c r="G580"/>
      <c r="H580"/>
    </row>
    <row r="581" spans="6:8" x14ac:dyDescent="0.25">
      <c r="F581"/>
      <c r="G581"/>
      <c r="H581"/>
    </row>
    <row r="582" spans="6:8" x14ac:dyDescent="0.25">
      <c r="F582"/>
      <c r="G582"/>
      <c r="H582"/>
    </row>
    <row r="583" spans="6:8" x14ac:dyDescent="0.25">
      <c r="F583"/>
      <c r="G583"/>
      <c r="H583"/>
    </row>
    <row r="584" spans="6:8" x14ac:dyDescent="0.25">
      <c r="F584"/>
      <c r="G584"/>
      <c r="H584"/>
    </row>
    <row r="585" spans="6:8" x14ac:dyDescent="0.25">
      <c r="F585"/>
      <c r="G585"/>
      <c r="H585"/>
    </row>
    <row r="586" spans="6:8" x14ac:dyDescent="0.25">
      <c r="F586"/>
      <c r="G586"/>
      <c r="H586"/>
    </row>
    <row r="587" spans="6:8" x14ac:dyDescent="0.25">
      <c r="F587"/>
      <c r="G587"/>
      <c r="H587"/>
    </row>
    <row r="588" spans="6:8" x14ac:dyDescent="0.25">
      <c r="F588"/>
      <c r="G588"/>
      <c r="H588"/>
    </row>
    <row r="589" spans="6:8" x14ac:dyDescent="0.25">
      <c r="F589"/>
      <c r="G589"/>
      <c r="H589"/>
    </row>
    <row r="590" spans="6:8" x14ac:dyDescent="0.25">
      <c r="F590"/>
      <c r="G590"/>
      <c r="H590"/>
    </row>
    <row r="591" spans="6:8" x14ac:dyDescent="0.25">
      <c r="F591"/>
      <c r="G591"/>
      <c r="H591"/>
    </row>
    <row r="592" spans="6:8" x14ac:dyDescent="0.25">
      <c r="F592"/>
      <c r="G592"/>
      <c r="H592"/>
    </row>
    <row r="593" spans="6:8" x14ac:dyDescent="0.25">
      <c r="F593"/>
      <c r="G593"/>
      <c r="H593"/>
    </row>
    <row r="594" spans="6:8" x14ac:dyDescent="0.25">
      <c r="F594"/>
      <c r="G594"/>
      <c r="H594"/>
    </row>
    <row r="595" spans="6:8" x14ac:dyDescent="0.25">
      <c r="F595"/>
      <c r="G595"/>
      <c r="H595"/>
    </row>
    <row r="596" spans="6:8" x14ac:dyDescent="0.25">
      <c r="F596"/>
      <c r="G596"/>
      <c r="H596"/>
    </row>
    <row r="597" spans="6:8" x14ac:dyDescent="0.25">
      <c r="F597"/>
      <c r="G597"/>
      <c r="H597"/>
    </row>
    <row r="598" spans="6:8" x14ac:dyDescent="0.25">
      <c r="F598"/>
      <c r="G598"/>
      <c r="H598"/>
    </row>
    <row r="599" spans="6:8" x14ac:dyDescent="0.25">
      <c r="F599"/>
      <c r="G599"/>
      <c r="H599"/>
    </row>
    <row r="600" spans="6:8" x14ac:dyDescent="0.25">
      <c r="F600"/>
      <c r="G600"/>
      <c r="H600"/>
    </row>
    <row r="601" spans="6:8" x14ac:dyDescent="0.25">
      <c r="F601"/>
      <c r="G601"/>
      <c r="H601"/>
    </row>
    <row r="602" spans="6:8" x14ac:dyDescent="0.25">
      <c r="F602"/>
      <c r="G602"/>
      <c r="H602"/>
    </row>
    <row r="603" spans="6:8" x14ac:dyDescent="0.25">
      <c r="F603"/>
      <c r="G603"/>
      <c r="H603"/>
    </row>
    <row r="604" spans="6:8" x14ac:dyDescent="0.25">
      <c r="F604"/>
      <c r="G604"/>
      <c r="H604"/>
    </row>
    <row r="605" spans="6:8" x14ac:dyDescent="0.25">
      <c r="F605"/>
      <c r="G605"/>
      <c r="H605"/>
    </row>
    <row r="606" spans="6:8" x14ac:dyDescent="0.25">
      <c r="F606"/>
      <c r="G606"/>
      <c r="H606"/>
    </row>
    <row r="607" spans="6:8" x14ac:dyDescent="0.25">
      <c r="F607"/>
      <c r="G607"/>
      <c r="H607"/>
    </row>
    <row r="608" spans="6:8" x14ac:dyDescent="0.25">
      <c r="F608"/>
      <c r="G608"/>
      <c r="H608"/>
    </row>
    <row r="609" spans="6:8" x14ac:dyDescent="0.25">
      <c r="F609"/>
      <c r="G609"/>
      <c r="H609"/>
    </row>
    <row r="610" spans="6:8" x14ac:dyDescent="0.25">
      <c r="F610"/>
      <c r="G610"/>
      <c r="H610"/>
    </row>
    <row r="611" spans="6:8" x14ac:dyDescent="0.25">
      <c r="F611"/>
      <c r="G611"/>
      <c r="H611"/>
    </row>
    <row r="612" spans="6:8" x14ac:dyDescent="0.25">
      <c r="F612"/>
      <c r="G612"/>
      <c r="H612"/>
    </row>
    <row r="613" spans="6:8" x14ac:dyDescent="0.25">
      <c r="F613"/>
      <c r="G613"/>
      <c r="H613"/>
    </row>
    <row r="614" spans="6:8" x14ac:dyDescent="0.25">
      <c r="F614"/>
      <c r="G614"/>
      <c r="H614"/>
    </row>
    <row r="615" spans="6:8" x14ac:dyDescent="0.25">
      <c r="F615"/>
      <c r="G615"/>
      <c r="H615"/>
    </row>
    <row r="616" spans="6:8" x14ac:dyDescent="0.25">
      <c r="F616"/>
      <c r="G616"/>
      <c r="H616"/>
    </row>
    <row r="617" spans="6:8" x14ac:dyDescent="0.25">
      <c r="F617"/>
      <c r="G617"/>
      <c r="H617"/>
    </row>
    <row r="618" spans="6:8" x14ac:dyDescent="0.25">
      <c r="F618"/>
      <c r="G618"/>
      <c r="H618"/>
    </row>
    <row r="619" spans="6:8" x14ac:dyDescent="0.25">
      <c r="F619"/>
      <c r="G619"/>
      <c r="H619"/>
    </row>
    <row r="620" spans="6:8" x14ac:dyDescent="0.25">
      <c r="F620"/>
      <c r="G620"/>
      <c r="H620"/>
    </row>
    <row r="621" spans="6:8" x14ac:dyDescent="0.25">
      <c r="F621"/>
      <c r="G621"/>
      <c r="H621"/>
    </row>
    <row r="622" spans="6:8" x14ac:dyDescent="0.25">
      <c r="F622"/>
      <c r="G622"/>
      <c r="H622"/>
    </row>
    <row r="623" spans="6:8" x14ac:dyDescent="0.25">
      <c r="F623"/>
      <c r="G623"/>
      <c r="H623"/>
    </row>
    <row r="624" spans="6:8" x14ac:dyDescent="0.25">
      <c r="F624"/>
      <c r="G624"/>
      <c r="H624"/>
    </row>
    <row r="625" spans="6:8" x14ac:dyDescent="0.25">
      <c r="F625"/>
      <c r="G625"/>
      <c r="H625"/>
    </row>
    <row r="626" spans="6:8" x14ac:dyDescent="0.25">
      <c r="F626"/>
      <c r="G626"/>
      <c r="H626"/>
    </row>
    <row r="627" spans="6:8" x14ac:dyDescent="0.25">
      <c r="F627"/>
      <c r="G627"/>
      <c r="H627"/>
    </row>
    <row r="628" spans="6:8" x14ac:dyDescent="0.25">
      <c r="F628"/>
      <c r="G628"/>
      <c r="H628"/>
    </row>
    <row r="629" spans="6:8" x14ac:dyDescent="0.25">
      <c r="F629"/>
      <c r="G629"/>
      <c r="H629"/>
    </row>
    <row r="630" spans="6:8" x14ac:dyDescent="0.25">
      <c r="F630"/>
      <c r="G630"/>
      <c r="H630"/>
    </row>
    <row r="631" spans="6:8" x14ac:dyDescent="0.25">
      <c r="F631"/>
      <c r="G631"/>
      <c r="H631"/>
    </row>
    <row r="632" spans="6:8" x14ac:dyDescent="0.25">
      <c r="F632"/>
      <c r="G632"/>
      <c r="H632"/>
    </row>
    <row r="633" spans="6:8" x14ac:dyDescent="0.25">
      <c r="F633"/>
      <c r="G633"/>
      <c r="H633"/>
    </row>
    <row r="634" spans="6:8" x14ac:dyDescent="0.25">
      <c r="F634"/>
      <c r="G634"/>
      <c r="H634"/>
    </row>
    <row r="635" spans="6:8" x14ac:dyDescent="0.25">
      <c r="F635"/>
      <c r="G635"/>
      <c r="H635"/>
    </row>
    <row r="636" spans="6:8" x14ac:dyDescent="0.25">
      <c r="F636"/>
      <c r="G636"/>
      <c r="H636"/>
    </row>
    <row r="637" spans="6:8" x14ac:dyDescent="0.25">
      <c r="F637"/>
      <c r="G637"/>
      <c r="H637"/>
    </row>
    <row r="638" spans="6:8" x14ac:dyDescent="0.25">
      <c r="F638"/>
      <c r="G638"/>
      <c r="H638"/>
    </row>
    <row r="639" spans="6:8" x14ac:dyDescent="0.25">
      <c r="F639"/>
      <c r="G639"/>
      <c r="H639"/>
    </row>
    <row r="640" spans="6:8" x14ac:dyDescent="0.25">
      <c r="F640"/>
      <c r="G640"/>
      <c r="H64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Кнопка1_Щелчок">
                <anchor moveWithCells="1" sizeWithCells="1">
                  <from>
                    <xdr:col>27</xdr:col>
                    <xdr:colOff>447675</xdr:colOff>
                    <xdr:row>11</xdr:row>
                    <xdr:rowOff>133350</xdr:rowOff>
                  </from>
                  <to>
                    <xdr:col>30</xdr:col>
                    <xdr:colOff>200025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D2044"/>
  <sheetViews>
    <sheetView topLeftCell="A2015" zoomScaleNormal="100" workbookViewId="0">
      <selection activeCell="B2046" sqref="B2046"/>
    </sheetView>
  </sheetViews>
  <sheetFormatPr defaultColWidth="9.140625" defaultRowHeight="12.75" x14ac:dyDescent="0.2"/>
  <cols>
    <col min="1" max="1" width="30.28515625" style="21" bestFit="1" customWidth="1"/>
    <col min="2" max="2" width="49" style="21" bestFit="1" customWidth="1"/>
    <col min="3" max="3" width="12.140625" style="6" customWidth="1"/>
    <col min="4" max="4" width="31.140625" style="6" customWidth="1"/>
    <col min="5" max="16384" width="9.140625" style="6"/>
  </cols>
  <sheetData>
    <row r="1" spans="1:4" ht="15.75" x14ac:dyDescent="0.2">
      <c r="A1" s="3" t="s">
        <v>624</v>
      </c>
      <c r="B1" s="4" t="s">
        <v>126</v>
      </c>
      <c r="C1" s="5"/>
      <c r="D1" s="5"/>
    </row>
    <row r="2" spans="1:4" x14ac:dyDescent="0.2">
      <c r="A2" s="7" t="s">
        <v>625</v>
      </c>
      <c r="B2" s="8" t="s">
        <v>626</v>
      </c>
      <c r="C2" s="5">
        <v>21</v>
      </c>
      <c r="D2" s="5" t="s">
        <v>627</v>
      </c>
    </row>
    <row r="3" spans="1:4" x14ac:dyDescent="0.2">
      <c r="A3" s="7" t="s">
        <v>628</v>
      </c>
      <c r="B3" s="8" t="s">
        <v>626</v>
      </c>
      <c r="C3" s="5">
        <v>21</v>
      </c>
      <c r="D3" s="5" t="s">
        <v>627</v>
      </c>
    </row>
    <row r="4" spans="1:4" x14ac:dyDescent="0.2">
      <c r="A4" s="7" t="s">
        <v>629</v>
      </c>
      <c r="B4" s="8" t="s">
        <v>626</v>
      </c>
      <c r="C4" s="5">
        <v>21</v>
      </c>
      <c r="D4" s="5" t="s">
        <v>627</v>
      </c>
    </row>
    <row r="5" spans="1:4" x14ac:dyDescent="0.2">
      <c r="A5" s="7" t="s">
        <v>630</v>
      </c>
      <c r="B5" s="8" t="s">
        <v>626</v>
      </c>
      <c r="C5" s="5">
        <v>21</v>
      </c>
      <c r="D5" s="5" t="s">
        <v>627</v>
      </c>
    </row>
    <row r="6" spans="1:4" x14ac:dyDescent="0.2">
      <c r="A6" s="7" t="s">
        <v>631</v>
      </c>
      <c r="B6" s="8" t="s">
        <v>626</v>
      </c>
      <c r="C6" s="5">
        <v>21</v>
      </c>
      <c r="D6" s="5" t="s">
        <v>627</v>
      </c>
    </row>
    <row r="7" spans="1:4" x14ac:dyDescent="0.2">
      <c r="A7" s="7" t="s">
        <v>632</v>
      </c>
      <c r="B7" s="8" t="s">
        <v>626</v>
      </c>
      <c r="C7" s="5">
        <v>21</v>
      </c>
      <c r="D7" s="5" t="s">
        <v>627</v>
      </c>
    </row>
    <row r="8" spans="1:4" x14ac:dyDescent="0.2">
      <c r="A8" s="7" t="s">
        <v>633</v>
      </c>
      <c r="B8" s="8" t="s">
        <v>634</v>
      </c>
      <c r="C8" s="5">
        <v>21</v>
      </c>
      <c r="D8" s="5" t="s">
        <v>627</v>
      </c>
    </row>
    <row r="9" spans="1:4" x14ac:dyDescent="0.2">
      <c r="A9" s="7" t="s">
        <v>635</v>
      </c>
      <c r="B9" s="8" t="s">
        <v>634</v>
      </c>
      <c r="C9" s="5">
        <v>21</v>
      </c>
      <c r="D9" s="5" t="s">
        <v>627</v>
      </c>
    </row>
    <row r="10" spans="1:4" x14ac:dyDescent="0.2">
      <c r="A10" s="7" t="s">
        <v>636</v>
      </c>
      <c r="B10" s="8" t="s">
        <v>634</v>
      </c>
      <c r="C10" s="5">
        <v>21</v>
      </c>
      <c r="D10" s="5" t="s">
        <v>627</v>
      </c>
    </row>
    <row r="11" spans="1:4" x14ac:dyDescent="0.2">
      <c r="A11" s="7" t="s">
        <v>637</v>
      </c>
      <c r="B11" s="8" t="s">
        <v>634</v>
      </c>
      <c r="C11" s="5">
        <v>21</v>
      </c>
      <c r="D11" s="5" t="s">
        <v>627</v>
      </c>
    </row>
    <row r="12" spans="1:4" x14ac:dyDescent="0.2">
      <c r="A12" s="7" t="s">
        <v>638</v>
      </c>
      <c r="B12" s="8" t="s">
        <v>634</v>
      </c>
      <c r="C12" s="5">
        <v>21</v>
      </c>
      <c r="D12" s="5" t="s">
        <v>627</v>
      </c>
    </row>
    <row r="13" spans="1:4" x14ac:dyDescent="0.2">
      <c r="A13" s="7" t="s">
        <v>639</v>
      </c>
      <c r="B13" s="8" t="s">
        <v>634</v>
      </c>
      <c r="C13" s="5">
        <v>21</v>
      </c>
      <c r="D13" s="5" t="s">
        <v>627</v>
      </c>
    </row>
    <row r="14" spans="1:4" x14ac:dyDescent="0.2">
      <c r="A14" s="7" t="s">
        <v>640</v>
      </c>
      <c r="B14" s="8" t="s">
        <v>634</v>
      </c>
      <c r="C14" s="5">
        <v>21</v>
      </c>
      <c r="D14" s="5" t="s">
        <v>627</v>
      </c>
    </row>
    <row r="15" spans="1:4" x14ac:dyDescent="0.2">
      <c r="A15" s="7" t="s">
        <v>641</v>
      </c>
      <c r="B15" s="8" t="s">
        <v>634</v>
      </c>
      <c r="C15" s="5">
        <v>21</v>
      </c>
      <c r="D15" s="5" t="s">
        <v>627</v>
      </c>
    </row>
    <row r="16" spans="1:4" x14ac:dyDescent="0.2">
      <c r="A16" s="7" t="s">
        <v>642</v>
      </c>
      <c r="B16" s="8" t="s">
        <v>634</v>
      </c>
      <c r="C16" s="5">
        <v>21</v>
      </c>
      <c r="D16" s="5" t="s">
        <v>627</v>
      </c>
    </row>
    <row r="17" spans="1:4" x14ac:dyDescent="0.2">
      <c r="A17" s="7" t="s">
        <v>643</v>
      </c>
      <c r="B17" s="8" t="s">
        <v>644</v>
      </c>
      <c r="C17" s="5">
        <v>21</v>
      </c>
      <c r="D17" s="5" t="s">
        <v>627</v>
      </c>
    </row>
    <row r="18" spans="1:4" x14ac:dyDescent="0.2">
      <c r="A18" s="7" t="s">
        <v>645</v>
      </c>
      <c r="B18" s="8" t="s">
        <v>644</v>
      </c>
      <c r="C18" s="5">
        <v>21</v>
      </c>
      <c r="D18" s="5" t="s">
        <v>627</v>
      </c>
    </row>
    <row r="19" spans="1:4" x14ac:dyDescent="0.2">
      <c r="A19" s="7" t="s">
        <v>646</v>
      </c>
      <c r="B19" s="8" t="s">
        <v>644</v>
      </c>
      <c r="C19" s="5">
        <v>21</v>
      </c>
      <c r="D19" s="5" t="s">
        <v>627</v>
      </c>
    </row>
    <row r="20" spans="1:4" x14ac:dyDescent="0.2">
      <c r="A20" s="7" t="s">
        <v>647</v>
      </c>
      <c r="B20" s="8" t="s">
        <v>644</v>
      </c>
      <c r="C20" s="5">
        <v>21</v>
      </c>
      <c r="D20" s="5" t="s">
        <v>627</v>
      </c>
    </row>
    <row r="21" spans="1:4" x14ac:dyDescent="0.2">
      <c r="A21" s="7" t="s">
        <v>648</v>
      </c>
      <c r="B21" s="8" t="s">
        <v>644</v>
      </c>
      <c r="C21" s="5">
        <v>21</v>
      </c>
      <c r="D21" s="5" t="s">
        <v>627</v>
      </c>
    </row>
    <row r="22" spans="1:4" x14ac:dyDescent="0.2">
      <c r="A22" s="7" t="s">
        <v>649</v>
      </c>
      <c r="B22" s="8" t="s">
        <v>644</v>
      </c>
      <c r="C22" s="5">
        <v>21</v>
      </c>
      <c r="D22" s="5" t="s">
        <v>627</v>
      </c>
    </row>
    <row r="23" spans="1:4" x14ac:dyDescent="0.2">
      <c r="A23" s="7" t="s">
        <v>650</v>
      </c>
      <c r="B23" s="8" t="s">
        <v>651</v>
      </c>
      <c r="C23" s="5">
        <v>21</v>
      </c>
      <c r="D23" s="5" t="s">
        <v>627</v>
      </c>
    </row>
    <row r="24" spans="1:4" x14ac:dyDescent="0.2">
      <c r="A24" s="7" t="s">
        <v>652</v>
      </c>
      <c r="B24" s="8" t="s">
        <v>651</v>
      </c>
      <c r="C24" s="5">
        <v>21</v>
      </c>
      <c r="D24" s="5" t="s">
        <v>627</v>
      </c>
    </row>
    <row r="25" spans="1:4" x14ac:dyDescent="0.2">
      <c r="A25" s="7" t="s">
        <v>653</v>
      </c>
      <c r="B25" s="8" t="s">
        <v>651</v>
      </c>
      <c r="C25" s="5">
        <v>21</v>
      </c>
      <c r="D25" s="5" t="s">
        <v>627</v>
      </c>
    </row>
    <row r="26" spans="1:4" x14ac:dyDescent="0.2">
      <c r="A26" s="7" t="s">
        <v>654</v>
      </c>
      <c r="B26" s="8" t="s">
        <v>651</v>
      </c>
      <c r="C26" s="5">
        <v>21</v>
      </c>
      <c r="D26" s="5" t="s">
        <v>627</v>
      </c>
    </row>
    <row r="27" spans="1:4" x14ac:dyDescent="0.2">
      <c r="A27" s="7" t="s">
        <v>655</v>
      </c>
      <c r="B27" s="8" t="s">
        <v>656</v>
      </c>
      <c r="C27" s="5">
        <v>21</v>
      </c>
      <c r="D27" s="5" t="s">
        <v>627</v>
      </c>
    </row>
    <row r="28" spans="1:4" x14ac:dyDescent="0.2">
      <c r="A28" s="9" t="s">
        <v>657</v>
      </c>
      <c r="B28" s="8" t="s">
        <v>656</v>
      </c>
      <c r="C28" s="5">
        <v>21</v>
      </c>
      <c r="D28" s="5" t="s">
        <v>627</v>
      </c>
    </row>
    <row r="29" spans="1:4" x14ac:dyDescent="0.2">
      <c r="A29" s="7" t="s">
        <v>658</v>
      </c>
      <c r="B29" s="8" t="s">
        <v>656</v>
      </c>
      <c r="C29" s="5">
        <v>21</v>
      </c>
      <c r="D29" s="5" t="s">
        <v>627</v>
      </c>
    </row>
    <row r="30" spans="1:4" x14ac:dyDescent="0.2">
      <c r="A30" s="7" t="s">
        <v>659</v>
      </c>
      <c r="B30" s="8" t="s">
        <v>656</v>
      </c>
      <c r="C30" s="5">
        <v>21</v>
      </c>
      <c r="D30" s="5" t="s">
        <v>627</v>
      </c>
    </row>
    <row r="31" spans="1:4" x14ac:dyDescent="0.2">
      <c r="A31" s="7" t="s">
        <v>660</v>
      </c>
      <c r="B31" s="8" t="s">
        <v>656</v>
      </c>
      <c r="C31" s="5">
        <v>21</v>
      </c>
      <c r="D31" s="5" t="s">
        <v>627</v>
      </c>
    </row>
    <row r="32" spans="1:4" x14ac:dyDescent="0.2">
      <c r="A32" s="7" t="s">
        <v>661</v>
      </c>
      <c r="B32" s="8" t="s">
        <v>656</v>
      </c>
      <c r="C32" s="5">
        <v>21</v>
      </c>
      <c r="D32" s="5" t="s">
        <v>627</v>
      </c>
    </row>
    <row r="33" spans="1:4" x14ac:dyDescent="0.2">
      <c r="A33" s="7" t="s">
        <v>662</v>
      </c>
      <c r="B33" s="8" t="s">
        <v>656</v>
      </c>
      <c r="C33" s="5">
        <v>21</v>
      </c>
      <c r="D33" s="5" t="s">
        <v>627</v>
      </c>
    </row>
    <row r="34" spans="1:4" x14ac:dyDescent="0.2">
      <c r="A34" s="7" t="s">
        <v>663</v>
      </c>
      <c r="B34" s="8" t="s">
        <v>656</v>
      </c>
      <c r="C34" s="5">
        <v>21</v>
      </c>
      <c r="D34" s="5" t="s">
        <v>627</v>
      </c>
    </row>
    <row r="35" spans="1:4" x14ac:dyDescent="0.2">
      <c r="A35" s="7" t="s">
        <v>274</v>
      </c>
      <c r="B35" s="8" t="s">
        <v>656</v>
      </c>
      <c r="C35" s="5">
        <v>21</v>
      </c>
      <c r="D35" s="5" t="s">
        <v>627</v>
      </c>
    </row>
    <row r="36" spans="1:4" x14ac:dyDescent="0.2">
      <c r="A36" s="7" t="s">
        <v>664</v>
      </c>
      <c r="B36" s="8" t="s">
        <v>656</v>
      </c>
      <c r="C36" s="5">
        <v>21</v>
      </c>
      <c r="D36" s="5" t="s">
        <v>627</v>
      </c>
    </row>
    <row r="37" spans="1:4" x14ac:dyDescent="0.2">
      <c r="A37" s="7" t="s">
        <v>665</v>
      </c>
      <c r="B37" s="8" t="s">
        <v>666</v>
      </c>
      <c r="C37" s="5">
        <v>23</v>
      </c>
      <c r="D37" s="10" t="s">
        <v>667</v>
      </c>
    </row>
    <row r="38" spans="1:4" x14ac:dyDescent="0.2">
      <c r="A38" s="7" t="s">
        <v>668</v>
      </c>
      <c r="B38" s="8" t="s">
        <v>666</v>
      </c>
      <c r="C38" s="5">
        <v>23</v>
      </c>
      <c r="D38" s="10" t="s">
        <v>667</v>
      </c>
    </row>
    <row r="39" spans="1:4" x14ac:dyDescent="0.2">
      <c r="A39" s="7" t="s">
        <v>669</v>
      </c>
      <c r="B39" s="8" t="s">
        <v>666</v>
      </c>
      <c r="C39" s="5">
        <v>23</v>
      </c>
      <c r="D39" s="10" t="s">
        <v>667</v>
      </c>
    </row>
    <row r="40" spans="1:4" x14ac:dyDescent="0.2">
      <c r="A40" s="7" t="s">
        <v>670</v>
      </c>
      <c r="B40" s="8" t="s">
        <v>671</v>
      </c>
      <c r="C40" s="5">
        <v>23</v>
      </c>
      <c r="D40" s="10" t="s">
        <v>667</v>
      </c>
    </row>
    <row r="41" spans="1:4" x14ac:dyDescent="0.2">
      <c r="A41" s="7" t="s">
        <v>672</v>
      </c>
      <c r="B41" s="8" t="s">
        <v>671</v>
      </c>
      <c r="C41" s="5">
        <v>23</v>
      </c>
      <c r="D41" s="10" t="s">
        <v>667</v>
      </c>
    </row>
    <row r="42" spans="1:4" x14ac:dyDescent="0.2">
      <c r="A42" s="7" t="s">
        <v>673</v>
      </c>
      <c r="B42" s="8" t="s">
        <v>671</v>
      </c>
      <c r="C42" s="5">
        <v>23</v>
      </c>
      <c r="D42" s="10" t="s">
        <v>667</v>
      </c>
    </row>
    <row r="43" spans="1:4" x14ac:dyDescent="0.2">
      <c r="A43" s="7" t="s">
        <v>674</v>
      </c>
      <c r="B43" s="8" t="s">
        <v>671</v>
      </c>
      <c r="C43" s="5">
        <v>23</v>
      </c>
      <c r="D43" s="10" t="s">
        <v>667</v>
      </c>
    </row>
    <row r="44" spans="1:4" x14ac:dyDescent="0.2">
      <c r="A44" s="7" t="s">
        <v>675</v>
      </c>
      <c r="B44" s="8" t="s">
        <v>671</v>
      </c>
      <c r="C44" s="5">
        <v>23</v>
      </c>
      <c r="D44" s="10" t="s">
        <v>667</v>
      </c>
    </row>
    <row r="45" spans="1:4" x14ac:dyDescent="0.2">
      <c r="A45" s="7" t="s">
        <v>676</v>
      </c>
      <c r="B45" s="8" t="s">
        <v>671</v>
      </c>
      <c r="C45" s="5">
        <v>23</v>
      </c>
      <c r="D45" s="10" t="s">
        <v>667</v>
      </c>
    </row>
    <row r="46" spans="1:4" x14ac:dyDescent="0.2">
      <c r="A46" s="7" t="s">
        <v>677</v>
      </c>
      <c r="B46" s="8" t="s">
        <v>671</v>
      </c>
      <c r="C46" s="5">
        <v>23</v>
      </c>
      <c r="D46" s="10" t="s">
        <v>667</v>
      </c>
    </row>
    <row r="47" spans="1:4" x14ac:dyDescent="0.2">
      <c r="A47" s="7" t="s">
        <v>678</v>
      </c>
      <c r="B47" s="8" t="s">
        <v>671</v>
      </c>
      <c r="C47" s="5">
        <v>23</v>
      </c>
      <c r="D47" s="10" t="s">
        <v>667</v>
      </c>
    </row>
    <row r="48" spans="1:4" x14ac:dyDescent="0.2">
      <c r="A48" s="7" t="s">
        <v>679</v>
      </c>
      <c r="B48" s="8" t="s">
        <v>671</v>
      </c>
      <c r="C48" s="5">
        <v>23</v>
      </c>
      <c r="D48" s="10" t="s">
        <v>667</v>
      </c>
    </row>
    <row r="49" spans="1:4" x14ac:dyDescent="0.2">
      <c r="A49" s="7" t="s">
        <v>680</v>
      </c>
      <c r="B49" s="8" t="s">
        <v>671</v>
      </c>
      <c r="C49" s="5">
        <v>23</v>
      </c>
      <c r="D49" s="10" t="s">
        <v>667</v>
      </c>
    </row>
    <row r="50" spans="1:4" x14ac:dyDescent="0.2">
      <c r="A50" s="7" t="s">
        <v>681</v>
      </c>
      <c r="B50" s="8" t="s">
        <v>671</v>
      </c>
      <c r="C50" s="5">
        <v>23</v>
      </c>
      <c r="D50" s="10" t="s">
        <v>667</v>
      </c>
    </row>
    <row r="51" spans="1:4" x14ac:dyDescent="0.2">
      <c r="A51" s="7" t="s">
        <v>682</v>
      </c>
      <c r="B51" s="8" t="s">
        <v>671</v>
      </c>
      <c r="C51" s="5">
        <v>23</v>
      </c>
      <c r="D51" s="10" t="s">
        <v>667</v>
      </c>
    </row>
    <row r="52" spans="1:4" x14ac:dyDescent="0.2">
      <c r="A52" s="7" t="s">
        <v>683</v>
      </c>
      <c r="B52" s="8" t="s">
        <v>671</v>
      </c>
      <c r="C52" s="5">
        <v>23</v>
      </c>
      <c r="D52" s="10" t="s">
        <v>667</v>
      </c>
    </row>
    <row r="53" spans="1:4" x14ac:dyDescent="0.2">
      <c r="A53" s="7" t="s">
        <v>684</v>
      </c>
      <c r="B53" s="8" t="s">
        <v>671</v>
      </c>
      <c r="C53" s="5">
        <v>23</v>
      </c>
      <c r="D53" s="10" t="s">
        <v>667</v>
      </c>
    </row>
    <row r="54" spans="1:4" x14ac:dyDescent="0.2">
      <c r="A54" s="7" t="s">
        <v>685</v>
      </c>
      <c r="B54" s="8" t="s">
        <v>671</v>
      </c>
      <c r="C54" s="5">
        <v>23</v>
      </c>
      <c r="D54" s="10" t="s">
        <v>667</v>
      </c>
    </row>
    <row r="55" spans="1:4" x14ac:dyDescent="0.2">
      <c r="A55" s="7" t="s">
        <v>686</v>
      </c>
      <c r="B55" s="8" t="s">
        <v>671</v>
      </c>
      <c r="C55" s="5">
        <v>23</v>
      </c>
      <c r="D55" s="10" t="s">
        <v>667</v>
      </c>
    </row>
    <row r="56" spans="1:4" x14ac:dyDescent="0.2">
      <c r="A56" s="7" t="s">
        <v>687</v>
      </c>
      <c r="B56" s="8" t="s">
        <v>671</v>
      </c>
      <c r="C56" s="5">
        <v>23</v>
      </c>
      <c r="D56" s="10" t="s">
        <v>667</v>
      </c>
    </row>
    <row r="57" spans="1:4" x14ac:dyDescent="0.2">
      <c r="A57" s="7" t="s">
        <v>688</v>
      </c>
      <c r="B57" s="8" t="s">
        <v>671</v>
      </c>
      <c r="C57" s="5">
        <v>23</v>
      </c>
      <c r="D57" s="10" t="s">
        <v>667</v>
      </c>
    </row>
    <row r="58" spans="1:4" x14ac:dyDescent="0.2">
      <c r="A58" s="7" t="s">
        <v>689</v>
      </c>
      <c r="B58" s="8" t="s">
        <v>671</v>
      </c>
      <c r="C58" s="5">
        <v>23</v>
      </c>
      <c r="D58" s="10" t="s">
        <v>667</v>
      </c>
    </row>
    <row r="59" spans="1:4" x14ac:dyDescent="0.2">
      <c r="A59" s="7" t="s">
        <v>690</v>
      </c>
      <c r="B59" s="8" t="s">
        <v>671</v>
      </c>
      <c r="C59" s="5">
        <v>23</v>
      </c>
      <c r="D59" s="10" t="s">
        <v>667</v>
      </c>
    </row>
    <row r="60" spans="1:4" x14ac:dyDescent="0.2">
      <c r="A60" s="7" t="s">
        <v>691</v>
      </c>
      <c r="B60" s="8" t="s">
        <v>671</v>
      </c>
      <c r="C60" s="5">
        <v>23</v>
      </c>
      <c r="D60" s="10" t="s">
        <v>667</v>
      </c>
    </row>
    <row r="61" spans="1:4" x14ac:dyDescent="0.2">
      <c r="A61" s="7" t="s">
        <v>692</v>
      </c>
      <c r="B61" s="8" t="s">
        <v>671</v>
      </c>
      <c r="C61" s="5">
        <v>23</v>
      </c>
      <c r="D61" s="10" t="s">
        <v>667</v>
      </c>
    </row>
    <row r="62" spans="1:4" x14ac:dyDescent="0.2">
      <c r="A62" s="7" t="s">
        <v>693</v>
      </c>
      <c r="B62" s="8" t="s">
        <v>671</v>
      </c>
      <c r="C62" s="5">
        <v>23</v>
      </c>
      <c r="D62" s="10" t="s">
        <v>667</v>
      </c>
    </row>
    <row r="63" spans="1:4" x14ac:dyDescent="0.2">
      <c r="A63" s="7" t="s">
        <v>694</v>
      </c>
      <c r="B63" s="8" t="s">
        <v>671</v>
      </c>
      <c r="C63" s="5">
        <v>23</v>
      </c>
      <c r="D63" s="10" t="s">
        <v>667</v>
      </c>
    </row>
    <row r="64" spans="1:4" x14ac:dyDescent="0.2">
      <c r="A64" s="7" t="s">
        <v>695</v>
      </c>
      <c r="B64" s="8" t="s">
        <v>671</v>
      </c>
      <c r="C64" s="5">
        <v>23</v>
      </c>
      <c r="D64" s="10" t="s">
        <v>667</v>
      </c>
    </row>
    <row r="65" spans="1:4" x14ac:dyDescent="0.2">
      <c r="A65" s="7" t="s">
        <v>696</v>
      </c>
      <c r="B65" s="8" t="s">
        <v>671</v>
      </c>
      <c r="C65" s="5">
        <v>23</v>
      </c>
      <c r="D65" s="10" t="s">
        <v>667</v>
      </c>
    </row>
    <row r="66" spans="1:4" x14ac:dyDescent="0.2">
      <c r="A66" s="7" t="s">
        <v>697</v>
      </c>
      <c r="B66" s="8" t="s">
        <v>671</v>
      </c>
      <c r="C66" s="5">
        <v>23</v>
      </c>
      <c r="D66" s="10" t="s">
        <v>667</v>
      </c>
    </row>
    <row r="67" spans="1:4" x14ac:dyDescent="0.2">
      <c r="A67" s="7" t="s">
        <v>698</v>
      </c>
      <c r="B67" s="8" t="s">
        <v>671</v>
      </c>
      <c r="C67" s="5">
        <v>23</v>
      </c>
      <c r="D67" s="10" t="s">
        <v>667</v>
      </c>
    </row>
    <row r="68" spans="1:4" x14ac:dyDescent="0.2">
      <c r="A68" s="7" t="s">
        <v>699</v>
      </c>
      <c r="B68" s="8" t="s">
        <v>671</v>
      </c>
      <c r="C68" s="5">
        <v>23</v>
      </c>
      <c r="D68" s="10" t="s">
        <v>667</v>
      </c>
    </row>
    <row r="69" spans="1:4" x14ac:dyDescent="0.2">
      <c r="A69" s="7" t="s">
        <v>700</v>
      </c>
      <c r="B69" s="8" t="s">
        <v>671</v>
      </c>
      <c r="C69" s="5">
        <v>23</v>
      </c>
      <c r="D69" s="10" t="s">
        <v>667</v>
      </c>
    </row>
    <row r="70" spans="1:4" x14ac:dyDescent="0.2">
      <c r="A70" s="7" t="s">
        <v>701</v>
      </c>
      <c r="B70" s="8" t="s">
        <v>671</v>
      </c>
      <c r="C70" s="5">
        <v>23</v>
      </c>
      <c r="D70" s="10" t="s">
        <v>667</v>
      </c>
    </row>
    <row r="71" spans="1:4" x14ac:dyDescent="0.2">
      <c r="A71" s="7" t="s">
        <v>702</v>
      </c>
      <c r="B71" s="8" t="s">
        <v>671</v>
      </c>
      <c r="C71" s="5">
        <v>23</v>
      </c>
      <c r="D71" s="10" t="s">
        <v>667</v>
      </c>
    </row>
    <row r="72" spans="1:4" x14ac:dyDescent="0.2">
      <c r="A72" s="7" t="s">
        <v>703</v>
      </c>
      <c r="B72" s="8" t="s">
        <v>671</v>
      </c>
      <c r="C72" s="5">
        <v>23</v>
      </c>
      <c r="D72" s="10" t="s">
        <v>667</v>
      </c>
    </row>
    <row r="73" spans="1:4" x14ac:dyDescent="0.2">
      <c r="A73" s="7" t="s">
        <v>704</v>
      </c>
      <c r="B73" s="8" t="s">
        <v>671</v>
      </c>
      <c r="C73" s="5">
        <v>23</v>
      </c>
      <c r="D73" s="10" t="s">
        <v>667</v>
      </c>
    </row>
    <row r="74" spans="1:4" x14ac:dyDescent="0.2">
      <c r="A74" s="7" t="s">
        <v>705</v>
      </c>
      <c r="B74" s="8" t="s">
        <v>671</v>
      </c>
      <c r="C74" s="5">
        <v>23</v>
      </c>
      <c r="D74" s="10" t="s">
        <v>667</v>
      </c>
    </row>
    <row r="75" spans="1:4" x14ac:dyDescent="0.2">
      <c r="A75" s="7" t="s">
        <v>706</v>
      </c>
      <c r="B75" s="8" t="s">
        <v>671</v>
      </c>
      <c r="C75" s="5">
        <v>23</v>
      </c>
      <c r="D75" s="10" t="s">
        <v>667</v>
      </c>
    </row>
    <row r="76" spans="1:4" x14ac:dyDescent="0.2">
      <c r="A76" s="7" t="s">
        <v>707</v>
      </c>
      <c r="B76" s="8" t="s">
        <v>671</v>
      </c>
      <c r="C76" s="5">
        <v>23</v>
      </c>
      <c r="D76" s="10" t="s">
        <v>667</v>
      </c>
    </row>
    <row r="77" spans="1:4" x14ac:dyDescent="0.2">
      <c r="A77" s="7" t="s">
        <v>708</v>
      </c>
      <c r="B77" s="8" t="s">
        <v>671</v>
      </c>
      <c r="C77" s="5">
        <v>23</v>
      </c>
      <c r="D77" s="10" t="s">
        <v>667</v>
      </c>
    </row>
    <row r="78" spans="1:4" x14ac:dyDescent="0.2">
      <c r="A78" s="7" t="s">
        <v>709</v>
      </c>
      <c r="B78" s="8" t="s">
        <v>671</v>
      </c>
      <c r="C78" s="5">
        <v>23</v>
      </c>
      <c r="D78" s="10" t="s">
        <v>667</v>
      </c>
    </row>
    <row r="79" spans="1:4" x14ac:dyDescent="0.2">
      <c r="A79" s="7" t="s">
        <v>710</v>
      </c>
      <c r="B79" s="8" t="s">
        <v>671</v>
      </c>
      <c r="C79" s="5">
        <v>23</v>
      </c>
      <c r="D79" s="10" t="s">
        <v>667</v>
      </c>
    </row>
    <row r="80" spans="1:4" x14ac:dyDescent="0.2">
      <c r="A80" s="7" t="s">
        <v>711</v>
      </c>
      <c r="B80" s="8" t="s">
        <v>671</v>
      </c>
      <c r="C80" s="5">
        <v>23</v>
      </c>
      <c r="D80" s="10" t="s">
        <v>667</v>
      </c>
    </row>
    <row r="81" spans="1:4" x14ac:dyDescent="0.2">
      <c r="A81" s="7" t="s">
        <v>712</v>
      </c>
      <c r="B81" s="8" t="s">
        <v>671</v>
      </c>
      <c r="C81" s="5">
        <v>23</v>
      </c>
      <c r="D81" s="10" t="s">
        <v>667</v>
      </c>
    </row>
    <row r="82" spans="1:4" x14ac:dyDescent="0.2">
      <c r="A82" s="7" t="s">
        <v>713</v>
      </c>
      <c r="B82" s="8" t="s">
        <v>671</v>
      </c>
      <c r="C82" s="5">
        <v>23</v>
      </c>
      <c r="D82" s="10" t="s">
        <v>667</v>
      </c>
    </row>
    <row r="83" spans="1:4" x14ac:dyDescent="0.2">
      <c r="A83" s="7" t="s">
        <v>714</v>
      </c>
      <c r="B83" s="8" t="s">
        <v>671</v>
      </c>
      <c r="C83" s="5">
        <v>23</v>
      </c>
      <c r="D83" s="10" t="s">
        <v>667</v>
      </c>
    </row>
    <row r="84" spans="1:4" x14ac:dyDescent="0.2">
      <c r="A84" s="7" t="s">
        <v>715</v>
      </c>
      <c r="B84" s="8" t="s">
        <v>671</v>
      </c>
      <c r="C84" s="5">
        <v>23</v>
      </c>
      <c r="D84" s="10" t="s">
        <v>667</v>
      </c>
    </row>
    <row r="85" spans="1:4" x14ac:dyDescent="0.2">
      <c r="A85" s="7" t="s">
        <v>716</v>
      </c>
      <c r="B85" s="8" t="s">
        <v>671</v>
      </c>
      <c r="C85" s="5">
        <v>23</v>
      </c>
      <c r="D85" s="10" t="s">
        <v>667</v>
      </c>
    </row>
    <row r="86" spans="1:4" x14ac:dyDescent="0.2">
      <c r="A86" s="7" t="s">
        <v>717</v>
      </c>
      <c r="B86" s="8" t="s">
        <v>671</v>
      </c>
      <c r="C86" s="5">
        <v>23</v>
      </c>
      <c r="D86" s="10" t="s">
        <v>667</v>
      </c>
    </row>
    <row r="87" spans="1:4" x14ac:dyDescent="0.2">
      <c r="A87" s="7" t="s">
        <v>718</v>
      </c>
      <c r="B87" s="8" t="s">
        <v>671</v>
      </c>
      <c r="C87" s="5">
        <v>23</v>
      </c>
      <c r="D87" s="10" t="s">
        <v>667</v>
      </c>
    </row>
    <row r="88" spans="1:4" x14ac:dyDescent="0.2">
      <c r="A88" s="7" t="s">
        <v>719</v>
      </c>
      <c r="B88" s="8" t="s">
        <v>671</v>
      </c>
      <c r="C88" s="5">
        <v>23</v>
      </c>
      <c r="D88" s="10" t="s">
        <v>667</v>
      </c>
    </row>
    <row r="89" spans="1:4" x14ac:dyDescent="0.2">
      <c r="A89" s="7" t="s">
        <v>720</v>
      </c>
      <c r="B89" s="8" t="s">
        <v>671</v>
      </c>
      <c r="C89" s="5">
        <v>23</v>
      </c>
      <c r="D89" s="10" t="s">
        <v>667</v>
      </c>
    </row>
    <row r="90" spans="1:4" x14ac:dyDescent="0.2">
      <c r="A90" s="7" t="s">
        <v>721</v>
      </c>
      <c r="B90" s="8" t="s">
        <v>671</v>
      </c>
      <c r="C90" s="5">
        <v>23</v>
      </c>
      <c r="D90" s="10" t="s">
        <v>667</v>
      </c>
    </row>
    <row r="91" spans="1:4" x14ac:dyDescent="0.2">
      <c r="A91" s="7" t="s">
        <v>722</v>
      </c>
      <c r="B91" s="8" t="s">
        <v>671</v>
      </c>
      <c r="C91" s="5">
        <v>23</v>
      </c>
      <c r="D91" s="10" t="s">
        <v>667</v>
      </c>
    </row>
    <row r="92" spans="1:4" x14ac:dyDescent="0.2">
      <c r="A92" s="7" t="s">
        <v>723</v>
      </c>
      <c r="B92" s="8" t="s">
        <v>671</v>
      </c>
      <c r="C92" s="5">
        <v>23</v>
      </c>
      <c r="D92" s="10" t="s">
        <v>667</v>
      </c>
    </row>
    <row r="93" spans="1:4" x14ac:dyDescent="0.2">
      <c r="A93" s="7" t="s">
        <v>724</v>
      </c>
      <c r="B93" s="8" t="s">
        <v>671</v>
      </c>
      <c r="C93" s="5">
        <v>23</v>
      </c>
      <c r="D93" s="10" t="s">
        <v>667</v>
      </c>
    </row>
    <row r="94" spans="1:4" x14ac:dyDescent="0.2">
      <c r="A94" s="7" t="s">
        <v>725</v>
      </c>
      <c r="B94" s="8" t="s">
        <v>671</v>
      </c>
      <c r="C94" s="5">
        <v>23</v>
      </c>
      <c r="D94" s="10" t="s">
        <v>667</v>
      </c>
    </row>
    <row r="95" spans="1:4" x14ac:dyDescent="0.2">
      <c r="A95" s="7" t="s">
        <v>726</v>
      </c>
      <c r="B95" s="8" t="s">
        <v>671</v>
      </c>
      <c r="C95" s="5">
        <v>23</v>
      </c>
      <c r="D95" s="10" t="s">
        <v>667</v>
      </c>
    </row>
    <row r="96" spans="1:4" x14ac:dyDescent="0.2">
      <c r="A96" s="7" t="s">
        <v>727</v>
      </c>
      <c r="B96" s="8" t="s">
        <v>671</v>
      </c>
      <c r="C96" s="5">
        <v>23</v>
      </c>
      <c r="D96" s="10" t="s">
        <v>667</v>
      </c>
    </row>
    <row r="97" spans="1:4" x14ac:dyDescent="0.2">
      <c r="A97" s="7" t="s">
        <v>728</v>
      </c>
      <c r="B97" s="8" t="s">
        <v>671</v>
      </c>
      <c r="C97" s="5">
        <v>23</v>
      </c>
      <c r="D97" s="10" t="s">
        <v>667</v>
      </c>
    </row>
    <row r="98" spans="1:4" x14ac:dyDescent="0.2">
      <c r="A98" s="7" t="s">
        <v>729</v>
      </c>
      <c r="B98" s="8" t="s">
        <v>671</v>
      </c>
      <c r="C98" s="5">
        <v>23</v>
      </c>
      <c r="D98" s="10" t="s">
        <v>667</v>
      </c>
    </row>
    <row r="99" spans="1:4" x14ac:dyDescent="0.2">
      <c r="A99" s="7" t="s">
        <v>730</v>
      </c>
      <c r="B99" s="8" t="s">
        <v>671</v>
      </c>
      <c r="C99" s="5">
        <v>23</v>
      </c>
      <c r="D99" s="10" t="s">
        <v>667</v>
      </c>
    </row>
    <row r="100" spans="1:4" x14ac:dyDescent="0.2">
      <c r="A100" s="7" t="s">
        <v>731</v>
      </c>
      <c r="B100" s="8" t="s">
        <v>671</v>
      </c>
      <c r="C100" s="5">
        <v>23</v>
      </c>
      <c r="D100" s="10" t="s">
        <v>667</v>
      </c>
    </row>
    <row r="101" spans="1:4" x14ac:dyDescent="0.2">
      <c r="A101" s="7" t="s">
        <v>732</v>
      </c>
      <c r="B101" s="8" t="s">
        <v>671</v>
      </c>
      <c r="C101" s="5">
        <v>23</v>
      </c>
      <c r="D101" s="10" t="s">
        <v>667</v>
      </c>
    </row>
    <row r="102" spans="1:4" x14ac:dyDescent="0.2">
      <c r="A102" s="7" t="s">
        <v>733</v>
      </c>
      <c r="B102" s="8" t="s">
        <v>734</v>
      </c>
      <c r="C102" s="5">
        <v>23</v>
      </c>
      <c r="D102" s="10" t="s">
        <v>667</v>
      </c>
    </row>
    <row r="103" spans="1:4" x14ac:dyDescent="0.2">
      <c r="A103" s="7" t="s">
        <v>735</v>
      </c>
      <c r="B103" s="8" t="s">
        <v>734</v>
      </c>
      <c r="C103" s="5">
        <v>23</v>
      </c>
      <c r="D103" s="10" t="s">
        <v>667</v>
      </c>
    </row>
    <row r="104" spans="1:4" x14ac:dyDescent="0.2">
      <c r="A104" s="7" t="s">
        <v>736</v>
      </c>
      <c r="B104" s="8" t="s">
        <v>734</v>
      </c>
      <c r="C104" s="5">
        <v>23</v>
      </c>
      <c r="D104" s="10" t="s">
        <v>667</v>
      </c>
    </row>
    <row r="105" spans="1:4" x14ac:dyDescent="0.2">
      <c r="A105" s="7" t="s">
        <v>737</v>
      </c>
      <c r="B105" s="8" t="s">
        <v>734</v>
      </c>
      <c r="C105" s="5">
        <v>23</v>
      </c>
      <c r="D105" s="10" t="s">
        <v>667</v>
      </c>
    </row>
    <row r="106" spans="1:4" x14ac:dyDescent="0.2">
      <c r="A106" s="7" t="s">
        <v>738</v>
      </c>
      <c r="B106" s="8" t="s">
        <v>734</v>
      </c>
      <c r="C106" s="5">
        <v>23</v>
      </c>
      <c r="D106" s="10" t="s">
        <v>667</v>
      </c>
    </row>
    <row r="107" spans="1:4" x14ac:dyDescent="0.2">
      <c r="A107" s="7" t="s">
        <v>739</v>
      </c>
      <c r="B107" s="8" t="s">
        <v>734</v>
      </c>
      <c r="C107" s="5">
        <v>23</v>
      </c>
      <c r="D107" s="10" t="s">
        <v>667</v>
      </c>
    </row>
    <row r="108" spans="1:4" x14ac:dyDescent="0.2">
      <c r="A108" s="7" t="s">
        <v>740</v>
      </c>
      <c r="B108" s="8" t="s">
        <v>741</v>
      </c>
      <c r="C108" s="5">
        <v>23</v>
      </c>
      <c r="D108" s="10" t="s">
        <v>667</v>
      </c>
    </row>
    <row r="109" spans="1:4" x14ac:dyDescent="0.2">
      <c r="A109" s="7" t="s">
        <v>742</v>
      </c>
      <c r="B109" s="8" t="s">
        <v>741</v>
      </c>
      <c r="C109" s="5">
        <v>23</v>
      </c>
      <c r="D109" s="10" t="s">
        <v>667</v>
      </c>
    </row>
    <row r="110" spans="1:4" x14ac:dyDescent="0.2">
      <c r="A110" s="7" t="s">
        <v>743</v>
      </c>
      <c r="B110" s="8" t="s">
        <v>741</v>
      </c>
      <c r="C110" s="5">
        <v>23</v>
      </c>
      <c r="D110" s="10" t="s">
        <v>667</v>
      </c>
    </row>
    <row r="111" spans="1:4" x14ac:dyDescent="0.2">
      <c r="A111" s="7" t="s">
        <v>744</v>
      </c>
      <c r="B111" s="8" t="s">
        <v>741</v>
      </c>
      <c r="C111" s="5">
        <v>23</v>
      </c>
      <c r="D111" s="10" t="s">
        <v>667</v>
      </c>
    </row>
    <row r="112" spans="1:4" x14ac:dyDescent="0.2">
      <c r="A112" s="7" t="s">
        <v>745</v>
      </c>
      <c r="B112" s="8" t="s">
        <v>741</v>
      </c>
      <c r="C112" s="5">
        <v>23</v>
      </c>
      <c r="D112" s="10" t="s">
        <v>667</v>
      </c>
    </row>
    <row r="113" spans="1:4" x14ac:dyDescent="0.2">
      <c r="A113" s="7" t="s">
        <v>746</v>
      </c>
      <c r="B113" s="8" t="s">
        <v>741</v>
      </c>
      <c r="C113" s="5">
        <v>23</v>
      </c>
      <c r="D113" s="10" t="s">
        <v>667</v>
      </c>
    </row>
    <row r="114" spans="1:4" x14ac:dyDescent="0.2">
      <c r="A114" s="7" t="s">
        <v>747</v>
      </c>
      <c r="B114" s="8" t="s">
        <v>741</v>
      </c>
      <c r="C114" s="5">
        <v>23</v>
      </c>
      <c r="D114" s="10" t="s">
        <v>667</v>
      </c>
    </row>
    <row r="115" spans="1:4" x14ac:dyDescent="0.2">
      <c r="A115" s="7" t="s">
        <v>748</v>
      </c>
      <c r="B115" s="8" t="s">
        <v>741</v>
      </c>
      <c r="C115" s="5">
        <v>23</v>
      </c>
      <c r="D115" s="10" t="s">
        <v>667</v>
      </c>
    </row>
    <row r="116" spans="1:4" x14ac:dyDescent="0.2">
      <c r="A116" s="7" t="s">
        <v>749</v>
      </c>
      <c r="B116" s="8" t="s">
        <v>741</v>
      </c>
      <c r="C116" s="5">
        <v>23</v>
      </c>
      <c r="D116" s="10" t="s">
        <v>667</v>
      </c>
    </row>
    <row r="117" spans="1:4" x14ac:dyDescent="0.2">
      <c r="A117" s="7" t="s">
        <v>750</v>
      </c>
      <c r="B117" s="8" t="s">
        <v>741</v>
      </c>
      <c r="C117" s="5">
        <v>23</v>
      </c>
      <c r="D117" s="10" t="s">
        <v>667</v>
      </c>
    </row>
    <row r="118" spans="1:4" x14ac:dyDescent="0.2">
      <c r="A118" s="7" t="s">
        <v>751</v>
      </c>
      <c r="B118" s="8" t="s">
        <v>741</v>
      </c>
      <c r="C118" s="5">
        <v>23</v>
      </c>
      <c r="D118" s="10" t="s">
        <v>667</v>
      </c>
    </row>
    <row r="119" spans="1:4" x14ac:dyDescent="0.2">
      <c r="A119" s="7" t="s">
        <v>752</v>
      </c>
      <c r="B119" s="8" t="s">
        <v>741</v>
      </c>
      <c r="C119" s="5">
        <v>23</v>
      </c>
      <c r="D119" s="10" t="s">
        <v>667</v>
      </c>
    </row>
    <row r="120" spans="1:4" x14ac:dyDescent="0.2">
      <c r="A120" s="7" t="s">
        <v>294</v>
      </c>
      <c r="B120" s="8" t="s">
        <v>741</v>
      </c>
      <c r="C120" s="5">
        <v>23</v>
      </c>
      <c r="D120" s="10" t="s">
        <v>667</v>
      </c>
    </row>
    <row r="121" spans="1:4" x14ac:dyDescent="0.2">
      <c r="A121" s="7" t="s">
        <v>753</v>
      </c>
      <c r="B121" s="8" t="s">
        <v>741</v>
      </c>
      <c r="C121" s="5">
        <v>23</v>
      </c>
      <c r="D121" s="10" t="s">
        <v>667</v>
      </c>
    </row>
    <row r="122" spans="1:4" x14ac:dyDescent="0.2">
      <c r="A122" s="7" t="s">
        <v>754</v>
      </c>
      <c r="B122" s="8" t="s">
        <v>741</v>
      </c>
      <c r="C122" s="5">
        <v>23</v>
      </c>
      <c r="D122" s="10" t="s">
        <v>667</v>
      </c>
    </row>
    <row r="123" spans="1:4" x14ac:dyDescent="0.2">
      <c r="A123" s="7" t="s">
        <v>755</v>
      </c>
      <c r="B123" s="8" t="s">
        <v>741</v>
      </c>
      <c r="C123" s="5">
        <v>23</v>
      </c>
      <c r="D123" s="10" t="s">
        <v>667</v>
      </c>
    </row>
    <row r="124" spans="1:4" x14ac:dyDescent="0.2">
      <c r="A124" s="7" t="s">
        <v>756</v>
      </c>
      <c r="B124" s="8" t="s">
        <v>741</v>
      </c>
      <c r="C124" s="5">
        <v>23</v>
      </c>
      <c r="D124" s="10" t="s">
        <v>667</v>
      </c>
    </row>
    <row r="125" spans="1:4" x14ac:dyDescent="0.2">
      <c r="A125" s="7" t="s">
        <v>757</v>
      </c>
      <c r="B125" s="8" t="s">
        <v>741</v>
      </c>
      <c r="C125" s="5">
        <v>23</v>
      </c>
      <c r="D125" s="10" t="s">
        <v>667</v>
      </c>
    </row>
    <row r="126" spans="1:4" x14ac:dyDescent="0.2">
      <c r="A126" s="7" t="s">
        <v>758</v>
      </c>
      <c r="B126" s="8" t="s">
        <v>741</v>
      </c>
      <c r="C126" s="5">
        <v>23</v>
      </c>
      <c r="D126" s="10" t="s">
        <v>667</v>
      </c>
    </row>
    <row r="127" spans="1:4" x14ac:dyDescent="0.2">
      <c r="A127" s="7" t="s">
        <v>759</v>
      </c>
      <c r="B127" s="8" t="s">
        <v>741</v>
      </c>
      <c r="C127" s="5">
        <v>23</v>
      </c>
      <c r="D127" s="10" t="s">
        <v>667</v>
      </c>
    </row>
    <row r="128" spans="1:4" x14ac:dyDescent="0.2">
      <c r="A128" s="7" t="s">
        <v>760</v>
      </c>
      <c r="B128" s="8" t="s">
        <v>741</v>
      </c>
      <c r="C128" s="5">
        <v>23</v>
      </c>
      <c r="D128" s="10" t="s">
        <v>667</v>
      </c>
    </row>
    <row r="129" spans="1:4" x14ac:dyDescent="0.2">
      <c r="A129" s="7" t="s">
        <v>315</v>
      </c>
      <c r="B129" s="8" t="s">
        <v>741</v>
      </c>
      <c r="C129" s="5">
        <v>23</v>
      </c>
      <c r="D129" s="10" t="s">
        <v>667</v>
      </c>
    </row>
    <row r="130" spans="1:4" x14ac:dyDescent="0.2">
      <c r="A130" s="7" t="s">
        <v>761</v>
      </c>
      <c r="B130" s="8" t="s">
        <v>741</v>
      </c>
      <c r="C130" s="5">
        <v>23</v>
      </c>
      <c r="D130" s="10" t="s">
        <v>667</v>
      </c>
    </row>
    <row r="131" spans="1:4" x14ac:dyDescent="0.2">
      <c r="A131" s="7" t="s">
        <v>762</v>
      </c>
      <c r="B131" s="8" t="s">
        <v>741</v>
      </c>
      <c r="C131" s="5">
        <v>23</v>
      </c>
      <c r="D131" s="10" t="s">
        <v>667</v>
      </c>
    </row>
    <row r="132" spans="1:4" x14ac:dyDescent="0.2">
      <c r="A132" s="7" t="s">
        <v>763</v>
      </c>
      <c r="B132" s="8" t="s">
        <v>741</v>
      </c>
      <c r="C132" s="5">
        <v>23</v>
      </c>
      <c r="D132" s="10" t="s">
        <v>667</v>
      </c>
    </row>
    <row r="133" spans="1:4" x14ac:dyDescent="0.2">
      <c r="A133" s="7" t="s">
        <v>764</v>
      </c>
      <c r="B133" s="8" t="s">
        <v>741</v>
      </c>
      <c r="C133" s="5">
        <v>23</v>
      </c>
      <c r="D133" s="10" t="s">
        <v>667</v>
      </c>
    </row>
    <row r="134" spans="1:4" x14ac:dyDescent="0.2">
      <c r="A134" s="7" t="s">
        <v>765</v>
      </c>
      <c r="B134" s="8" t="s">
        <v>741</v>
      </c>
      <c r="C134" s="5">
        <v>23</v>
      </c>
      <c r="D134" s="10" t="s">
        <v>667</v>
      </c>
    </row>
    <row r="135" spans="1:4" x14ac:dyDescent="0.2">
      <c r="A135" s="7" t="s">
        <v>766</v>
      </c>
      <c r="B135" s="8" t="s">
        <v>741</v>
      </c>
      <c r="C135" s="5">
        <v>23</v>
      </c>
      <c r="D135" s="10" t="s">
        <v>667</v>
      </c>
    </row>
    <row r="136" spans="1:4" x14ac:dyDescent="0.2">
      <c r="A136" s="7" t="s">
        <v>767</v>
      </c>
      <c r="B136" s="8" t="s">
        <v>741</v>
      </c>
      <c r="C136" s="5">
        <v>23</v>
      </c>
      <c r="D136" s="10" t="s">
        <v>667</v>
      </c>
    </row>
    <row r="137" spans="1:4" x14ac:dyDescent="0.2">
      <c r="A137" s="7" t="s">
        <v>768</v>
      </c>
      <c r="B137" s="8" t="s">
        <v>741</v>
      </c>
      <c r="C137" s="5">
        <v>23</v>
      </c>
      <c r="D137" s="10" t="s">
        <v>667</v>
      </c>
    </row>
    <row r="138" spans="1:4" x14ac:dyDescent="0.2">
      <c r="A138" s="7" t="s">
        <v>769</v>
      </c>
      <c r="B138" s="8" t="s">
        <v>741</v>
      </c>
      <c r="C138" s="5">
        <v>23</v>
      </c>
      <c r="D138" s="10" t="s">
        <v>667</v>
      </c>
    </row>
    <row r="139" spans="1:4" x14ac:dyDescent="0.2">
      <c r="A139" s="7" t="s">
        <v>770</v>
      </c>
      <c r="B139" s="8" t="s">
        <v>741</v>
      </c>
      <c r="C139" s="5">
        <v>23</v>
      </c>
      <c r="D139" s="10" t="s">
        <v>667</v>
      </c>
    </row>
    <row r="140" spans="1:4" x14ac:dyDescent="0.2">
      <c r="A140" s="7" t="s">
        <v>771</v>
      </c>
      <c r="B140" s="8" t="s">
        <v>741</v>
      </c>
      <c r="C140" s="5">
        <v>23</v>
      </c>
      <c r="D140" s="10" t="s">
        <v>667</v>
      </c>
    </row>
    <row r="141" spans="1:4" x14ac:dyDescent="0.2">
      <c r="A141" s="7" t="s">
        <v>772</v>
      </c>
      <c r="B141" s="8" t="s">
        <v>741</v>
      </c>
      <c r="C141" s="5">
        <v>23</v>
      </c>
      <c r="D141" s="10" t="s">
        <v>667</v>
      </c>
    </row>
    <row r="142" spans="1:4" x14ac:dyDescent="0.2">
      <c r="A142" s="7" t="s">
        <v>773</v>
      </c>
      <c r="B142" s="8" t="s">
        <v>741</v>
      </c>
      <c r="C142" s="5">
        <v>23</v>
      </c>
      <c r="D142" s="10" t="s">
        <v>667</v>
      </c>
    </row>
    <row r="143" spans="1:4" x14ac:dyDescent="0.2">
      <c r="A143" s="7" t="s">
        <v>774</v>
      </c>
      <c r="B143" s="8" t="s">
        <v>741</v>
      </c>
      <c r="C143" s="5">
        <v>23</v>
      </c>
      <c r="D143" s="10" t="s">
        <v>667</v>
      </c>
    </row>
    <row r="144" spans="1:4" x14ac:dyDescent="0.2">
      <c r="A144" s="7" t="s">
        <v>775</v>
      </c>
      <c r="B144" s="8" t="s">
        <v>741</v>
      </c>
      <c r="C144" s="5">
        <v>23</v>
      </c>
      <c r="D144" s="10" t="s">
        <v>667</v>
      </c>
    </row>
    <row r="145" spans="1:4" x14ac:dyDescent="0.2">
      <c r="A145" s="7" t="s">
        <v>776</v>
      </c>
      <c r="B145" s="8" t="s">
        <v>741</v>
      </c>
      <c r="C145" s="5">
        <v>23</v>
      </c>
      <c r="D145" s="10" t="s">
        <v>667</v>
      </c>
    </row>
    <row r="146" spans="1:4" x14ac:dyDescent="0.2">
      <c r="A146" s="7" t="s">
        <v>777</v>
      </c>
      <c r="B146" s="8" t="s">
        <v>741</v>
      </c>
      <c r="C146" s="5">
        <v>23</v>
      </c>
      <c r="D146" s="10" t="s">
        <v>667</v>
      </c>
    </row>
    <row r="147" spans="1:4" x14ac:dyDescent="0.2">
      <c r="A147" s="7" t="s">
        <v>778</v>
      </c>
      <c r="B147" s="8" t="s">
        <v>741</v>
      </c>
      <c r="C147" s="5">
        <v>23</v>
      </c>
      <c r="D147" s="10" t="s">
        <v>667</v>
      </c>
    </row>
    <row r="148" spans="1:4" x14ac:dyDescent="0.2">
      <c r="A148" s="7" t="s">
        <v>779</v>
      </c>
      <c r="B148" s="8" t="s">
        <v>741</v>
      </c>
      <c r="C148" s="5">
        <v>23</v>
      </c>
      <c r="D148" s="10" t="s">
        <v>667</v>
      </c>
    </row>
    <row r="149" spans="1:4" x14ac:dyDescent="0.2">
      <c r="A149" s="11" t="s">
        <v>780</v>
      </c>
      <c r="B149" s="8" t="s">
        <v>781</v>
      </c>
      <c r="C149" s="5">
        <v>23</v>
      </c>
      <c r="D149" s="10" t="s">
        <v>667</v>
      </c>
    </row>
    <row r="150" spans="1:4" x14ac:dyDescent="0.2">
      <c r="A150" s="7" t="s">
        <v>782</v>
      </c>
      <c r="B150" s="8" t="s">
        <v>781</v>
      </c>
      <c r="C150" s="5">
        <v>23</v>
      </c>
      <c r="D150" s="10" t="s">
        <v>667</v>
      </c>
    </row>
    <row r="151" spans="1:4" x14ac:dyDescent="0.2">
      <c r="A151" s="7" t="s">
        <v>783</v>
      </c>
      <c r="B151" s="8" t="s">
        <v>781</v>
      </c>
      <c r="C151" s="5">
        <v>23</v>
      </c>
      <c r="D151" s="10" t="s">
        <v>667</v>
      </c>
    </row>
    <row r="152" spans="1:4" x14ac:dyDescent="0.2">
      <c r="A152" s="7" t="s">
        <v>784</v>
      </c>
      <c r="B152" s="8" t="s">
        <v>781</v>
      </c>
      <c r="C152" s="5">
        <v>23</v>
      </c>
      <c r="D152" s="10" t="s">
        <v>667</v>
      </c>
    </row>
    <row r="153" spans="1:4" x14ac:dyDescent="0.2">
      <c r="A153" s="7" t="s">
        <v>785</v>
      </c>
      <c r="B153" s="8" t="s">
        <v>781</v>
      </c>
      <c r="C153" s="5">
        <v>23</v>
      </c>
      <c r="D153" s="10" t="s">
        <v>667</v>
      </c>
    </row>
    <row r="154" spans="1:4" x14ac:dyDescent="0.2">
      <c r="A154" s="7" t="s">
        <v>786</v>
      </c>
      <c r="B154" s="8" t="s">
        <v>781</v>
      </c>
      <c r="C154" s="5">
        <v>23</v>
      </c>
      <c r="D154" s="10" t="s">
        <v>667</v>
      </c>
    </row>
    <row r="155" spans="1:4" x14ac:dyDescent="0.2">
      <c r="A155" s="7" t="s">
        <v>787</v>
      </c>
      <c r="B155" s="8" t="s">
        <v>781</v>
      </c>
      <c r="C155" s="5">
        <v>23</v>
      </c>
      <c r="D155" s="10" t="s">
        <v>667</v>
      </c>
    </row>
    <row r="156" spans="1:4" x14ac:dyDescent="0.2">
      <c r="A156" s="7" t="s">
        <v>788</v>
      </c>
      <c r="B156" s="8" t="s">
        <v>781</v>
      </c>
      <c r="C156" s="5">
        <v>23</v>
      </c>
      <c r="D156" s="10" t="s">
        <v>667</v>
      </c>
    </row>
    <row r="157" spans="1:4" x14ac:dyDescent="0.2">
      <c r="A157" s="7" t="s">
        <v>789</v>
      </c>
      <c r="B157" s="8" t="s">
        <v>781</v>
      </c>
      <c r="C157" s="5">
        <v>23</v>
      </c>
      <c r="D157" s="10" t="s">
        <v>667</v>
      </c>
    </row>
    <row r="158" spans="1:4" x14ac:dyDescent="0.2">
      <c r="A158" s="7" t="s">
        <v>790</v>
      </c>
      <c r="B158" s="8" t="s">
        <v>781</v>
      </c>
      <c r="C158" s="5">
        <v>23</v>
      </c>
      <c r="D158" s="10" t="s">
        <v>667</v>
      </c>
    </row>
    <row r="159" spans="1:4" x14ac:dyDescent="0.2">
      <c r="A159" s="7" t="s">
        <v>791</v>
      </c>
      <c r="B159" s="8" t="s">
        <v>781</v>
      </c>
      <c r="C159" s="5">
        <v>23</v>
      </c>
      <c r="D159" s="10" t="s">
        <v>667</v>
      </c>
    </row>
    <row r="160" spans="1:4" x14ac:dyDescent="0.2">
      <c r="A160" s="7" t="s">
        <v>792</v>
      </c>
      <c r="B160" s="8" t="s">
        <v>781</v>
      </c>
      <c r="C160" s="5">
        <v>23</v>
      </c>
      <c r="D160" s="10" t="s">
        <v>667</v>
      </c>
    </row>
    <row r="161" spans="1:4" x14ac:dyDescent="0.2">
      <c r="A161" s="7" t="s">
        <v>793</v>
      </c>
      <c r="B161" s="8" t="s">
        <v>781</v>
      </c>
      <c r="C161" s="5">
        <v>23</v>
      </c>
      <c r="D161" s="10" t="s">
        <v>667</v>
      </c>
    </row>
    <row r="162" spans="1:4" x14ac:dyDescent="0.2">
      <c r="A162" s="7" t="s">
        <v>794</v>
      </c>
      <c r="B162" s="8" t="s">
        <v>781</v>
      </c>
      <c r="C162" s="5">
        <v>23</v>
      </c>
      <c r="D162" s="10" t="s">
        <v>667</v>
      </c>
    </row>
    <row r="163" spans="1:4" x14ac:dyDescent="0.2">
      <c r="A163" s="7" t="s">
        <v>795</v>
      </c>
      <c r="B163" s="8" t="s">
        <v>781</v>
      </c>
      <c r="C163" s="5">
        <v>23</v>
      </c>
      <c r="D163" s="10" t="s">
        <v>667</v>
      </c>
    </row>
    <row r="164" spans="1:4" x14ac:dyDescent="0.2">
      <c r="A164" s="7" t="s">
        <v>796</v>
      </c>
      <c r="B164" s="8" t="s">
        <v>781</v>
      </c>
      <c r="C164" s="5">
        <v>23</v>
      </c>
      <c r="D164" s="10" t="s">
        <v>667</v>
      </c>
    </row>
    <row r="165" spans="1:4" x14ac:dyDescent="0.2">
      <c r="A165" s="7" t="s">
        <v>797</v>
      </c>
      <c r="B165" s="8" t="s">
        <v>781</v>
      </c>
      <c r="C165" s="5">
        <v>23</v>
      </c>
      <c r="D165" s="10" t="s">
        <v>667</v>
      </c>
    </row>
    <row r="166" spans="1:4" x14ac:dyDescent="0.2">
      <c r="A166" s="7" t="s">
        <v>798</v>
      </c>
      <c r="B166" s="8" t="s">
        <v>781</v>
      </c>
      <c r="C166" s="5">
        <v>23</v>
      </c>
      <c r="D166" s="10" t="s">
        <v>667</v>
      </c>
    </row>
    <row r="167" spans="1:4" x14ac:dyDescent="0.2">
      <c r="A167" s="7" t="s">
        <v>799</v>
      </c>
      <c r="B167" s="8" t="s">
        <v>781</v>
      </c>
      <c r="C167" s="5">
        <v>23</v>
      </c>
      <c r="D167" s="10" t="s">
        <v>667</v>
      </c>
    </row>
    <row r="168" spans="1:4" x14ac:dyDescent="0.2">
      <c r="A168" s="7" t="s">
        <v>800</v>
      </c>
      <c r="B168" s="8" t="s">
        <v>781</v>
      </c>
      <c r="C168" s="5">
        <v>23</v>
      </c>
      <c r="D168" s="10" t="s">
        <v>667</v>
      </c>
    </row>
    <row r="169" spans="1:4" x14ac:dyDescent="0.2">
      <c r="A169" s="7" t="s">
        <v>801</v>
      </c>
      <c r="B169" s="8" t="s">
        <v>781</v>
      </c>
      <c r="C169" s="5">
        <v>23</v>
      </c>
      <c r="D169" s="10" t="s">
        <v>667</v>
      </c>
    </row>
    <row r="170" spans="1:4" x14ac:dyDescent="0.2">
      <c r="A170" s="7" t="s">
        <v>802</v>
      </c>
      <c r="B170" s="8" t="s">
        <v>781</v>
      </c>
      <c r="C170" s="5">
        <v>23</v>
      </c>
      <c r="D170" s="10" t="s">
        <v>667</v>
      </c>
    </row>
    <row r="171" spans="1:4" x14ac:dyDescent="0.2">
      <c r="A171" s="7" t="s">
        <v>390</v>
      </c>
      <c r="B171" s="8" t="s">
        <v>781</v>
      </c>
      <c r="C171" s="5">
        <v>23</v>
      </c>
      <c r="D171" s="10" t="s">
        <v>667</v>
      </c>
    </row>
    <row r="172" spans="1:4" x14ac:dyDescent="0.2">
      <c r="A172" s="7" t="s">
        <v>803</v>
      </c>
      <c r="B172" s="8" t="s">
        <v>781</v>
      </c>
      <c r="C172" s="5">
        <v>23</v>
      </c>
      <c r="D172" s="10" t="s">
        <v>667</v>
      </c>
    </row>
    <row r="173" spans="1:4" x14ac:dyDescent="0.2">
      <c r="A173" s="7" t="s">
        <v>804</v>
      </c>
      <c r="B173" s="8" t="s">
        <v>781</v>
      </c>
      <c r="C173" s="5">
        <v>23</v>
      </c>
      <c r="D173" s="10" t="s">
        <v>667</v>
      </c>
    </row>
    <row r="174" spans="1:4" x14ac:dyDescent="0.2">
      <c r="A174" s="7" t="s">
        <v>805</v>
      </c>
      <c r="B174" s="8" t="s">
        <v>781</v>
      </c>
      <c r="C174" s="5">
        <v>23</v>
      </c>
      <c r="D174" s="10" t="s">
        <v>667</v>
      </c>
    </row>
    <row r="175" spans="1:4" x14ac:dyDescent="0.2">
      <c r="A175" s="7" t="s">
        <v>806</v>
      </c>
      <c r="B175" s="8" t="s">
        <v>781</v>
      </c>
      <c r="C175" s="5">
        <v>23</v>
      </c>
      <c r="D175" s="10" t="s">
        <v>667</v>
      </c>
    </row>
    <row r="176" spans="1:4" x14ac:dyDescent="0.2">
      <c r="A176" s="7" t="s">
        <v>807</v>
      </c>
      <c r="B176" s="8" t="s">
        <v>781</v>
      </c>
      <c r="C176" s="5">
        <v>23</v>
      </c>
      <c r="D176" s="10" t="s">
        <v>667</v>
      </c>
    </row>
    <row r="177" spans="1:4" x14ac:dyDescent="0.2">
      <c r="A177" s="7" t="s">
        <v>808</v>
      </c>
      <c r="B177" s="8" t="s">
        <v>781</v>
      </c>
      <c r="C177" s="5">
        <v>23</v>
      </c>
      <c r="D177" s="10" t="s">
        <v>667</v>
      </c>
    </row>
    <row r="178" spans="1:4" x14ac:dyDescent="0.2">
      <c r="A178" s="7" t="s">
        <v>809</v>
      </c>
      <c r="B178" s="8" t="s">
        <v>781</v>
      </c>
      <c r="C178" s="5">
        <v>23</v>
      </c>
      <c r="D178" s="10" t="s">
        <v>667</v>
      </c>
    </row>
    <row r="179" spans="1:4" x14ac:dyDescent="0.2">
      <c r="A179" s="7" t="s">
        <v>810</v>
      </c>
      <c r="B179" s="8" t="s">
        <v>671</v>
      </c>
      <c r="C179" s="5">
        <v>23</v>
      </c>
      <c r="D179" s="10" t="s">
        <v>667</v>
      </c>
    </row>
    <row r="180" spans="1:4" x14ac:dyDescent="0.2">
      <c r="A180" s="7" t="s">
        <v>811</v>
      </c>
      <c r="B180" s="8" t="s">
        <v>671</v>
      </c>
      <c r="C180" s="5">
        <v>23</v>
      </c>
      <c r="D180" s="10" t="s">
        <v>667</v>
      </c>
    </row>
    <row r="181" spans="1:4" x14ac:dyDescent="0.2">
      <c r="A181" s="7" t="s">
        <v>812</v>
      </c>
      <c r="B181" s="8" t="s">
        <v>671</v>
      </c>
      <c r="C181" s="5">
        <v>23</v>
      </c>
      <c r="D181" s="10" t="s">
        <v>667</v>
      </c>
    </row>
    <row r="182" spans="1:4" x14ac:dyDescent="0.2">
      <c r="A182" s="7" t="s">
        <v>813</v>
      </c>
      <c r="B182" s="8" t="s">
        <v>671</v>
      </c>
      <c r="C182" s="5">
        <v>23</v>
      </c>
      <c r="D182" s="10" t="s">
        <v>667</v>
      </c>
    </row>
    <row r="183" spans="1:4" x14ac:dyDescent="0.2">
      <c r="A183" s="7" t="s">
        <v>814</v>
      </c>
      <c r="B183" s="8" t="s">
        <v>671</v>
      </c>
      <c r="C183" s="5">
        <v>23</v>
      </c>
      <c r="D183" s="10" t="s">
        <v>667</v>
      </c>
    </row>
    <row r="184" spans="1:4" x14ac:dyDescent="0.2">
      <c r="A184" s="7" t="s">
        <v>815</v>
      </c>
      <c r="B184" s="8" t="s">
        <v>671</v>
      </c>
      <c r="C184" s="5">
        <v>23</v>
      </c>
      <c r="D184" s="10" t="s">
        <v>667</v>
      </c>
    </row>
    <row r="185" spans="1:4" x14ac:dyDescent="0.2">
      <c r="A185" s="7" t="s">
        <v>816</v>
      </c>
      <c r="B185" s="8" t="s">
        <v>671</v>
      </c>
      <c r="C185" s="5">
        <v>23</v>
      </c>
      <c r="D185" s="10" t="s">
        <v>667</v>
      </c>
    </row>
    <row r="186" spans="1:4" x14ac:dyDescent="0.2">
      <c r="A186" s="7" t="s">
        <v>817</v>
      </c>
      <c r="B186" s="8" t="s">
        <v>671</v>
      </c>
      <c r="C186" s="5">
        <v>23</v>
      </c>
      <c r="D186" s="10" t="s">
        <v>667</v>
      </c>
    </row>
    <row r="187" spans="1:4" x14ac:dyDescent="0.2">
      <c r="A187" s="7" t="s">
        <v>818</v>
      </c>
      <c r="B187" s="8" t="s">
        <v>671</v>
      </c>
      <c r="C187" s="5">
        <v>23</v>
      </c>
      <c r="D187" s="10" t="s">
        <v>667</v>
      </c>
    </row>
    <row r="188" spans="1:4" x14ac:dyDescent="0.2">
      <c r="A188" s="7" t="s">
        <v>819</v>
      </c>
      <c r="B188" s="8" t="s">
        <v>671</v>
      </c>
      <c r="C188" s="5">
        <v>23</v>
      </c>
      <c r="D188" s="10" t="s">
        <v>667</v>
      </c>
    </row>
    <row r="189" spans="1:4" x14ac:dyDescent="0.2">
      <c r="A189" s="7" t="s">
        <v>820</v>
      </c>
      <c r="B189" s="8" t="s">
        <v>671</v>
      </c>
      <c r="C189" s="5">
        <v>23</v>
      </c>
      <c r="D189" s="10" t="s">
        <v>667</v>
      </c>
    </row>
    <row r="190" spans="1:4" x14ac:dyDescent="0.2">
      <c r="A190" s="7" t="s">
        <v>821</v>
      </c>
      <c r="B190" s="8" t="s">
        <v>671</v>
      </c>
      <c r="C190" s="5">
        <v>23</v>
      </c>
      <c r="D190" s="10" t="s">
        <v>667</v>
      </c>
    </row>
    <row r="191" spans="1:4" x14ac:dyDescent="0.2">
      <c r="A191" s="7" t="s">
        <v>822</v>
      </c>
      <c r="B191" s="8" t="s">
        <v>671</v>
      </c>
      <c r="C191" s="5">
        <v>23</v>
      </c>
      <c r="D191" s="10" t="s">
        <v>667</v>
      </c>
    </row>
    <row r="192" spans="1:4" x14ac:dyDescent="0.2">
      <c r="A192" s="7" t="s">
        <v>823</v>
      </c>
      <c r="B192" s="8" t="s">
        <v>671</v>
      </c>
      <c r="C192" s="5">
        <v>23</v>
      </c>
      <c r="D192" s="10" t="s">
        <v>667</v>
      </c>
    </row>
    <row r="193" spans="1:4" x14ac:dyDescent="0.2">
      <c r="A193" s="7" t="s">
        <v>318</v>
      </c>
      <c r="B193" s="8" t="s">
        <v>671</v>
      </c>
      <c r="C193" s="5">
        <v>23</v>
      </c>
      <c r="D193" s="10" t="s">
        <v>667</v>
      </c>
    </row>
    <row r="194" spans="1:4" x14ac:dyDescent="0.2">
      <c r="A194" s="7" t="s">
        <v>824</v>
      </c>
      <c r="B194" s="8" t="s">
        <v>671</v>
      </c>
      <c r="C194" s="5">
        <v>23</v>
      </c>
      <c r="D194" s="10" t="s">
        <v>667</v>
      </c>
    </row>
    <row r="195" spans="1:4" x14ac:dyDescent="0.2">
      <c r="A195" s="7" t="s">
        <v>825</v>
      </c>
      <c r="B195" s="8" t="s">
        <v>671</v>
      </c>
      <c r="C195" s="5">
        <v>23</v>
      </c>
      <c r="D195" s="10" t="s">
        <v>667</v>
      </c>
    </row>
    <row r="196" spans="1:4" x14ac:dyDescent="0.2">
      <c r="A196" s="7" t="s">
        <v>826</v>
      </c>
      <c r="B196" s="8" t="s">
        <v>671</v>
      </c>
      <c r="C196" s="5">
        <v>23</v>
      </c>
      <c r="D196" s="10" t="s">
        <v>667</v>
      </c>
    </row>
    <row r="197" spans="1:4" x14ac:dyDescent="0.2">
      <c r="A197" s="7" t="s">
        <v>827</v>
      </c>
      <c r="B197" s="8" t="s">
        <v>671</v>
      </c>
      <c r="C197" s="5">
        <v>23</v>
      </c>
      <c r="D197" s="10" t="s">
        <v>667</v>
      </c>
    </row>
    <row r="198" spans="1:4" x14ac:dyDescent="0.2">
      <c r="A198" s="7" t="s">
        <v>828</v>
      </c>
      <c r="B198" s="8" t="s">
        <v>671</v>
      </c>
      <c r="C198" s="5">
        <v>23</v>
      </c>
      <c r="D198" s="10" t="s">
        <v>667</v>
      </c>
    </row>
    <row r="199" spans="1:4" x14ac:dyDescent="0.2">
      <c r="A199" s="7" t="s">
        <v>829</v>
      </c>
      <c r="B199" s="8" t="s">
        <v>671</v>
      </c>
      <c r="C199" s="5">
        <v>23</v>
      </c>
      <c r="D199" s="10" t="s">
        <v>667</v>
      </c>
    </row>
    <row r="200" spans="1:4" x14ac:dyDescent="0.2">
      <c r="A200" s="7" t="s">
        <v>830</v>
      </c>
      <c r="B200" s="8" t="s">
        <v>671</v>
      </c>
      <c r="C200" s="5">
        <v>23</v>
      </c>
      <c r="D200" s="10" t="s">
        <v>667</v>
      </c>
    </row>
    <row r="201" spans="1:4" x14ac:dyDescent="0.2">
      <c r="A201" s="7" t="s">
        <v>831</v>
      </c>
      <c r="B201" s="8" t="s">
        <v>671</v>
      </c>
      <c r="C201" s="5">
        <v>23</v>
      </c>
      <c r="D201" s="10" t="s">
        <v>667</v>
      </c>
    </row>
    <row r="202" spans="1:4" x14ac:dyDescent="0.2">
      <c r="A202" s="7" t="s">
        <v>832</v>
      </c>
      <c r="B202" s="8" t="s">
        <v>671</v>
      </c>
      <c r="C202" s="5">
        <v>23</v>
      </c>
      <c r="D202" s="10" t="s">
        <v>667</v>
      </c>
    </row>
    <row r="203" spans="1:4" x14ac:dyDescent="0.2">
      <c r="A203" s="7" t="s">
        <v>833</v>
      </c>
      <c r="B203" s="8" t="s">
        <v>671</v>
      </c>
      <c r="C203" s="5">
        <v>23</v>
      </c>
      <c r="D203" s="10" t="s">
        <v>667</v>
      </c>
    </row>
    <row r="204" spans="1:4" x14ac:dyDescent="0.2">
      <c r="A204" s="7" t="s">
        <v>834</v>
      </c>
      <c r="B204" s="8" t="s">
        <v>671</v>
      </c>
      <c r="C204" s="5">
        <v>23</v>
      </c>
      <c r="D204" s="10" t="s">
        <v>667</v>
      </c>
    </row>
    <row r="205" spans="1:4" x14ac:dyDescent="0.2">
      <c r="A205" s="7" t="s">
        <v>835</v>
      </c>
      <c r="B205" s="8" t="s">
        <v>671</v>
      </c>
      <c r="C205" s="5">
        <v>23</v>
      </c>
      <c r="D205" s="10" t="s">
        <v>667</v>
      </c>
    </row>
    <row r="206" spans="1:4" x14ac:dyDescent="0.2">
      <c r="A206" s="7" t="s">
        <v>836</v>
      </c>
      <c r="B206" s="8" t="s">
        <v>671</v>
      </c>
      <c r="C206" s="5">
        <v>23</v>
      </c>
      <c r="D206" s="10" t="s">
        <v>667</v>
      </c>
    </row>
    <row r="207" spans="1:4" x14ac:dyDescent="0.2">
      <c r="A207" s="7" t="s">
        <v>837</v>
      </c>
      <c r="B207" s="8" t="s">
        <v>671</v>
      </c>
      <c r="C207" s="5">
        <v>23</v>
      </c>
      <c r="D207" s="10" t="s">
        <v>667</v>
      </c>
    </row>
    <row r="208" spans="1:4" x14ac:dyDescent="0.2">
      <c r="A208" s="7" t="s">
        <v>838</v>
      </c>
      <c r="B208" s="8" t="s">
        <v>671</v>
      </c>
      <c r="C208" s="5">
        <v>23</v>
      </c>
      <c r="D208" s="10" t="s">
        <v>667</v>
      </c>
    </row>
    <row r="209" spans="1:4" x14ac:dyDescent="0.2">
      <c r="A209" s="7" t="s">
        <v>839</v>
      </c>
      <c r="B209" s="8" t="s">
        <v>671</v>
      </c>
      <c r="C209" s="5">
        <v>23</v>
      </c>
      <c r="D209" s="10" t="s">
        <v>667</v>
      </c>
    </row>
    <row r="210" spans="1:4" x14ac:dyDescent="0.2">
      <c r="A210" s="7" t="s">
        <v>840</v>
      </c>
      <c r="B210" s="8" t="s">
        <v>671</v>
      </c>
      <c r="C210" s="5">
        <v>23</v>
      </c>
      <c r="D210" s="10" t="s">
        <v>667</v>
      </c>
    </row>
    <row r="211" spans="1:4" x14ac:dyDescent="0.2">
      <c r="A211" s="7" t="s">
        <v>841</v>
      </c>
      <c r="B211" s="8" t="s">
        <v>671</v>
      </c>
      <c r="C211" s="5">
        <v>23</v>
      </c>
      <c r="D211" s="10" t="s">
        <v>667</v>
      </c>
    </row>
    <row r="212" spans="1:4" x14ac:dyDescent="0.2">
      <c r="A212" s="7" t="s">
        <v>842</v>
      </c>
      <c r="B212" s="8" t="s">
        <v>671</v>
      </c>
      <c r="C212" s="5">
        <v>23</v>
      </c>
      <c r="D212" s="10" t="s">
        <v>667</v>
      </c>
    </row>
    <row r="213" spans="1:4" x14ac:dyDescent="0.2">
      <c r="A213" s="7" t="s">
        <v>843</v>
      </c>
      <c r="B213" s="8" t="s">
        <v>671</v>
      </c>
      <c r="C213" s="5">
        <v>23</v>
      </c>
      <c r="D213" s="10" t="s">
        <v>667</v>
      </c>
    </row>
    <row r="214" spans="1:4" x14ac:dyDescent="0.2">
      <c r="A214" s="7" t="s">
        <v>841</v>
      </c>
      <c r="B214" s="8" t="s">
        <v>671</v>
      </c>
      <c r="C214" s="5">
        <v>23</v>
      </c>
      <c r="D214" s="10" t="s">
        <v>667</v>
      </c>
    </row>
    <row r="215" spans="1:4" x14ac:dyDescent="0.2">
      <c r="A215" s="7" t="s">
        <v>844</v>
      </c>
      <c r="B215" s="8" t="s">
        <v>845</v>
      </c>
      <c r="C215" s="5">
        <v>23</v>
      </c>
      <c r="D215" s="10" t="s">
        <v>667</v>
      </c>
    </row>
    <row r="216" spans="1:4" x14ac:dyDescent="0.2">
      <c r="A216" s="7" t="s">
        <v>846</v>
      </c>
      <c r="B216" s="8" t="s">
        <v>845</v>
      </c>
      <c r="C216" s="5">
        <v>23</v>
      </c>
      <c r="D216" s="10" t="s">
        <v>667</v>
      </c>
    </row>
    <row r="217" spans="1:4" x14ac:dyDescent="0.2">
      <c r="A217" s="7" t="s">
        <v>847</v>
      </c>
      <c r="B217" s="8" t="s">
        <v>845</v>
      </c>
      <c r="C217" s="5">
        <v>23</v>
      </c>
      <c r="D217" s="10" t="s">
        <v>667</v>
      </c>
    </row>
    <row r="218" spans="1:4" x14ac:dyDescent="0.2">
      <c r="A218" s="7" t="s">
        <v>848</v>
      </c>
      <c r="B218" s="8" t="s">
        <v>845</v>
      </c>
      <c r="C218" s="5">
        <v>23</v>
      </c>
      <c r="D218" s="10" t="s">
        <v>667</v>
      </c>
    </row>
    <row r="219" spans="1:4" x14ac:dyDescent="0.2">
      <c r="A219" s="7" t="s">
        <v>849</v>
      </c>
      <c r="B219" s="8" t="s">
        <v>845</v>
      </c>
      <c r="C219" s="5">
        <v>23</v>
      </c>
      <c r="D219" s="10" t="s">
        <v>667</v>
      </c>
    </row>
    <row r="220" spans="1:4" x14ac:dyDescent="0.2">
      <c r="A220" s="7" t="s">
        <v>850</v>
      </c>
      <c r="B220" s="8" t="s">
        <v>845</v>
      </c>
      <c r="C220" s="5">
        <v>23</v>
      </c>
      <c r="D220" s="10" t="s">
        <v>667</v>
      </c>
    </row>
    <row r="221" spans="1:4" x14ac:dyDescent="0.2">
      <c r="A221" s="7" t="s">
        <v>851</v>
      </c>
      <c r="B221" s="8" t="s">
        <v>845</v>
      </c>
      <c r="C221" s="5">
        <v>23</v>
      </c>
      <c r="D221" s="10" t="s">
        <v>667</v>
      </c>
    </row>
    <row r="222" spans="1:4" x14ac:dyDescent="0.2">
      <c r="A222" s="7" t="s">
        <v>852</v>
      </c>
      <c r="B222" s="8" t="s">
        <v>845</v>
      </c>
      <c r="C222" s="5">
        <v>23</v>
      </c>
      <c r="D222" s="10" t="s">
        <v>667</v>
      </c>
    </row>
    <row r="223" spans="1:4" x14ac:dyDescent="0.2">
      <c r="A223" s="7">
        <v>2520</v>
      </c>
      <c r="B223" s="8" t="s">
        <v>853</v>
      </c>
      <c r="C223" s="5">
        <v>24</v>
      </c>
      <c r="D223" s="5" t="s">
        <v>854</v>
      </c>
    </row>
    <row r="224" spans="1:4" x14ac:dyDescent="0.2">
      <c r="A224" s="7" t="s">
        <v>855</v>
      </c>
      <c r="B224" s="8" t="s">
        <v>853</v>
      </c>
      <c r="C224" s="5">
        <v>24</v>
      </c>
      <c r="D224" s="5" t="s">
        <v>854</v>
      </c>
    </row>
    <row r="225" spans="1:4" x14ac:dyDescent="0.2">
      <c r="A225" s="7" t="s">
        <v>856</v>
      </c>
      <c r="B225" s="8" t="s">
        <v>853</v>
      </c>
      <c r="C225" s="5">
        <v>24</v>
      </c>
      <c r="D225" s="5" t="s">
        <v>854</v>
      </c>
    </row>
    <row r="226" spans="1:4" x14ac:dyDescent="0.2">
      <c r="A226" s="7" t="s">
        <v>857</v>
      </c>
      <c r="B226" s="8" t="s">
        <v>853</v>
      </c>
      <c r="C226" s="5">
        <v>24</v>
      </c>
      <c r="D226" s="5" t="s">
        <v>854</v>
      </c>
    </row>
    <row r="227" spans="1:4" x14ac:dyDescent="0.2">
      <c r="A227" s="7" t="s">
        <v>858</v>
      </c>
      <c r="B227" s="8" t="s">
        <v>853</v>
      </c>
      <c r="C227" s="5">
        <v>24</v>
      </c>
      <c r="D227" s="5" t="s">
        <v>854</v>
      </c>
    </row>
    <row r="228" spans="1:4" x14ac:dyDescent="0.2">
      <c r="A228" s="7">
        <v>2758</v>
      </c>
      <c r="B228" s="8" t="s">
        <v>853</v>
      </c>
      <c r="C228" s="5">
        <v>24</v>
      </c>
      <c r="D228" s="5" t="s">
        <v>854</v>
      </c>
    </row>
    <row r="229" spans="1:4" x14ac:dyDescent="0.2">
      <c r="A229" s="9" t="s">
        <v>147</v>
      </c>
      <c r="B229" s="8" t="s">
        <v>853</v>
      </c>
      <c r="C229" s="5">
        <v>24</v>
      </c>
      <c r="D229" s="5" t="s">
        <v>854</v>
      </c>
    </row>
    <row r="230" spans="1:4" x14ac:dyDescent="0.2">
      <c r="A230" s="7">
        <v>4579</v>
      </c>
      <c r="B230" s="8" t="s">
        <v>853</v>
      </c>
      <c r="C230" s="5">
        <v>24</v>
      </c>
      <c r="D230" s="5" t="s">
        <v>854</v>
      </c>
    </row>
    <row r="231" spans="1:4" x14ac:dyDescent="0.2">
      <c r="A231" s="7" t="s">
        <v>267</v>
      </c>
      <c r="B231" s="8" t="s">
        <v>853</v>
      </c>
      <c r="C231" s="5">
        <v>24</v>
      </c>
      <c r="D231" s="5" t="s">
        <v>854</v>
      </c>
    </row>
    <row r="232" spans="1:4" x14ac:dyDescent="0.2">
      <c r="A232" s="7" t="s">
        <v>859</v>
      </c>
      <c r="B232" s="8" t="s">
        <v>853</v>
      </c>
      <c r="C232" s="5">
        <v>24</v>
      </c>
      <c r="D232" s="5" t="s">
        <v>854</v>
      </c>
    </row>
    <row r="233" spans="1:4" x14ac:dyDescent="0.2">
      <c r="A233" s="7" t="s">
        <v>391</v>
      </c>
      <c r="B233" s="8" t="s">
        <v>853</v>
      </c>
      <c r="C233" s="5">
        <v>24</v>
      </c>
      <c r="D233" s="5" t="s">
        <v>854</v>
      </c>
    </row>
    <row r="234" spans="1:4" x14ac:dyDescent="0.2">
      <c r="A234" s="7" t="s">
        <v>860</v>
      </c>
      <c r="B234" s="8" t="s">
        <v>853</v>
      </c>
      <c r="C234" s="5">
        <v>24</v>
      </c>
      <c r="D234" s="5" t="s">
        <v>854</v>
      </c>
    </row>
    <row r="235" spans="1:4" x14ac:dyDescent="0.2">
      <c r="A235" s="7" t="s">
        <v>861</v>
      </c>
      <c r="B235" s="8" t="s">
        <v>853</v>
      </c>
      <c r="C235" s="5">
        <v>24</v>
      </c>
      <c r="D235" s="5" t="s">
        <v>854</v>
      </c>
    </row>
    <row r="236" spans="1:4" x14ac:dyDescent="0.2">
      <c r="A236" s="7" t="s">
        <v>862</v>
      </c>
      <c r="B236" s="8" t="s">
        <v>853</v>
      </c>
      <c r="C236" s="5">
        <v>24</v>
      </c>
      <c r="D236" s="5" t="s">
        <v>854</v>
      </c>
    </row>
    <row r="237" spans="1:4" x14ac:dyDescent="0.2">
      <c r="A237" s="7" t="s">
        <v>863</v>
      </c>
      <c r="B237" s="8" t="s">
        <v>853</v>
      </c>
      <c r="C237" s="5">
        <v>24</v>
      </c>
      <c r="D237" s="5" t="s">
        <v>854</v>
      </c>
    </row>
    <row r="238" spans="1:4" x14ac:dyDescent="0.2">
      <c r="A238" s="7" t="s">
        <v>864</v>
      </c>
      <c r="B238" s="8" t="s">
        <v>853</v>
      </c>
      <c r="C238" s="5">
        <v>24</v>
      </c>
      <c r="D238" s="5" t="s">
        <v>854</v>
      </c>
    </row>
    <row r="239" spans="1:4" x14ac:dyDescent="0.2">
      <c r="A239" s="7" t="s">
        <v>865</v>
      </c>
      <c r="B239" s="8" t="s">
        <v>853</v>
      </c>
      <c r="C239" s="5">
        <v>24</v>
      </c>
      <c r="D239" s="5" t="s">
        <v>854</v>
      </c>
    </row>
    <row r="240" spans="1:4" x14ac:dyDescent="0.2">
      <c r="A240" s="7" t="s">
        <v>866</v>
      </c>
      <c r="B240" s="8" t="s">
        <v>853</v>
      </c>
      <c r="C240" s="5">
        <v>24</v>
      </c>
      <c r="D240" s="5" t="s">
        <v>854</v>
      </c>
    </row>
    <row r="241" spans="1:4" x14ac:dyDescent="0.2">
      <c r="A241" s="7" t="s">
        <v>867</v>
      </c>
      <c r="B241" s="8" t="s">
        <v>853</v>
      </c>
      <c r="C241" s="5">
        <v>24</v>
      </c>
      <c r="D241" s="5" t="s">
        <v>854</v>
      </c>
    </row>
    <row r="242" spans="1:4" x14ac:dyDescent="0.2">
      <c r="A242" s="9" t="s">
        <v>868</v>
      </c>
      <c r="B242" s="8" t="s">
        <v>853</v>
      </c>
      <c r="C242" s="5">
        <v>24</v>
      </c>
      <c r="D242" s="5" t="s">
        <v>854</v>
      </c>
    </row>
    <row r="243" spans="1:4" x14ac:dyDescent="0.2">
      <c r="A243" s="7" t="s">
        <v>869</v>
      </c>
      <c r="B243" s="8" t="s">
        <v>853</v>
      </c>
      <c r="C243" s="5">
        <v>24</v>
      </c>
      <c r="D243" s="5" t="s">
        <v>854</v>
      </c>
    </row>
    <row r="244" spans="1:4" x14ac:dyDescent="0.2">
      <c r="A244" s="7" t="s">
        <v>870</v>
      </c>
      <c r="B244" s="8" t="s">
        <v>853</v>
      </c>
      <c r="C244" s="5">
        <v>24</v>
      </c>
      <c r="D244" s="5" t="s">
        <v>854</v>
      </c>
    </row>
    <row r="245" spans="1:4" x14ac:dyDescent="0.2">
      <c r="A245" s="7" t="s">
        <v>871</v>
      </c>
      <c r="B245" s="8" t="s">
        <v>853</v>
      </c>
      <c r="C245" s="5">
        <v>24</v>
      </c>
      <c r="D245" s="5" t="s">
        <v>854</v>
      </c>
    </row>
    <row r="246" spans="1:4" x14ac:dyDescent="0.2">
      <c r="A246" s="7" t="s">
        <v>872</v>
      </c>
      <c r="B246" s="8" t="s">
        <v>853</v>
      </c>
      <c r="C246" s="5">
        <v>24</v>
      </c>
      <c r="D246" s="5" t="s">
        <v>854</v>
      </c>
    </row>
    <row r="247" spans="1:4" x14ac:dyDescent="0.2">
      <c r="A247" s="7" t="s">
        <v>873</v>
      </c>
      <c r="B247" s="8" t="s">
        <v>853</v>
      </c>
      <c r="C247" s="5">
        <v>24</v>
      </c>
      <c r="D247" s="5" t="s">
        <v>854</v>
      </c>
    </row>
    <row r="248" spans="1:4" x14ac:dyDescent="0.2">
      <c r="A248" s="7" t="s">
        <v>874</v>
      </c>
      <c r="B248" s="8" t="s">
        <v>853</v>
      </c>
      <c r="C248" s="5">
        <v>24</v>
      </c>
      <c r="D248" s="5" t="s">
        <v>854</v>
      </c>
    </row>
    <row r="249" spans="1:4" x14ac:dyDescent="0.2">
      <c r="A249" s="7" t="s">
        <v>875</v>
      </c>
      <c r="B249" s="8" t="s">
        <v>853</v>
      </c>
      <c r="C249" s="5">
        <v>24</v>
      </c>
      <c r="D249" s="5" t="s">
        <v>854</v>
      </c>
    </row>
    <row r="250" spans="1:4" x14ac:dyDescent="0.2">
      <c r="A250" s="7" t="s">
        <v>876</v>
      </c>
      <c r="B250" s="8" t="s">
        <v>853</v>
      </c>
      <c r="C250" s="5">
        <v>24</v>
      </c>
      <c r="D250" s="5" t="s">
        <v>854</v>
      </c>
    </row>
    <row r="251" spans="1:4" x14ac:dyDescent="0.2">
      <c r="A251" s="7" t="s">
        <v>875</v>
      </c>
      <c r="B251" s="8" t="s">
        <v>853</v>
      </c>
      <c r="C251" s="5">
        <v>24</v>
      </c>
      <c r="D251" s="5" t="s">
        <v>854</v>
      </c>
    </row>
    <row r="252" spans="1:4" x14ac:dyDescent="0.2">
      <c r="A252" s="7" t="s">
        <v>877</v>
      </c>
      <c r="B252" s="8" t="s">
        <v>853</v>
      </c>
      <c r="C252" s="5">
        <v>24</v>
      </c>
      <c r="D252" s="5" t="s">
        <v>854</v>
      </c>
    </row>
    <row r="253" spans="1:4" x14ac:dyDescent="0.2">
      <c r="A253" s="7" t="s">
        <v>878</v>
      </c>
      <c r="B253" s="8" t="s">
        <v>853</v>
      </c>
      <c r="C253" s="5">
        <v>24</v>
      </c>
      <c r="D253" s="5" t="s">
        <v>854</v>
      </c>
    </row>
    <row r="254" spans="1:4" x14ac:dyDescent="0.2">
      <c r="A254" s="7" t="s">
        <v>879</v>
      </c>
      <c r="B254" s="8" t="s">
        <v>853</v>
      </c>
      <c r="C254" s="5">
        <v>24</v>
      </c>
      <c r="D254" s="5" t="s">
        <v>854</v>
      </c>
    </row>
    <row r="255" spans="1:4" x14ac:dyDescent="0.2">
      <c r="A255" s="7" t="s">
        <v>204</v>
      </c>
      <c r="B255" s="8" t="s">
        <v>853</v>
      </c>
      <c r="C255" s="5">
        <v>24</v>
      </c>
      <c r="D255" s="5" t="s">
        <v>854</v>
      </c>
    </row>
    <row r="256" spans="1:4" x14ac:dyDescent="0.2">
      <c r="A256" s="7" t="s">
        <v>880</v>
      </c>
      <c r="B256" s="12" t="s">
        <v>881</v>
      </c>
      <c r="C256" s="5">
        <v>24</v>
      </c>
      <c r="D256" s="5" t="s">
        <v>854</v>
      </c>
    </row>
    <row r="257" spans="1:4" x14ac:dyDescent="0.2">
      <c r="A257" s="7" t="s">
        <v>882</v>
      </c>
      <c r="B257" s="12" t="s">
        <v>881</v>
      </c>
      <c r="C257" s="5">
        <v>24</v>
      </c>
      <c r="D257" s="5" t="s">
        <v>854</v>
      </c>
    </row>
    <row r="258" spans="1:4" x14ac:dyDescent="0.2">
      <c r="A258" s="7" t="s">
        <v>883</v>
      </c>
      <c r="B258" s="12" t="s">
        <v>881</v>
      </c>
      <c r="C258" s="5">
        <v>24</v>
      </c>
      <c r="D258" s="5" t="s">
        <v>854</v>
      </c>
    </row>
    <row r="259" spans="1:4" x14ac:dyDescent="0.2">
      <c r="A259" s="7" t="s">
        <v>884</v>
      </c>
      <c r="B259" s="12" t="s">
        <v>881</v>
      </c>
      <c r="C259" s="5">
        <v>24</v>
      </c>
      <c r="D259" s="5" t="s">
        <v>854</v>
      </c>
    </row>
    <row r="260" spans="1:4" x14ac:dyDescent="0.2">
      <c r="A260" s="7" t="s">
        <v>885</v>
      </c>
      <c r="B260" s="12" t="s">
        <v>881</v>
      </c>
      <c r="C260" s="5">
        <v>24</v>
      </c>
      <c r="D260" s="5" t="s">
        <v>854</v>
      </c>
    </row>
    <row r="261" spans="1:4" x14ac:dyDescent="0.2">
      <c r="A261" s="13" t="s">
        <v>886</v>
      </c>
      <c r="B261" s="14" t="s">
        <v>887</v>
      </c>
      <c r="C261" s="5">
        <v>24</v>
      </c>
      <c r="D261" s="5" t="s">
        <v>854</v>
      </c>
    </row>
    <row r="262" spans="1:4" x14ac:dyDescent="0.2">
      <c r="A262" s="13" t="s">
        <v>888</v>
      </c>
      <c r="B262" s="14" t="s">
        <v>887</v>
      </c>
      <c r="C262" s="5">
        <v>24</v>
      </c>
      <c r="D262" s="5" t="s">
        <v>854</v>
      </c>
    </row>
    <row r="263" spans="1:4" x14ac:dyDescent="0.2">
      <c r="A263" s="13" t="s">
        <v>889</v>
      </c>
      <c r="B263" s="14" t="s">
        <v>887</v>
      </c>
      <c r="C263" s="5">
        <v>24</v>
      </c>
      <c r="D263" s="5" t="s">
        <v>854</v>
      </c>
    </row>
    <row r="264" spans="1:4" x14ac:dyDescent="0.2">
      <c r="A264" s="13" t="s">
        <v>890</v>
      </c>
      <c r="B264" s="14" t="s">
        <v>887</v>
      </c>
      <c r="C264" s="5">
        <v>24</v>
      </c>
      <c r="D264" s="5" t="s">
        <v>854</v>
      </c>
    </row>
    <row r="265" spans="1:4" x14ac:dyDescent="0.2">
      <c r="A265" s="13" t="s">
        <v>891</v>
      </c>
      <c r="B265" s="14" t="s">
        <v>887</v>
      </c>
      <c r="C265" s="5">
        <v>24</v>
      </c>
      <c r="D265" s="5" t="s">
        <v>854</v>
      </c>
    </row>
    <row r="266" spans="1:4" x14ac:dyDescent="0.2">
      <c r="A266" s="13" t="s">
        <v>892</v>
      </c>
      <c r="B266" s="14" t="s">
        <v>887</v>
      </c>
      <c r="C266" s="5">
        <v>24</v>
      </c>
      <c r="D266" s="5" t="s">
        <v>854</v>
      </c>
    </row>
    <row r="267" spans="1:4" x14ac:dyDescent="0.2">
      <c r="A267" s="13" t="s">
        <v>893</v>
      </c>
      <c r="B267" s="14" t="s">
        <v>887</v>
      </c>
      <c r="C267" s="5">
        <v>24</v>
      </c>
      <c r="D267" s="5" t="s">
        <v>854</v>
      </c>
    </row>
    <row r="268" spans="1:4" x14ac:dyDescent="0.2">
      <c r="A268" s="13" t="s">
        <v>894</v>
      </c>
      <c r="B268" s="14" t="s">
        <v>887</v>
      </c>
      <c r="C268" s="5">
        <v>24</v>
      </c>
      <c r="D268" s="5" t="s">
        <v>854</v>
      </c>
    </row>
    <row r="269" spans="1:4" x14ac:dyDescent="0.2">
      <c r="A269" s="13" t="s">
        <v>895</v>
      </c>
      <c r="B269" s="14" t="s">
        <v>887</v>
      </c>
      <c r="C269" s="5">
        <v>24</v>
      </c>
      <c r="D269" s="5" t="s">
        <v>854</v>
      </c>
    </row>
    <row r="270" spans="1:4" x14ac:dyDescent="0.2">
      <c r="A270" s="13" t="s">
        <v>896</v>
      </c>
      <c r="B270" s="14" t="s">
        <v>887</v>
      </c>
      <c r="C270" s="5">
        <v>24</v>
      </c>
      <c r="D270" s="5" t="s">
        <v>854</v>
      </c>
    </row>
    <row r="271" spans="1:4" x14ac:dyDescent="0.2">
      <c r="A271" s="13" t="s">
        <v>897</v>
      </c>
      <c r="B271" s="14" t="s">
        <v>887</v>
      </c>
      <c r="C271" s="5">
        <v>24</v>
      </c>
      <c r="D271" s="5" t="s">
        <v>854</v>
      </c>
    </row>
    <row r="272" spans="1:4" x14ac:dyDescent="0.2">
      <c r="A272" s="13" t="s">
        <v>897</v>
      </c>
      <c r="B272" s="14" t="s">
        <v>887</v>
      </c>
      <c r="C272" s="5">
        <v>24</v>
      </c>
      <c r="D272" s="5" t="s">
        <v>854</v>
      </c>
    </row>
    <row r="273" spans="1:4" x14ac:dyDescent="0.2">
      <c r="A273" s="13" t="s">
        <v>897</v>
      </c>
      <c r="B273" s="14" t="s">
        <v>887</v>
      </c>
      <c r="C273" s="5">
        <v>24</v>
      </c>
      <c r="D273" s="5" t="s">
        <v>854</v>
      </c>
    </row>
    <row r="274" spans="1:4" x14ac:dyDescent="0.2">
      <c r="A274" s="13" t="s">
        <v>897</v>
      </c>
      <c r="B274" s="14" t="s">
        <v>887</v>
      </c>
      <c r="C274" s="5">
        <v>24</v>
      </c>
      <c r="D274" s="5" t="s">
        <v>854</v>
      </c>
    </row>
    <row r="275" spans="1:4" x14ac:dyDescent="0.2">
      <c r="A275" s="13" t="s">
        <v>897</v>
      </c>
      <c r="B275" s="14" t="s">
        <v>887</v>
      </c>
      <c r="C275" s="5">
        <v>24</v>
      </c>
      <c r="D275" s="5" t="s">
        <v>854</v>
      </c>
    </row>
    <row r="276" spans="1:4" x14ac:dyDescent="0.2">
      <c r="A276" s="13" t="s">
        <v>898</v>
      </c>
      <c r="B276" s="14" t="s">
        <v>899</v>
      </c>
      <c r="C276" s="5">
        <v>24</v>
      </c>
      <c r="D276" s="5" t="s">
        <v>854</v>
      </c>
    </row>
    <row r="277" spans="1:4" x14ac:dyDescent="0.2">
      <c r="A277" s="13" t="s">
        <v>900</v>
      </c>
      <c r="B277" s="14" t="s">
        <v>899</v>
      </c>
      <c r="C277" s="5">
        <v>24</v>
      </c>
      <c r="D277" s="5" t="s">
        <v>854</v>
      </c>
    </row>
    <row r="278" spans="1:4" x14ac:dyDescent="0.2">
      <c r="A278" s="7" t="s">
        <v>901</v>
      </c>
      <c r="B278" s="12" t="s">
        <v>902</v>
      </c>
      <c r="C278" s="5">
        <v>24</v>
      </c>
      <c r="D278" s="5" t="s">
        <v>854</v>
      </c>
    </row>
    <row r="279" spans="1:4" x14ac:dyDescent="0.2">
      <c r="A279" s="7" t="s">
        <v>223</v>
      </c>
      <c r="B279" s="12" t="s">
        <v>902</v>
      </c>
      <c r="C279" s="5">
        <v>24</v>
      </c>
      <c r="D279" s="5" t="s">
        <v>854</v>
      </c>
    </row>
    <row r="280" spans="1:4" x14ac:dyDescent="0.2">
      <c r="A280" s="7" t="s">
        <v>903</v>
      </c>
      <c r="B280" s="8" t="s">
        <v>904</v>
      </c>
      <c r="C280" s="5">
        <v>24</v>
      </c>
      <c r="D280" s="5" t="s">
        <v>854</v>
      </c>
    </row>
    <row r="281" spans="1:4" x14ac:dyDescent="0.2">
      <c r="A281" s="7" t="s">
        <v>209</v>
      </c>
      <c r="B281" s="8" t="s">
        <v>904</v>
      </c>
      <c r="C281" s="5">
        <v>24</v>
      </c>
      <c r="D281" s="5" t="s">
        <v>854</v>
      </c>
    </row>
    <row r="282" spans="1:4" x14ac:dyDescent="0.2">
      <c r="A282" s="7" t="s">
        <v>905</v>
      </c>
      <c r="B282" s="8" t="s">
        <v>906</v>
      </c>
      <c r="C282" s="5">
        <v>24</v>
      </c>
      <c r="D282" s="5" t="s">
        <v>854</v>
      </c>
    </row>
    <row r="283" spans="1:4" x14ac:dyDescent="0.2">
      <c r="A283" s="7" t="s">
        <v>907</v>
      </c>
      <c r="B283" s="8" t="s">
        <v>906</v>
      </c>
      <c r="C283" s="5">
        <v>24</v>
      </c>
      <c r="D283" s="5" t="s">
        <v>854</v>
      </c>
    </row>
    <row r="284" spans="1:4" x14ac:dyDescent="0.2">
      <c r="A284" s="7" t="s">
        <v>908</v>
      </c>
      <c r="B284" s="8" t="s">
        <v>906</v>
      </c>
      <c r="C284" s="5">
        <v>24</v>
      </c>
      <c r="D284" s="5" t="s">
        <v>854</v>
      </c>
    </row>
    <row r="285" spans="1:4" x14ac:dyDescent="0.2">
      <c r="A285" s="7" t="s">
        <v>909</v>
      </c>
      <c r="B285" s="8" t="s">
        <v>906</v>
      </c>
      <c r="C285" s="5">
        <v>24</v>
      </c>
      <c r="D285" s="5" t="s">
        <v>854</v>
      </c>
    </row>
    <row r="286" spans="1:4" x14ac:dyDescent="0.2">
      <c r="A286" s="7" t="s">
        <v>910</v>
      </c>
      <c r="B286" s="8" t="s">
        <v>906</v>
      </c>
      <c r="C286" s="5">
        <v>24</v>
      </c>
      <c r="D286" s="5" t="s">
        <v>854</v>
      </c>
    </row>
    <row r="287" spans="1:4" x14ac:dyDescent="0.2">
      <c r="A287" s="7" t="s">
        <v>911</v>
      </c>
      <c r="B287" s="8" t="s">
        <v>906</v>
      </c>
      <c r="C287" s="5">
        <v>24</v>
      </c>
      <c r="D287" s="5" t="s">
        <v>854</v>
      </c>
    </row>
    <row r="288" spans="1:4" x14ac:dyDescent="0.2">
      <c r="A288" s="7" t="s">
        <v>912</v>
      </c>
      <c r="B288" s="8" t="s">
        <v>906</v>
      </c>
      <c r="C288" s="5">
        <v>24</v>
      </c>
      <c r="D288" s="5" t="s">
        <v>854</v>
      </c>
    </row>
    <row r="289" spans="1:4" x14ac:dyDescent="0.2">
      <c r="A289" s="7" t="s">
        <v>913</v>
      </c>
      <c r="B289" s="8" t="s">
        <v>906</v>
      </c>
      <c r="C289" s="5">
        <v>24</v>
      </c>
      <c r="D289" s="5" t="s">
        <v>854</v>
      </c>
    </row>
    <row r="290" spans="1:4" x14ac:dyDescent="0.2">
      <c r="A290" s="7" t="s">
        <v>914</v>
      </c>
      <c r="B290" s="8" t="s">
        <v>906</v>
      </c>
      <c r="C290" s="5">
        <v>24</v>
      </c>
      <c r="D290" s="5" t="s">
        <v>854</v>
      </c>
    </row>
    <row r="291" spans="1:4" x14ac:dyDescent="0.2">
      <c r="A291" s="7" t="s">
        <v>915</v>
      </c>
      <c r="B291" s="8" t="s">
        <v>906</v>
      </c>
      <c r="C291" s="5">
        <v>24</v>
      </c>
      <c r="D291" s="5" t="s">
        <v>854</v>
      </c>
    </row>
    <row r="292" spans="1:4" x14ac:dyDescent="0.2">
      <c r="A292" s="7" t="s">
        <v>916</v>
      </c>
      <c r="B292" s="8" t="s">
        <v>906</v>
      </c>
      <c r="C292" s="5">
        <v>24</v>
      </c>
      <c r="D292" s="5" t="s">
        <v>854</v>
      </c>
    </row>
    <row r="293" spans="1:4" x14ac:dyDescent="0.2">
      <c r="A293" s="7" t="s">
        <v>912</v>
      </c>
      <c r="B293" s="8" t="s">
        <v>906</v>
      </c>
      <c r="C293" s="5">
        <v>24</v>
      </c>
      <c r="D293" s="5" t="s">
        <v>854</v>
      </c>
    </row>
    <row r="294" spans="1:4" x14ac:dyDescent="0.2">
      <c r="A294" s="7" t="s">
        <v>917</v>
      </c>
      <c r="B294" s="8" t="s">
        <v>906</v>
      </c>
      <c r="C294" s="5">
        <v>24</v>
      </c>
      <c r="D294" s="5" t="s">
        <v>854</v>
      </c>
    </row>
    <row r="295" spans="1:4" x14ac:dyDescent="0.2">
      <c r="A295" s="11" t="s">
        <v>918</v>
      </c>
      <c r="B295" s="8" t="s">
        <v>906</v>
      </c>
      <c r="C295" s="5">
        <v>24</v>
      </c>
      <c r="D295" s="5" t="s">
        <v>854</v>
      </c>
    </row>
    <row r="296" spans="1:4" x14ac:dyDescent="0.2">
      <c r="A296" s="11" t="s">
        <v>387</v>
      </c>
      <c r="B296" s="8" t="s">
        <v>906</v>
      </c>
      <c r="C296" s="5">
        <v>24</v>
      </c>
      <c r="D296" s="5" t="s">
        <v>854</v>
      </c>
    </row>
    <row r="297" spans="1:4" x14ac:dyDescent="0.2">
      <c r="A297" s="11" t="s">
        <v>919</v>
      </c>
      <c r="B297" s="8" t="s">
        <v>906</v>
      </c>
      <c r="C297" s="5">
        <v>24</v>
      </c>
      <c r="D297" s="5" t="s">
        <v>854</v>
      </c>
    </row>
    <row r="298" spans="1:4" x14ac:dyDescent="0.2">
      <c r="A298" s="11" t="s">
        <v>920</v>
      </c>
      <c r="B298" s="8" t="s">
        <v>906</v>
      </c>
      <c r="C298" s="5">
        <v>24</v>
      </c>
      <c r="D298" s="5" t="s">
        <v>854</v>
      </c>
    </row>
    <row r="299" spans="1:4" x14ac:dyDescent="0.2">
      <c r="A299" s="7" t="s">
        <v>921</v>
      </c>
      <c r="B299" s="8" t="s">
        <v>906</v>
      </c>
      <c r="C299" s="5">
        <v>24</v>
      </c>
      <c r="D299" s="5" t="s">
        <v>854</v>
      </c>
    </row>
    <row r="300" spans="1:4" x14ac:dyDescent="0.2">
      <c r="A300" s="7" t="s">
        <v>922</v>
      </c>
      <c r="B300" s="8" t="s">
        <v>906</v>
      </c>
      <c r="C300" s="5">
        <v>24</v>
      </c>
      <c r="D300" s="5" t="s">
        <v>854</v>
      </c>
    </row>
    <row r="301" spans="1:4" x14ac:dyDescent="0.2">
      <c r="A301" s="7" t="s">
        <v>388</v>
      </c>
      <c r="B301" s="8" t="s">
        <v>906</v>
      </c>
      <c r="C301" s="5">
        <v>24</v>
      </c>
      <c r="D301" s="5" t="s">
        <v>854</v>
      </c>
    </row>
    <row r="302" spans="1:4" x14ac:dyDescent="0.2">
      <c r="A302" s="7" t="s">
        <v>923</v>
      </c>
      <c r="B302" s="8" t="s">
        <v>906</v>
      </c>
      <c r="C302" s="5">
        <v>24</v>
      </c>
      <c r="D302" s="5" t="s">
        <v>854</v>
      </c>
    </row>
    <row r="303" spans="1:4" x14ac:dyDescent="0.2">
      <c r="A303" s="7" t="s">
        <v>217</v>
      </c>
      <c r="B303" s="8" t="s">
        <v>906</v>
      </c>
      <c r="C303" s="5">
        <v>24</v>
      </c>
      <c r="D303" s="5" t="s">
        <v>854</v>
      </c>
    </row>
    <row r="304" spans="1:4" x14ac:dyDescent="0.2">
      <c r="A304" s="7" t="s">
        <v>924</v>
      </c>
      <c r="B304" s="8" t="s">
        <v>906</v>
      </c>
      <c r="C304" s="5">
        <v>24</v>
      </c>
      <c r="D304" s="5" t="s">
        <v>854</v>
      </c>
    </row>
    <row r="305" spans="1:4" x14ac:dyDescent="0.2">
      <c r="A305" s="7" t="s">
        <v>925</v>
      </c>
      <c r="B305" s="8" t="s">
        <v>906</v>
      </c>
      <c r="C305" s="5">
        <v>24</v>
      </c>
      <c r="D305" s="5" t="s">
        <v>854</v>
      </c>
    </row>
    <row r="306" spans="1:4" x14ac:dyDescent="0.2">
      <c r="A306" s="7" t="s">
        <v>926</v>
      </c>
      <c r="B306" s="8" t="s">
        <v>906</v>
      </c>
      <c r="C306" s="5">
        <v>24</v>
      </c>
      <c r="D306" s="5" t="s">
        <v>854</v>
      </c>
    </row>
    <row r="307" spans="1:4" x14ac:dyDescent="0.2">
      <c r="A307" s="7" t="s">
        <v>927</v>
      </c>
      <c r="B307" s="8" t="s">
        <v>906</v>
      </c>
      <c r="C307" s="5">
        <v>24</v>
      </c>
      <c r="D307" s="5" t="s">
        <v>854</v>
      </c>
    </row>
    <row r="308" spans="1:4" x14ac:dyDescent="0.2">
      <c r="A308" s="7">
        <v>4315542</v>
      </c>
      <c r="B308" s="8" t="s">
        <v>928</v>
      </c>
      <c r="C308" s="5">
        <v>24</v>
      </c>
      <c r="D308" s="5" t="s">
        <v>854</v>
      </c>
    </row>
    <row r="309" spans="1:4" x14ac:dyDescent="0.2">
      <c r="A309" s="9" t="s">
        <v>929</v>
      </c>
      <c r="B309" s="8" t="s">
        <v>928</v>
      </c>
      <c r="C309" s="5">
        <v>24</v>
      </c>
      <c r="D309" s="5" t="s">
        <v>854</v>
      </c>
    </row>
    <row r="310" spans="1:4" x14ac:dyDescent="0.2">
      <c r="A310" s="7">
        <v>4191695</v>
      </c>
      <c r="B310" s="8" t="s">
        <v>928</v>
      </c>
      <c r="C310" s="5">
        <v>24</v>
      </c>
      <c r="D310" s="5" t="s">
        <v>854</v>
      </c>
    </row>
    <row r="311" spans="1:4" x14ac:dyDescent="0.2">
      <c r="A311" s="7">
        <v>4331772</v>
      </c>
      <c r="B311" s="8" t="s">
        <v>928</v>
      </c>
      <c r="C311" s="5">
        <v>24</v>
      </c>
      <c r="D311" s="5" t="s">
        <v>854</v>
      </c>
    </row>
    <row r="312" spans="1:4" x14ac:dyDescent="0.2">
      <c r="A312" s="7" t="s">
        <v>930</v>
      </c>
      <c r="B312" s="8" t="s">
        <v>928</v>
      </c>
      <c r="C312" s="5">
        <v>24</v>
      </c>
      <c r="D312" s="5" t="s">
        <v>854</v>
      </c>
    </row>
    <row r="313" spans="1:4" x14ac:dyDescent="0.2">
      <c r="A313" s="7" t="s">
        <v>931</v>
      </c>
      <c r="B313" s="8" t="s">
        <v>928</v>
      </c>
      <c r="C313" s="5">
        <v>24</v>
      </c>
      <c r="D313" s="5" t="s">
        <v>854</v>
      </c>
    </row>
    <row r="314" spans="1:4" x14ac:dyDescent="0.2">
      <c r="A314" s="7" t="s">
        <v>932</v>
      </c>
      <c r="B314" s="8" t="s">
        <v>928</v>
      </c>
      <c r="C314" s="5">
        <v>24</v>
      </c>
      <c r="D314" s="5" t="s">
        <v>854</v>
      </c>
    </row>
    <row r="315" spans="1:4" x14ac:dyDescent="0.2">
      <c r="A315" s="7" t="s">
        <v>933</v>
      </c>
      <c r="B315" s="8" t="s">
        <v>928</v>
      </c>
      <c r="C315" s="5">
        <v>24</v>
      </c>
      <c r="D315" s="5" t="s">
        <v>854</v>
      </c>
    </row>
    <row r="316" spans="1:4" x14ac:dyDescent="0.2">
      <c r="A316" s="7" t="s">
        <v>934</v>
      </c>
      <c r="B316" s="8" t="s">
        <v>928</v>
      </c>
      <c r="C316" s="5">
        <v>24</v>
      </c>
      <c r="D316" s="5" t="s">
        <v>854</v>
      </c>
    </row>
    <row r="317" spans="1:4" x14ac:dyDescent="0.2">
      <c r="A317" s="7" t="s">
        <v>935</v>
      </c>
      <c r="B317" s="8" t="s">
        <v>928</v>
      </c>
      <c r="C317" s="5">
        <v>24</v>
      </c>
      <c r="D317" s="5" t="s">
        <v>854</v>
      </c>
    </row>
    <row r="318" spans="1:4" x14ac:dyDescent="0.2">
      <c r="A318" s="7">
        <v>4236564</v>
      </c>
      <c r="B318" s="12" t="s">
        <v>936</v>
      </c>
      <c r="C318" s="5">
        <v>24</v>
      </c>
      <c r="D318" s="5" t="s">
        <v>854</v>
      </c>
    </row>
    <row r="319" spans="1:4" x14ac:dyDescent="0.2">
      <c r="A319" s="9" t="s">
        <v>271</v>
      </c>
      <c r="B319" s="12" t="s">
        <v>936</v>
      </c>
      <c r="C319" s="5">
        <v>24</v>
      </c>
      <c r="D319" s="5" t="s">
        <v>854</v>
      </c>
    </row>
    <row r="320" spans="1:4" x14ac:dyDescent="0.2">
      <c r="A320" s="7" t="s">
        <v>937</v>
      </c>
      <c r="B320" s="12" t="s">
        <v>936</v>
      </c>
      <c r="C320" s="5">
        <v>24</v>
      </c>
      <c r="D320" s="5" t="s">
        <v>854</v>
      </c>
    </row>
    <row r="321" spans="1:4" x14ac:dyDescent="0.2">
      <c r="A321" s="7" t="s">
        <v>938</v>
      </c>
      <c r="B321" s="8" t="s">
        <v>928</v>
      </c>
      <c r="C321" s="5">
        <v>24</v>
      </c>
      <c r="D321" s="5" t="s">
        <v>854</v>
      </c>
    </row>
    <row r="322" spans="1:4" x14ac:dyDescent="0.2">
      <c r="A322" s="7" t="s">
        <v>939</v>
      </c>
      <c r="B322" s="8" t="s">
        <v>928</v>
      </c>
      <c r="C322" s="5">
        <v>24</v>
      </c>
      <c r="D322" s="5" t="s">
        <v>854</v>
      </c>
    </row>
    <row r="323" spans="1:4" x14ac:dyDescent="0.2">
      <c r="A323" s="7" t="s">
        <v>940</v>
      </c>
      <c r="B323" s="8" t="s">
        <v>928</v>
      </c>
      <c r="C323" s="5">
        <v>24</v>
      </c>
      <c r="D323" s="5" t="s">
        <v>854</v>
      </c>
    </row>
    <row r="324" spans="1:4" x14ac:dyDescent="0.2">
      <c r="A324" s="7" t="s">
        <v>941</v>
      </c>
      <c r="B324" s="8" t="s">
        <v>928</v>
      </c>
      <c r="C324" s="5">
        <v>24</v>
      </c>
      <c r="D324" s="5" t="s">
        <v>854</v>
      </c>
    </row>
    <row r="325" spans="1:4" x14ac:dyDescent="0.2">
      <c r="A325" s="7" t="s">
        <v>942</v>
      </c>
      <c r="B325" s="8" t="s">
        <v>928</v>
      </c>
      <c r="C325" s="5">
        <v>24</v>
      </c>
      <c r="D325" s="5" t="s">
        <v>854</v>
      </c>
    </row>
    <row r="326" spans="1:4" x14ac:dyDescent="0.2">
      <c r="A326" s="7" t="s">
        <v>943</v>
      </c>
      <c r="B326" s="8" t="s">
        <v>928</v>
      </c>
      <c r="C326" s="5">
        <v>24</v>
      </c>
      <c r="D326" s="5" t="s">
        <v>854</v>
      </c>
    </row>
    <row r="327" spans="1:4" x14ac:dyDescent="0.2">
      <c r="A327" s="7" t="s">
        <v>944</v>
      </c>
      <c r="B327" s="12" t="s">
        <v>902</v>
      </c>
      <c r="C327" s="5">
        <v>24</v>
      </c>
      <c r="D327" s="5" t="s">
        <v>854</v>
      </c>
    </row>
    <row r="328" spans="1:4" x14ac:dyDescent="0.2">
      <c r="A328" s="7" t="s">
        <v>945</v>
      </c>
      <c r="B328" s="12" t="s">
        <v>902</v>
      </c>
      <c r="C328" s="5">
        <v>24</v>
      </c>
      <c r="D328" s="5" t="s">
        <v>854</v>
      </c>
    </row>
    <row r="329" spans="1:4" x14ac:dyDescent="0.2">
      <c r="A329" s="7" t="s">
        <v>946</v>
      </c>
      <c r="B329" s="12" t="s">
        <v>902</v>
      </c>
      <c r="C329" s="5">
        <v>24</v>
      </c>
      <c r="D329" s="5" t="s">
        <v>854</v>
      </c>
    </row>
    <row r="330" spans="1:4" x14ac:dyDescent="0.2">
      <c r="A330" s="7" t="s">
        <v>947</v>
      </c>
      <c r="B330" s="8" t="s">
        <v>948</v>
      </c>
      <c r="C330" s="5">
        <v>25</v>
      </c>
      <c r="D330" s="5" t="s">
        <v>949</v>
      </c>
    </row>
    <row r="331" spans="1:4" x14ac:dyDescent="0.2">
      <c r="A331" s="7" t="s">
        <v>950</v>
      </c>
      <c r="B331" s="8" t="s">
        <v>948</v>
      </c>
      <c r="C331" s="5">
        <v>25</v>
      </c>
      <c r="D331" s="5" t="s">
        <v>949</v>
      </c>
    </row>
    <row r="332" spans="1:4" x14ac:dyDescent="0.2">
      <c r="A332" s="7" t="s">
        <v>951</v>
      </c>
      <c r="B332" s="8" t="s">
        <v>948</v>
      </c>
      <c r="C332" s="5">
        <v>25</v>
      </c>
      <c r="D332" s="5" t="s">
        <v>949</v>
      </c>
    </row>
    <row r="333" spans="1:4" x14ac:dyDescent="0.2">
      <c r="A333" s="7" t="s">
        <v>952</v>
      </c>
      <c r="B333" s="8" t="s">
        <v>948</v>
      </c>
      <c r="C333" s="5">
        <v>25</v>
      </c>
      <c r="D333" s="5" t="s">
        <v>949</v>
      </c>
    </row>
    <row r="334" spans="1:4" x14ac:dyDescent="0.2">
      <c r="A334" s="7" t="s">
        <v>953</v>
      </c>
      <c r="B334" s="8" t="s">
        <v>948</v>
      </c>
      <c r="C334" s="5">
        <v>25</v>
      </c>
      <c r="D334" s="5" t="s">
        <v>949</v>
      </c>
    </row>
    <row r="335" spans="1:4" x14ac:dyDescent="0.2">
      <c r="A335" s="7" t="s">
        <v>954</v>
      </c>
      <c r="B335" s="8" t="s">
        <v>948</v>
      </c>
      <c r="C335" s="5">
        <v>25</v>
      </c>
      <c r="D335" s="5" t="s">
        <v>949</v>
      </c>
    </row>
    <row r="336" spans="1:4" x14ac:dyDescent="0.2">
      <c r="A336" s="7" t="s">
        <v>955</v>
      </c>
      <c r="B336" s="8" t="s">
        <v>948</v>
      </c>
      <c r="C336" s="5">
        <v>25</v>
      </c>
      <c r="D336" s="5" t="s">
        <v>949</v>
      </c>
    </row>
    <row r="337" spans="1:4" x14ac:dyDescent="0.2">
      <c r="A337" s="7" t="s">
        <v>956</v>
      </c>
      <c r="B337" s="8" t="s">
        <v>957</v>
      </c>
      <c r="C337" s="5">
        <v>25</v>
      </c>
      <c r="D337" s="5" t="s">
        <v>949</v>
      </c>
    </row>
    <row r="338" spans="1:4" x14ac:dyDescent="0.2">
      <c r="A338" s="7" t="s">
        <v>958</v>
      </c>
      <c r="B338" s="8" t="s">
        <v>957</v>
      </c>
      <c r="C338" s="5">
        <v>25</v>
      </c>
      <c r="D338" s="5" t="s">
        <v>949</v>
      </c>
    </row>
    <row r="339" spans="1:4" x14ac:dyDescent="0.2">
      <c r="A339" s="7" t="s">
        <v>959</v>
      </c>
      <c r="B339" s="8" t="s">
        <v>957</v>
      </c>
      <c r="C339" s="5">
        <v>25</v>
      </c>
      <c r="D339" s="5" t="s">
        <v>949</v>
      </c>
    </row>
    <row r="340" spans="1:4" x14ac:dyDescent="0.2">
      <c r="A340" s="7" t="s">
        <v>960</v>
      </c>
      <c r="B340" s="8" t="s">
        <v>957</v>
      </c>
      <c r="C340" s="5">
        <v>25</v>
      </c>
      <c r="D340" s="5" t="s">
        <v>949</v>
      </c>
    </row>
    <row r="341" spans="1:4" x14ac:dyDescent="0.2">
      <c r="A341" s="7" t="s">
        <v>961</v>
      </c>
      <c r="B341" s="8" t="s">
        <v>957</v>
      </c>
      <c r="C341" s="5">
        <v>25</v>
      </c>
      <c r="D341" s="5" t="s">
        <v>949</v>
      </c>
    </row>
    <row r="342" spans="1:4" x14ac:dyDescent="0.2">
      <c r="A342" s="7" t="s">
        <v>962</v>
      </c>
      <c r="B342" s="8" t="s">
        <v>957</v>
      </c>
      <c r="C342" s="5">
        <v>25</v>
      </c>
      <c r="D342" s="5" t="s">
        <v>949</v>
      </c>
    </row>
    <row r="343" spans="1:4" x14ac:dyDescent="0.2">
      <c r="A343" s="7" t="s">
        <v>963</v>
      </c>
      <c r="B343" s="8" t="s">
        <v>957</v>
      </c>
      <c r="C343" s="5">
        <v>25</v>
      </c>
      <c r="D343" s="5" t="s">
        <v>949</v>
      </c>
    </row>
    <row r="344" spans="1:4" x14ac:dyDescent="0.2">
      <c r="A344" s="7" t="s">
        <v>964</v>
      </c>
      <c r="B344" s="8" t="s">
        <v>957</v>
      </c>
      <c r="C344" s="5">
        <v>25</v>
      </c>
      <c r="D344" s="5" t="s">
        <v>949</v>
      </c>
    </row>
    <row r="345" spans="1:4" x14ac:dyDescent="0.2">
      <c r="A345" s="7" t="s">
        <v>965</v>
      </c>
      <c r="B345" s="8" t="s">
        <v>957</v>
      </c>
      <c r="C345" s="5">
        <v>25</v>
      </c>
      <c r="D345" s="5" t="s">
        <v>949</v>
      </c>
    </row>
    <row r="346" spans="1:4" x14ac:dyDescent="0.2">
      <c r="A346" s="7" t="s">
        <v>966</v>
      </c>
      <c r="B346" s="8" t="s">
        <v>957</v>
      </c>
      <c r="C346" s="5">
        <v>25</v>
      </c>
      <c r="D346" s="5" t="s">
        <v>949</v>
      </c>
    </row>
    <row r="347" spans="1:4" x14ac:dyDescent="0.2">
      <c r="A347" s="7" t="s">
        <v>967</v>
      </c>
      <c r="B347" s="8" t="s">
        <v>957</v>
      </c>
      <c r="C347" s="5">
        <v>25</v>
      </c>
      <c r="D347" s="5" t="s">
        <v>949</v>
      </c>
    </row>
    <row r="348" spans="1:4" x14ac:dyDescent="0.2">
      <c r="A348" s="7" t="s">
        <v>968</v>
      </c>
      <c r="B348" s="8" t="s">
        <v>957</v>
      </c>
      <c r="C348" s="5">
        <v>25</v>
      </c>
      <c r="D348" s="5" t="s">
        <v>949</v>
      </c>
    </row>
    <row r="349" spans="1:4" x14ac:dyDescent="0.2">
      <c r="A349" s="7" t="s">
        <v>969</v>
      </c>
      <c r="B349" s="8" t="s">
        <v>957</v>
      </c>
      <c r="C349" s="5">
        <v>25</v>
      </c>
      <c r="D349" s="5" t="s">
        <v>949</v>
      </c>
    </row>
    <row r="350" spans="1:4" x14ac:dyDescent="0.2">
      <c r="A350" s="7" t="s">
        <v>970</v>
      </c>
      <c r="B350" s="8" t="s">
        <v>957</v>
      </c>
      <c r="C350" s="5">
        <v>25</v>
      </c>
      <c r="D350" s="5" t="s">
        <v>949</v>
      </c>
    </row>
    <row r="351" spans="1:4" x14ac:dyDescent="0.2">
      <c r="A351" s="7" t="s">
        <v>971</v>
      </c>
      <c r="B351" s="8" t="s">
        <v>957</v>
      </c>
      <c r="C351" s="5">
        <v>25</v>
      </c>
      <c r="D351" s="5" t="s">
        <v>949</v>
      </c>
    </row>
    <row r="352" spans="1:4" x14ac:dyDescent="0.2">
      <c r="A352" s="7" t="s">
        <v>972</v>
      </c>
      <c r="B352" s="8" t="s">
        <v>957</v>
      </c>
      <c r="C352" s="5">
        <v>25</v>
      </c>
      <c r="D352" s="5" t="s">
        <v>949</v>
      </c>
    </row>
    <row r="353" spans="1:4" x14ac:dyDescent="0.2">
      <c r="A353" s="7" t="s">
        <v>973</v>
      </c>
      <c r="B353" s="8" t="s">
        <v>957</v>
      </c>
      <c r="C353" s="5">
        <v>25</v>
      </c>
      <c r="D353" s="5" t="s">
        <v>949</v>
      </c>
    </row>
    <row r="354" spans="1:4" x14ac:dyDescent="0.2">
      <c r="A354" s="7" t="s">
        <v>974</v>
      </c>
      <c r="B354" s="8" t="s">
        <v>957</v>
      </c>
      <c r="C354" s="5">
        <v>25</v>
      </c>
      <c r="D354" s="5" t="s">
        <v>949</v>
      </c>
    </row>
    <row r="355" spans="1:4" x14ac:dyDescent="0.2">
      <c r="A355" s="7" t="s">
        <v>975</v>
      </c>
      <c r="B355" s="8" t="s">
        <v>957</v>
      </c>
      <c r="C355" s="5">
        <v>25</v>
      </c>
      <c r="D355" s="5" t="s">
        <v>949</v>
      </c>
    </row>
    <row r="356" spans="1:4" x14ac:dyDescent="0.2">
      <c r="A356" s="7" t="s">
        <v>976</v>
      </c>
      <c r="B356" s="8" t="s">
        <v>957</v>
      </c>
      <c r="C356" s="5">
        <v>25</v>
      </c>
      <c r="D356" s="5" t="s">
        <v>949</v>
      </c>
    </row>
    <row r="357" spans="1:4" x14ac:dyDescent="0.2">
      <c r="A357" s="7" t="s">
        <v>977</v>
      </c>
      <c r="B357" s="8" t="s">
        <v>957</v>
      </c>
      <c r="C357" s="5">
        <v>25</v>
      </c>
      <c r="D357" s="5" t="s">
        <v>949</v>
      </c>
    </row>
    <row r="358" spans="1:4" x14ac:dyDescent="0.2">
      <c r="A358" s="7" t="s">
        <v>978</v>
      </c>
      <c r="B358" s="8" t="s">
        <v>957</v>
      </c>
      <c r="C358" s="5">
        <v>25</v>
      </c>
      <c r="D358" s="5" t="s">
        <v>949</v>
      </c>
    </row>
    <row r="359" spans="1:4" x14ac:dyDescent="0.2">
      <c r="A359" s="7" t="s">
        <v>979</v>
      </c>
      <c r="B359" s="8" t="s">
        <v>957</v>
      </c>
      <c r="C359" s="5">
        <v>25</v>
      </c>
      <c r="D359" s="5" t="s">
        <v>949</v>
      </c>
    </row>
    <row r="360" spans="1:4" x14ac:dyDescent="0.2">
      <c r="A360" s="7" t="s">
        <v>980</v>
      </c>
      <c r="B360" s="8" t="s">
        <v>957</v>
      </c>
      <c r="C360" s="5">
        <v>25</v>
      </c>
      <c r="D360" s="5" t="s">
        <v>949</v>
      </c>
    </row>
    <row r="361" spans="1:4" x14ac:dyDescent="0.2">
      <c r="A361" s="7" t="s">
        <v>981</v>
      </c>
      <c r="B361" s="8" t="s">
        <v>957</v>
      </c>
      <c r="C361" s="5">
        <v>25</v>
      </c>
      <c r="D361" s="5" t="s">
        <v>949</v>
      </c>
    </row>
    <row r="362" spans="1:4" x14ac:dyDescent="0.2">
      <c r="A362" s="7" t="s">
        <v>982</v>
      </c>
      <c r="B362" s="8" t="s">
        <v>957</v>
      </c>
      <c r="C362" s="5">
        <v>25</v>
      </c>
      <c r="D362" s="5" t="s">
        <v>949</v>
      </c>
    </row>
    <row r="363" spans="1:4" x14ac:dyDescent="0.2">
      <c r="A363" s="7" t="s">
        <v>983</v>
      </c>
      <c r="B363" s="8" t="s">
        <v>957</v>
      </c>
      <c r="C363" s="5">
        <v>25</v>
      </c>
      <c r="D363" s="5" t="s">
        <v>949</v>
      </c>
    </row>
    <row r="364" spans="1:4" x14ac:dyDescent="0.2">
      <c r="A364" s="7" t="s">
        <v>984</v>
      </c>
      <c r="B364" s="8" t="s">
        <v>957</v>
      </c>
      <c r="C364" s="5">
        <v>25</v>
      </c>
      <c r="D364" s="5" t="s">
        <v>949</v>
      </c>
    </row>
    <row r="365" spans="1:4" x14ac:dyDescent="0.2">
      <c r="A365" s="7" t="s">
        <v>985</v>
      </c>
      <c r="B365" s="8" t="s">
        <v>957</v>
      </c>
      <c r="C365" s="5">
        <v>25</v>
      </c>
      <c r="D365" s="5" t="s">
        <v>949</v>
      </c>
    </row>
    <row r="366" spans="1:4" x14ac:dyDescent="0.2">
      <c r="A366" s="7" t="s">
        <v>986</v>
      </c>
      <c r="B366" s="8" t="s">
        <v>957</v>
      </c>
      <c r="C366" s="5">
        <v>25</v>
      </c>
      <c r="D366" s="5" t="s">
        <v>949</v>
      </c>
    </row>
    <row r="367" spans="1:4" x14ac:dyDescent="0.2">
      <c r="A367" s="7" t="s">
        <v>987</v>
      </c>
      <c r="B367" s="8" t="s">
        <v>957</v>
      </c>
      <c r="C367" s="5">
        <v>25</v>
      </c>
      <c r="D367" s="5" t="s">
        <v>949</v>
      </c>
    </row>
    <row r="368" spans="1:4" x14ac:dyDescent="0.2">
      <c r="A368" s="7" t="s">
        <v>988</v>
      </c>
      <c r="B368" s="8" t="s">
        <v>957</v>
      </c>
      <c r="C368" s="5">
        <v>25</v>
      </c>
      <c r="D368" s="5" t="s">
        <v>949</v>
      </c>
    </row>
    <row r="369" spans="1:4" x14ac:dyDescent="0.2">
      <c r="A369" s="7" t="s">
        <v>989</v>
      </c>
      <c r="B369" s="8" t="s">
        <v>957</v>
      </c>
      <c r="C369" s="5">
        <v>25</v>
      </c>
      <c r="D369" s="5" t="s">
        <v>949</v>
      </c>
    </row>
    <row r="370" spans="1:4" x14ac:dyDescent="0.2">
      <c r="A370" s="7" t="s">
        <v>990</v>
      </c>
      <c r="B370" s="8" t="s">
        <v>957</v>
      </c>
      <c r="C370" s="5">
        <v>25</v>
      </c>
      <c r="D370" s="5" t="s">
        <v>949</v>
      </c>
    </row>
    <row r="371" spans="1:4" x14ac:dyDescent="0.2">
      <c r="A371" s="7" t="s">
        <v>991</v>
      </c>
      <c r="B371" s="8" t="s">
        <v>957</v>
      </c>
      <c r="C371" s="5">
        <v>25</v>
      </c>
      <c r="D371" s="5" t="s">
        <v>949</v>
      </c>
    </row>
    <row r="372" spans="1:4" x14ac:dyDescent="0.2">
      <c r="A372" s="7" t="s">
        <v>992</v>
      </c>
      <c r="B372" s="8" t="s">
        <v>957</v>
      </c>
      <c r="C372" s="5">
        <v>25</v>
      </c>
      <c r="D372" s="5" t="s">
        <v>949</v>
      </c>
    </row>
    <row r="373" spans="1:4" x14ac:dyDescent="0.2">
      <c r="A373" s="7" t="s">
        <v>993</v>
      </c>
      <c r="B373" s="8" t="s">
        <v>957</v>
      </c>
      <c r="C373" s="5">
        <v>25</v>
      </c>
      <c r="D373" s="5" t="s">
        <v>949</v>
      </c>
    </row>
    <row r="374" spans="1:4" x14ac:dyDescent="0.2">
      <c r="A374" s="7" t="s">
        <v>994</v>
      </c>
      <c r="B374" s="8" t="s">
        <v>957</v>
      </c>
      <c r="C374" s="5">
        <v>25</v>
      </c>
      <c r="D374" s="5" t="s">
        <v>949</v>
      </c>
    </row>
    <row r="375" spans="1:4" x14ac:dyDescent="0.2">
      <c r="A375" s="7" t="s">
        <v>995</v>
      </c>
      <c r="B375" s="8" t="s">
        <v>957</v>
      </c>
      <c r="C375" s="5">
        <v>25</v>
      </c>
      <c r="D375" s="5" t="s">
        <v>949</v>
      </c>
    </row>
    <row r="376" spans="1:4" x14ac:dyDescent="0.2">
      <c r="A376" s="7" t="s">
        <v>996</v>
      </c>
      <c r="B376" s="8" t="s">
        <v>957</v>
      </c>
      <c r="C376" s="5">
        <v>25</v>
      </c>
      <c r="D376" s="5" t="s">
        <v>949</v>
      </c>
    </row>
    <row r="377" spans="1:4" x14ac:dyDescent="0.2">
      <c r="A377" s="7" t="s">
        <v>997</v>
      </c>
      <c r="B377" s="8" t="s">
        <v>957</v>
      </c>
      <c r="C377" s="5">
        <v>25</v>
      </c>
      <c r="D377" s="5" t="s">
        <v>949</v>
      </c>
    </row>
    <row r="378" spans="1:4" x14ac:dyDescent="0.2">
      <c r="A378" s="7" t="s">
        <v>998</v>
      </c>
      <c r="B378" s="8" t="s">
        <v>957</v>
      </c>
      <c r="C378" s="5">
        <v>25</v>
      </c>
      <c r="D378" s="5" t="s">
        <v>949</v>
      </c>
    </row>
    <row r="379" spans="1:4" x14ac:dyDescent="0.2">
      <c r="A379" s="7" t="s">
        <v>999</v>
      </c>
      <c r="B379" s="8" t="s">
        <v>957</v>
      </c>
      <c r="C379" s="5">
        <v>25</v>
      </c>
      <c r="D379" s="5" t="s">
        <v>949</v>
      </c>
    </row>
    <row r="380" spans="1:4" x14ac:dyDescent="0.2">
      <c r="A380" s="7" t="s">
        <v>1000</v>
      </c>
      <c r="B380" s="8" t="s">
        <v>957</v>
      </c>
      <c r="C380" s="5">
        <v>25</v>
      </c>
      <c r="D380" s="5" t="s">
        <v>949</v>
      </c>
    </row>
    <row r="381" spans="1:4" x14ac:dyDescent="0.2">
      <c r="A381" s="7" t="s">
        <v>1001</v>
      </c>
      <c r="B381" s="8" t="s">
        <v>957</v>
      </c>
      <c r="C381" s="5">
        <v>25</v>
      </c>
      <c r="D381" s="5" t="s">
        <v>949</v>
      </c>
    </row>
    <row r="382" spans="1:4" x14ac:dyDescent="0.2">
      <c r="A382" s="7" t="s">
        <v>1002</v>
      </c>
      <c r="B382" s="8" t="s">
        <v>957</v>
      </c>
      <c r="C382" s="5">
        <v>25</v>
      </c>
      <c r="D382" s="5" t="s">
        <v>949</v>
      </c>
    </row>
    <row r="383" spans="1:4" x14ac:dyDescent="0.2">
      <c r="A383" s="7" t="s">
        <v>1003</v>
      </c>
      <c r="B383" s="8" t="s">
        <v>957</v>
      </c>
      <c r="C383" s="5">
        <v>25</v>
      </c>
      <c r="D383" s="5" t="s">
        <v>949</v>
      </c>
    </row>
    <row r="384" spans="1:4" x14ac:dyDescent="0.2">
      <c r="A384" s="7" t="s">
        <v>206</v>
      </c>
      <c r="B384" s="8" t="s">
        <v>957</v>
      </c>
      <c r="C384" s="5">
        <v>25</v>
      </c>
      <c r="D384" s="5" t="s">
        <v>949</v>
      </c>
    </row>
    <row r="385" spans="1:4" x14ac:dyDescent="0.2">
      <c r="A385" s="7" t="s">
        <v>1004</v>
      </c>
      <c r="B385" s="8" t="s">
        <v>957</v>
      </c>
      <c r="C385" s="5">
        <v>25</v>
      </c>
      <c r="D385" s="5" t="s">
        <v>949</v>
      </c>
    </row>
    <row r="386" spans="1:4" x14ac:dyDescent="0.2">
      <c r="A386" s="7" t="s">
        <v>1005</v>
      </c>
      <c r="B386" s="8" t="s">
        <v>957</v>
      </c>
      <c r="C386" s="5">
        <v>25</v>
      </c>
      <c r="D386" s="5" t="s">
        <v>949</v>
      </c>
    </row>
    <row r="387" spans="1:4" x14ac:dyDescent="0.2">
      <c r="A387" s="7" t="s">
        <v>1006</v>
      </c>
      <c r="B387" s="8" t="s">
        <v>957</v>
      </c>
      <c r="C387" s="5">
        <v>25</v>
      </c>
      <c r="D387" s="5" t="s">
        <v>949</v>
      </c>
    </row>
    <row r="388" spans="1:4" x14ac:dyDescent="0.2">
      <c r="A388" s="7" t="s">
        <v>1006</v>
      </c>
      <c r="B388" s="8" t="s">
        <v>957</v>
      </c>
      <c r="C388" s="5">
        <v>25</v>
      </c>
      <c r="D388" s="5" t="s">
        <v>949</v>
      </c>
    </row>
    <row r="389" spans="1:4" x14ac:dyDescent="0.2">
      <c r="A389" s="7" t="s">
        <v>1007</v>
      </c>
      <c r="B389" s="8" t="s">
        <v>957</v>
      </c>
      <c r="C389" s="5">
        <v>25</v>
      </c>
      <c r="D389" s="5" t="s">
        <v>949</v>
      </c>
    </row>
    <row r="390" spans="1:4" x14ac:dyDescent="0.2">
      <c r="A390" s="7" t="s">
        <v>1008</v>
      </c>
      <c r="B390" s="8" t="s">
        <v>957</v>
      </c>
      <c r="C390" s="5">
        <v>25</v>
      </c>
      <c r="D390" s="5" t="s">
        <v>949</v>
      </c>
    </row>
    <row r="391" spans="1:4" x14ac:dyDescent="0.2">
      <c r="A391" s="7" t="s">
        <v>1009</v>
      </c>
      <c r="B391" s="8" t="s">
        <v>957</v>
      </c>
      <c r="C391" s="5">
        <v>25</v>
      </c>
      <c r="D391" s="5" t="s">
        <v>949</v>
      </c>
    </row>
    <row r="392" spans="1:4" x14ac:dyDescent="0.2">
      <c r="A392" s="7" t="s">
        <v>1010</v>
      </c>
      <c r="B392" s="8" t="s">
        <v>957</v>
      </c>
      <c r="C392" s="5">
        <v>25</v>
      </c>
      <c r="D392" s="5" t="s">
        <v>949</v>
      </c>
    </row>
    <row r="393" spans="1:4" x14ac:dyDescent="0.2">
      <c r="A393" s="7" t="s">
        <v>1011</v>
      </c>
      <c r="B393" s="8" t="s">
        <v>957</v>
      </c>
      <c r="C393" s="5">
        <v>25</v>
      </c>
      <c r="D393" s="5" t="s">
        <v>949</v>
      </c>
    </row>
    <row r="394" spans="1:4" x14ac:dyDescent="0.2">
      <c r="A394" s="7" t="s">
        <v>1012</v>
      </c>
      <c r="B394" s="8" t="s">
        <v>957</v>
      </c>
      <c r="C394" s="5">
        <v>25</v>
      </c>
      <c r="D394" s="5" t="s">
        <v>949</v>
      </c>
    </row>
    <row r="395" spans="1:4" x14ac:dyDescent="0.2">
      <c r="A395" s="7" t="s">
        <v>1013</v>
      </c>
      <c r="B395" s="8" t="s">
        <v>957</v>
      </c>
      <c r="C395" s="5">
        <v>25</v>
      </c>
      <c r="D395" s="5" t="s">
        <v>949</v>
      </c>
    </row>
    <row r="396" spans="1:4" x14ac:dyDescent="0.2">
      <c r="A396" s="7" t="s">
        <v>1014</v>
      </c>
      <c r="B396" s="8" t="s">
        <v>957</v>
      </c>
      <c r="C396" s="5">
        <v>25</v>
      </c>
      <c r="D396" s="5" t="s">
        <v>949</v>
      </c>
    </row>
    <row r="397" spans="1:4" x14ac:dyDescent="0.2">
      <c r="A397" s="7" t="s">
        <v>1015</v>
      </c>
      <c r="B397" s="8" t="s">
        <v>957</v>
      </c>
      <c r="C397" s="5">
        <v>25</v>
      </c>
      <c r="D397" s="5" t="s">
        <v>949</v>
      </c>
    </row>
    <row r="398" spans="1:4" x14ac:dyDescent="0.2">
      <c r="A398" s="7" t="s">
        <v>1016</v>
      </c>
      <c r="B398" s="8" t="s">
        <v>957</v>
      </c>
      <c r="C398" s="5">
        <v>25</v>
      </c>
      <c r="D398" s="5" t="s">
        <v>949</v>
      </c>
    </row>
    <row r="399" spans="1:4" x14ac:dyDescent="0.2">
      <c r="A399" s="7" t="s">
        <v>1017</v>
      </c>
      <c r="B399" s="8" t="s">
        <v>957</v>
      </c>
      <c r="C399" s="5">
        <v>25</v>
      </c>
      <c r="D399" s="5" t="s">
        <v>949</v>
      </c>
    </row>
    <row r="400" spans="1:4" x14ac:dyDescent="0.2">
      <c r="A400" s="7" t="s">
        <v>1018</v>
      </c>
      <c r="B400" s="8" t="s">
        <v>957</v>
      </c>
      <c r="C400" s="5">
        <v>25</v>
      </c>
      <c r="D400" s="5" t="s">
        <v>949</v>
      </c>
    </row>
    <row r="401" spans="1:4" x14ac:dyDescent="0.2">
      <c r="A401" s="7" t="s">
        <v>1019</v>
      </c>
      <c r="B401" s="8" t="s">
        <v>957</v>
      </c>
      <c r="C401" s="5">
        <v>25</v>
      </c>
      <c r="D401" s="5" t="s">
        <v>949</v>
      </c>
    </row>
    <row r="402" spans="1:4" x14ac:dyDescent="0.2">
      <c r="A402" s="7" t="s">
        <v>326</v>
      </c>
      <c r="B402" s="8" t="s">
        <v>948</v>
      </c>
      <c r="C402" s="5">
        <v>25</v>
      </c>
      <c r="D402" s="5" t="s">
        <v>949</v>
      </c>
    </row>
    <row r="403" spans="1:4" x14ac:dyDescent="0.2">
      <c r="A403" s="7" t="s">
        <v>1020</v>
      </c>
      <c r="B403" s="8" t="s">
        <v>948</v>
      </c>
      <c r="C403" s="5">
        <v>25</v>
      </c>
      <c r="D403" s="5" t="s">
        <v>949</v>
      </c>
    </row>
    <row r="404" spans="1:4" x14ac:dyDescent="0.2">
      <c r="A404" s="7" t="s">
        <v>1021</v>
      </c>
      <c r="B404" s="8" t="s">
        <v>948</v>
      </c>
      <c r="C404" s="5">
        <v>25</v>
      </c>
      <c r="D404" s="5" t="s">
        <v>949</v>
      </c>
    </row>
    <row r="405" spans="1:4" x14ac:dyDescent="0.2">
      <c r="A405" s="7" t="s">
        <v>1022</v>
      </c>
      <c r="B405" s="8" t="s">
        <v>948</v>
      </c>
      <c r="C405" s="5">
        <v>25</v>
      </c>
      <c r="D405" s="5" t="s">
        <v>949</v>
      </c>
    </row>
    <row r="406" spans="1:4" x14ac:dyDescent="0.2">
      <c r="A406" s="7" t="s">
        <v>1023</v>
      </c>
      <c r="B406" s="8" t="s">
        <v>948</v>
      </c>
      <c r="C406" s="5">
        <v>25</v>
      </c>
      <c r="D406" s="5" t="s">
        <v>949</v>
      </c>
    </row>
    <row r="407" spans="1:4" x14ac:dyDescent="0.2">
      <c r="A407" s="7" t="s">
        <v>1024</v>
      </c>
      <c r="B407" s="8" t="s">
        <v>948</v>
      </c>
      <c r="C407" s="5">
        <v>25</v>
      </c>
      <c r="D407" s="5" t="s">
        <v>949</v>
      </c>
    </row>
    <row r="408" spans="1:4" x14ac:dyDescent="0.2">
      <c r="A408" s="7" t="s">
        <v>1025</v>
      </c>
      <c r="B408" s="8" t="s">
        <v>948</v>
      </c>
      <c r="C408" s="5">
        <v>25</v>
      </c>
      <c r="D408" s="5" t="s">
        <v>949</v>
      </c>
    </row>
    <row r="409" spans="1:4" x14ac:dyDescent="0.2">
      <c r="A409" s="7" t="s">
        <v>1026</v>
      </c>
      <c r="B409" s="8" t="s">
        <v>948</v>
      </c>
      <c r="C409" s="5">
        <v>25</v>
      </c>
      <c r="D409" s="5" t="s">
        <v>949</v>
      </c>
    </row>
    <row r="410" spans="1:4" x14ac:dyDescent="0.2">
      <c r="A410" s="7" t="s">
        <v>1027</v>
      </c>
      <c r="B410" s="8" t="s">
        <v>948</v>
      </c>
      <c r="C410" s="5">
        <v>25</v>
      </c>
      <c r="D410" s="5" t="s">
        <v>949</v>
      </c>
    </row>
    <row r="411" spans="1:4" x14ac:dyDescent="0.2">
      <c r="A411" s="7" t="s">
        <v>1028</v>
      </c>
      <c r="B411" s="8" t="s">
        <v>948</v>
      </c>
      <c r="C411" s="5">
        <v>25</v>
      </c>
      <c r="D411" s="5" t="s">
        <v>949</v>
      </c>
    </row>
    <row r="412" spans="1:4" x14ac:dyDescent="0.2">
      <c r="A412" s="7" t="s">
        <v>1029</v>
      </c>
      <c r="B412" s="8" t="s">
        <v>948</v>
      </c>
      <c r="C412" s="5">
        <v>25</v>
      </c>
      <c r="D412" s="5" t="s">
        <v>949</v>
      </c>
    </row>
    <row r="413" spans="1:4" x14ac:dyDescent="0.2">
      <c r="A413" s="7" t="s">
        <v>1030</v>
      </c>
      <c r="B413" s="8" t="s">
        <v>948</v>
      </c>
      <c r="C413" s="5">
        <v>25</v>
      </c>
      <c r="D413" s="5" t="s">
        <v>949</v>
      </c>
    </row>
    <row r="414" spans="1:4" x14ac:dyDescent="0.2">
      <c r="A414" s="7" t="s">
        <v>1031</v>
      </c>
      <c r="B414" s="8" t="s">
        <v>948</v>
      </c>
      <c r="C414" s="5">
        <v>25</v>
      </c>
      <c r="D414" s="5" t="s">
        <v>949</v>
      </c>
    </row>
    <row r="415" spans="1:4" x14ac:dyDescent="0.2">
      <c r="A415" s="7" t="s">
        <v>1032</v>
      </c>
      <c r="B415" s="8" t="s">
        <v>948</v>
      </c>
      <c r="C415" s="5">
        <v>25</v>
      </c>
      <c r="D415" s="5" t="s">
        <v>949</v>
      </c>
    </row>
    <row r="416" spans="1:4" x14ac:dyDescent="0.2">
      <c r="A416" s="7" t="s">
        <v>1033</v>
      </c>
      <c r="B416" s="8" t="s">
        <v>948</v>
      </c>
      <c r="C416" s="5">
        <v>25</v>
      </c>
      <c r="D416" s="5" t="s">
        <v>949</v>
      </c>
    </row>
    <row r="417" spans="1:4" x14ac:dyDescent="0.2">
      <c r="A417" s="7" t="s">
        <v>1034</v>
      </c>
      <c r="B417" s="8" t="s">
        <v>948</v>
      </c>
      <c r="C417" s="5">
        <v>25</v>
      </c>
      <c r="D417" s="5" t="s">
        <v>949</v>
      </c>
    </row>
    <row r="418" spans="1:4" x14ac:dyDescent="0.2">
      <c r="A418" s="7" t="s">
        <v>1034</v>
      </c>
      <c r="B418" s="8" t="s">
        <v>948</v>
      </c>
      <c r="C418" s="5">
        <v>25</v>
      </c>
      <c r="D418" s="5" t="s">
        <v>949</v>
      </c>
    </row>
    <row r="419" spans="1:4" x14ac:dyDescent="0.2">
      <c r="A419" s="7" t="s">
        <v>1035</v>
      </c>
      <c r="B419" s="8" t="s">
        <v>948</v>
      </c>
      <c r="C419" s="5">
        <v>25</v>
      </c>
      <c r="D419" s="5" t="s">
        <v>949</v>
      </c>
    </row>
    <row r="420" spans="1:4" x14ac:dyDescent="0.2">
      <c r="A420" s="7" t="s">
        <v>1036</v>
      </c>
      <c r="B420" s="8" t="s">
        <v>948</v>
      </c>
      <c r="C420" s="5">
        <v>25</v>
      </c>
      <c r="D420" s="5" t="s">
        <v>949</v>
      </c>
    </row>
    <row r="421" spans="1:4" x14ac:dyDescent="0.2">
      <c r="A421" s="7" t="s">
        <v>1037</v>
      </c>
      <c r="B421" s="8" t="s">
        <v>948</v>
      </c>
      <c r="C421" s="5">
        <v>25</v>
      </c>
      <c r="D421" s="5" t="s">
        <v>949</v>
      </c>
    </row>
    <row r="422" spans="1:4" x14ac:dyDescent="0.2">
      <c r="A422" s="7" t="s">
        <v>1038</v>
      </c>
      <c r="B422" s="8" t="s">
        <v>948</v>
      </c>
      <c r="C422" s="5">
        <v>25</v>
      </c>
      <c r="D422" s="5" t="s">
        <v>949</v>
      </c>
    </row>
    <row r="423" spans="1:4" x14ac:dyDescent="0.2">
      <c r="A423" s="7" t="s">
        <v>1039</v>
      </c>
      <c r="B423" s="8" t="s">
        <v>948</v>
      </c>
      <c r="C423" s="5">
        <v>25</v>
      </c>
      <c r="D423" s="5" t="s">
        <v>949</v>
      </c>
    </row>
    <row r="424" spans="1:4" x14ac:dyDescent="0.2">
      <c r="A424" s="7" t="s">
        <v>1040</v>
      </c>
      <c r="B424" s="8" t="s">
        <v>948</v>
      </c>
      <c r="C424" s="5">
        <v>25</v>
      </c>
      <c r="D424" s="5" t="s">
        <v>949</v>
      </c>
    </row>
    <row r="425" spans="1:4" x14ac:dyDescent="0.2">
      <c r="A425" s="7" t="s">
        <v>1041</v>
      </c>
      <c r="B425" s="8" t="s">
        <v>948</v>
      </c>
      <c r="C425" s="5">
        <v>25</v>
      </c>
      <c r="D425" s="5" t="s">
        <v>949</v>
      </c>
    </row>
    <row r="426" spans="1:4" x14ac:dyDescent="0.2">
      <c r="A426" s="7" t="s">
        <v>1042</v>
      </c>
      <c r="B426" s="8" t="s">
        <v>948</v>
      </c>
      <c r="C426" s="5">
        <v>25</v>
      </c>
      <c r="D426" s="5" t="s">
        <v>949</v>
      </c>
    </row>
    <row r="427" spans="1:4" x14ac:dyDescent="0.2">
      <c r="A427" s="7" t="s">
        <v>1043</v>
      </c>
      <c r="B427" s="8" t="s">
        <v>948</v>
      </c>
      <c r="C427" s="5">
        <v>25</v>
      </c>
      <c r="D427" s="5" t="s">
        <v>949</v>
      </c>
    </row>
    <row r="428" spans="1:4" x14ac:dyDescent="0.2">
      <c r="A428" s="7" t="s">
        <v>1044</v>
      </c>
      <c r="B428" s="8" t="s">
        <v>948</v>
      </c>
      <c r="C428" s="5">
        <v>25</v>
      </c>
      <c r="D428" s="5" t="s">
        <v>949</v>
      </c>
    </row>
    <row r="429" spans="1:4" x14ac:dyDescent="0.2">
      <c r="A429" s="7" t="s">
        <v>355</v>
      </c>
      <c r="B429" s="8" t="s">
        <v>948</v>
      </c>
      <c r="C429" s="5">
        <v>25</v>
      </c>
      <c r="D429" s="5" t="s">
        <v>949</v>
      </c>
    </row>
    <row r="430" spans="1:4" x14ac:dyDescent="0.2">
      <c r="A430" s="7" t="s">
        <v>1045</v>
      </c>
      <c r="B430" s="8" t="s">
        <v>948</v>
      </c>
      <c r="C430" s="5">
        <v>25</v>
      </c>
      <c r="D430" s="5" t="s">
        <v>949</v>
      </c>
    </row>
    <row r="431" spans="1:4" x14ac:dyDescent="0.2">
      <c r="A431" s="7" t="s">
        <v>1046</v>
      </c>
      <c r="B431" s="8" t="s">
        <v>948</v>
      </c>
      <c r="C431" s="5">
        <v>25</v>
      </c>
      <c r="D431" s="5" t="s">
        <v>949</v>
      </c>
    </row>
    <row r="432" spans="1:4" x14ac:dyDescent="0.2">
      <c r="A432" s="7" t="s">
        <v>1047</v>
      </c>
      <c r="B432" s="8" t="s">
        <v>948</v>
      </c>
      <c r="C432" s="5">
        <v>25</v>
      </c>
      <c r="D432" s="5" t="s">
        <v>949</v>
      </c>
    </row>
    <row r="433" spans="1:4" x14ac:dyDescent="0.2">
      <c r="A433" s="7" t="s">
        <v>1048</v>
      </c>
      <c r="B433" s="8" t="s">
        <v>948</v>
      </c>
      <c r="C433" s="5">
        <v>25</v>
      </c>
      <c r="D433" s="5" t="s">
        <v>949</v>
      </c>
    </row>
    <row r="434" spans="1:4" x14ac:dyDescent="0.2">
      <c r="A434" s="7" t="s">
        <v>1049</v>
      </c>
      <c r="B434" s="8" t="s">
        <v>948</v>
      </c>
      <c r="C434" s="5">
        <v>25</v>
      </c>
      <c r="D434" s="5" t="s">
        <v>949</v>
      </c>
    </row>
    <row r="435" spans="1:4" x14ac:dyDescent="0.2">
      <c r="A435" s="7" t="s">
        <v>1050</v>
      </c>
      <c r="B435" s="8" t="s">
        <v>948</v>
      </c>
      <c r="C435" s="5">
        <v>25</v>
      </c>
      <c r="D435" s="5" t="s">
        <v>949</v>
      </c>
    </row>
    <row r="436" spans="1:4" x14ac:dyDescent="0.2">
      <c r="A436" s="7" t="s">
        <v>1051</v>
      </c>
      <c r="B436" s="8" t="s">
        <v>948</v>
      </c>
      <c r="C436" s="5">
        <v>25</v>
      </c>
      <c r="D436" s="5" t="s">
        <v>949</v>
      </c>
    </row>
    <row r="437" spans="1:4" x14ac:dyDescent="0.2">
      <c r="A437" s="7" t="s">
        <v>1052</v>
      </c>
      <c r="B437" s="8" t="s">
        <v>948</v>
      </c>
      <c r="C437" s="5">
        <v>25</v>
      </c>
      <c r="D437" s="5" t="s">
        <v>949</v>
      </c>
    </row>
    <row r="438" spans="1:4" x14ac:dyDescent="0.2">
      <c r="A438" s="7" t="s">
        <v>1053</v>
      </c>
      <c r="B438" s="8" t="s">
        <v>948</v>
      </c>
      <c r="C438" s="5">
        <v>25</v>
      </c>
      <c r="D438" s="5" t="s">
        <v>949</v>
      </c>
    </row>
    <row r="439" spans="1:4" x14ac:dyDescent="0.2">
      <c r="A439" s="7" t="s">
        <v>1053</v>
      </c>
      <c r="B439" s="8" t="s">
        <v>948</v>
      </c>
      <c r="C439" s="5">
        <v>25</v>
      </c>
      <c r="D439" s="5" t="s">
        <v>949</v>
      </c>
    </row>
    <row r="440" spans="1:4" x14ac:dyDescent="0.2">
      <c r="A440" s="7" t="s">
        <v>1054</v>
      </c>
      <c r="B440" s="8" t="s">
        <v>948</v>
      </c>
      <c r="C440" s="5">
        <v>25</v>
      </c>
      <c r="D440" s="5" t="s">
        <v>949</v>
      </c>
    </row>
    <row r="441" spans="1:4" x14ac:dyDescent="0.2">
      <c r="A441" s="7" t="s">
        <v>1055</v>
      </c>
      <c r="B441" s="8" t="s">
        <v>948</v>
      </c>
      <c r="C441" s="5">
        <v>25</v>
      </c>
      <c r="D441" s="5" t="s">
        <v>949</v>
      </c>
    </row>
    <row r="442" spans="1:4" x14ac:dyDescent="0.2">
      <c r="A442" s="7" t="s">
        <v>1056</v>
      </c>
      <c r="B442" s="8" t="s">
        <v>948</v>
      </c>
      <c r="C442" s="5">
        <v>25</v>
      </c>
      <c r="D442" s="5" t="s">
        <v>949</v>
      </c>
    </row>
    <row r="443" spans="1:4" x14ac:dyDescent="0.2">
      <c r="A443" s="7" t="s">
        <v>1057</v>
      </c>
      <c r="B443" s="8" t="s">
        <v>948</v>
      </c>
      <c r="C443" s="5">
        <v>25</v>
      </c>
      <c r="D443" s="5" t="s">
        <v>949</v>
      </c>
    </row>
    <row r="444" spans="1:4" x14ac:dyDescent="0.2">
      <c r="A444" s="7" t="s">
        <v>1058</v>
      </c>
      <c r="B444" s="8" t="s">
        <v>948</v>
      </c>
      <c r="C444" s="5">
        <v>25</v>
      </c>
      <c r="D444" s="5" t="s">
        <v>949</v>
      </c>
    </row>
    <row r="445" spans="1:4" x14ac:dyDescent="0.2">
      <c r="A445" s="7" t="s">
        <v>1059</v>
      </c>
      <c r="B445" s="8" t="s">
        <v>948</v>
      </c>
      <c r="C445" s="5">
        <v>25</v>
      </c>
      <c r="D445" s="5" t="s">
        <v>949</v>
      </c>
    </row>
    <row r="446" spans="1:4" x14ac:dyDescent="0.2">
      <c r="A446" s="7" t="s">
        <v>1060</v>
      </c>
      <c r="B446" s="8" t="s">
        <v>948</v>
      </c>
      <c r="C446" s="5">
        <v>25</v>
      </c>
      <c r="D446" s="5" t="s">
        <v>949</v>
      </c>
    </row>
    <row r="447" spans="1:4" x14ac:dyDescent="0.2">
      <c r="A447" s="7" t="s">
        <v>1061</v>
      </c>
      <c r="B447" s="8" t="s">
        <v>948</v>
      </c>
      <c r="C447" s="5">
        <v>25</v>
      </c>
      <c r="D447" s="5" t="s">
        <v>949</v>
      </c>
    </row>
    <row r="448" spans="1:4" x14ac:dyDescent="0.2">
      <c r="A448" s="7" t="s">
        <v>1062</v>
      </c>
      <c r="B448" s="8" t="s">
        <v>948</v>
      </c>
      <c r="C448" s="5">
        <v>25</v>
      </c>
      <c r="D448" s="5" t="s">
        <v>949</v>
      </c>
    </row>
    <row r="449" spans="1:4" x14ac:dyDescent="0.2">
      <c r="A449" s="7" t="s">
        <v>1063</v>
      </c>
      <c r="B449" s="8" t="s">
        <v>948</v>
      </c>
      <c r="C449" s="5">
        <v>25</v>
      </c>
      <c r="D449" s="5" t="s">
        <v>949</v>
      </c>
    </row>
    <row r="450" spans="1:4" x14ac:dyDescent="0.2">
      <c r="A450" s="7" t="s">
        <v>1064</v>
      </c>
      <c r="B450" s="8" t="s">
        <v>948</v>
      </c>
      <c r="C450" s="5">
        <v>25</v>
      </c>
      <c r="D450" s="5" t="s">
        <v>949</v>
      </c>
    </row>
    <row r="451" spans="1:4" x14ac:dyDescent="0.2">
      <c r="A451" s="7" t="s">
        <v>1065</v>
      </c>
      <c r="B451" s="8" t="s">
        <v>948</v>
      </c>
      <c r="C451" s="5">
        <v>25</v>
      </c>
      <c r="D451" s="5" t="s">
        <v>949</v>
      </c>
    </row>
    <row r="452" spans="1:4" x14ac:dyDescent="0.2">
      <c r="A452" s="7" t="s">
        <v>1066</v>
      </c>
      <c r="B452" s="8" t="s">
        <v>948</v>
      </c>
      <c r="C452" s="5">
        <v>25</v>
      </c>
      <c r="D452" s="5" t="s">
        <v>949</v>
      </c>
    </row>
    <row r="453" spans="1:4" x14ac:dyDescent="0.2">
      <c r="A453" s="7" t="s">
        <v>1067</v>
      </c>
      <c r="B453" s="8" t="s">
        <v>948</v>
      </c>
      <c r="C453" s="5">
        <v>25</v>
      </c>
      <c r="D453" s="5" t="s">
        <v>949</v>
      </c>
    </row>
    <row r="454" spans="1:4" x14ac:dyDescent="0.2">
      <c r="A454" s="7" t="s">
        <v>1068</v>
      </c>
      <c r="B454" s="8" t="s">
        <v>948</v>
      </c>
      <c r="C454" s="5">
        <v>25</v>
      </c>
      <c r="D454" s="5" t="s">
        <v>949</v>
      </c>
    </row>
    <row r="455" spans="1:4" x14ac:dyDescent="0.2">
      <c r="A455" s="7" t="s">
        <v>1069</v>
      </c>
      <c r="B455" s="8" t="s">
        <v>948</v>
      </c>
      <c r="C455" s="5">
        <v>25</v>
      </c>
      <c r="D455" s="5" t="s">
        <v>949</v>
      </c>
    </row>
    <row r="456" spans="1:4" x14ac:dyDescent="0.2">
      <c r="A456" s="7" t="s">
        <v>1070</v>
      </c>
      <c r="B456" s="8" t="s">
        <v>948</v>
      </c>
      <c r="C456" s="5">
        <v>25</v>
      </c>
      <c r="D456" s="5" t="s">
        <v>949</v>
      </c>
    </row>
    <row r="457" spans="1:4" x14ac:dyDescent="0.2">
      <c r="A457" s="7">
        <v>64753</v>
      </c>
      <c r="B457" s="8" t="s">
        <v>948</v>
      </c>
      <c r="C457" s="5">
        <v>25</v>
      </c>
      <c r="D457" s="5" t="s">
        <v>949</v>
      </c>
    </row>
    <row r="458" spans="1:4" x14ac:dyDescent="0.2">
      <c r="A458" s="7" t="s">
        <v>550</v>
      </c>
      <c r="B458" s="8" t="s">
        <v>948</v>
      </c>
      <c r="C458" s="5">
        <v>25</v>
      </c>
      <c r="D458" s="5" t="s">
        <v>949</v>
      </c>
    </row>
    <row r="459" spans="1:4" x14ac:dyDescent="0.2">
      <c r="A459" s="7" t="s">
        <v>1071</v>
      </c>
      <c r="B459" s="8" t="s">
        <v>948</v>
      </c>
      <c r="C459" s="5">
        <v>25</v>
      </c>
      <c r="D459" s="5" t="s">
        <v>949</v>
      </c>
    </row>
    <row r="460" spans="1:4" x14ac:dyDescent="0.2">
      <c r="A460" s="7">
        <v>64752</v>
      </c>
      <c r="B460" s="8" t="s">
        <v>957</v>
      </c>
      <c r="C460" s="5">
        <v>25</v>
      </c>
      <c r="D460" s="5" t="s">
        <v>949</v>
      </c>
    </row>
    <row r="461" spans="1:4" x14ac:dyDescent="0.2">
      <c r="A461" s="7" t="s">
        <v>1072</v>
      </c>
      <c r="B461" s="8" t="s">
        <v>957</v>
      </c>
      <c r="C461" s="5">
        <v>25</v>
      </c>
      <c r="D461" s="5" t="s">
        <v>949</v>
      </c>
    </row>
    <row r="462" spans="1:4" x14ac:dyDescent="0.2">
      <c r="A462" s="7" t="s">
        <v>1073</v>
      </c>
      <c r="B462" s="8" t="s">
        <v>957</v>
      </c>
      <c r="C462" s="5">
        <v>25</v>
      </c>
      <c r="D462" s="5" t="s">
        <v>949</v>
      </c>
    </row>
    <row r="463" spans="1:4" x14ac:dyDescent="0.2">
      <c r="A463" s="7" t="s">
        <v>1074</v>
      </c>
      <c r="B463" s="8" t="s">
        <v>957</v>
      </c>
      <c r="C463" s="5">
        <v>25</v>
      </c>
      <c r="D463" s="5" t="s">
        <v>949</v>
      </c>
    </row>
    <row r="464" spans="1:4" x14ac:dyDescent="0.2">
      <c r="A464" s="7" t="s">
        <v>1075</v>
      </c>
      <c r="B464" s="8" t="s">
        <v>957</v>
      </c>
      <c r="C464" s="5">
        <v>25</v>
      </c>
      <c r="D464" s="5" t="s">
        <v>949</v>
      </c>
    </row>
    <row r="465" spans="1:4" x14ac:dyDescent="0.2">
      <c r="A465" s="7" t="s">
        <v>369</v>
      </c>
      <c r="B465" s="8" t="s">
        <v>1076</v>
      </c>
      <c r="C465" s="5">
        <v>25</v>
      </c>
      <c r="D465" s="5" t="s">
        <v>949</v>
      </c>
    </row>
    <row r="466" spans="1:4" x14ac:dyDescent="0.2">
      <c r="A466" s="7" t="s">
        <v>1077</v>
      </c>
      <c r="B466" s="8" t="s">
        <v>1076</v>
      </c>
      <c r="C466" s="5">
        <v>25</v>
      </c>
      <c r="D466" s="5" t="s">
        <v>949</v>
      </c>
    </row>
    <row r="467" spans="1:4" x14ac:dyDescent="0.2">
      <c r="A467" s="7" t="s">
        <v>1078</v>
      </c>
      <c r="B467" s="8" t="s">
        <v>1076</v>
      </c>
      <c r="C467" s="5">
        <v>25</v>
      </c>
      <c r="D467" s="5" t="s">
        <v>949</v>
      </c>
    </row>
    <row r="468" spans="1:4" x14ac:dyDescent="0.2">
      <c r="A468" s="7" t="s">
        <v>1079</v>
      </c>
      <c r="B468" s="8" t="s">
        <v>1076</v>
      </c>
      <c r="C468" s="5">
        <v>25</v>
      </c>
      <c r="D468" s="5" t="s">
        <v>949</v>
      </c>
    </row>
    <row r="469" spans="1:4" x14ac:dyDescent="0.2">
      <c r="A469" s="7" t="s">
        <v>1080</v>
      </c>
      <c r="B469" s="8" t="s">
        <v>1076</v>
      </c>
      <c r="C469" s="5">
        <v>25</v>
      </c>
      <c r="D469" s="5" t="s">
        <v>949</v>
      </c>
    </row>
    <row r="470" spans="1:4" x14ac:dyDescent="0.2">
      <c r="A470" s="7" t="s">
        <v>1081</v>
      </c>
      <c r="B470" s="8" t="s">
        <v>1076</v>
      </c>
      <c r="C470" s="5">
        <v>25</v>
      </c>
      <c r="D470" s="5" t="s">
        <v>949</v>
      </c>
    </row>
    <row r="471" spans="1:4" x14ac:dyDescent="0.2">
      <c r="A471" s="7" t="s">
        <v>1082</v>
      </c>
      <c r="B471" s="8" t="s">
        <v>1076</v>
      </c>
      <c r="C471" s="5">
        <v>25</v>
      </c>
      <c r="D471" s="5" t="s">
        <v>949</v>
      </c>
    </row>
    <row r="472" spans="1:4" x14ac:dyDescent="0.2">
      <c r="A472" s="7" t="s">
        <v>1083</v>
      </c>
      <c r="B472" s="8" t="s">
        <v>1076</v>
      </c>
      <c r="C472" s="5">
        <v>25</v>
      </c>
      <c r="D472" s="5" t="s">
        <v>949</v>
      </c>
    </row>
    <row r="473" spans="1:4" x14ac:dyDescent="0.2">
      <c r="A473" s="7" t="s">
        <v>360</v>
      </c>
      <c r="B473" s="8" t="s">
        <v>1076</v>
      </c>
      <c r="C473" s="5">
        <v>25</v>
      </c>
      <c r="D473" s="5" t="s">
        <v>949</v>
      </c>
    </row>
    <row r="474" spans="1:4" x14ac:dyDescent="0.2">
      <c r="A474" s="7" t="s">
        <v>1084</v>
      </c>
      <c r="B474" s="8" t="s">
        <v>1076</v>
      </c>
      <c r="C474" s="5">
        <v>25</v>
      </c>
      <c r="D474" s="5" t="s">
        <v>949</v>
      </c>
    </row>
    <row r="475" spans="1:4" x14ac:dyDescent="0.2">
      <c r="A475" s="7" t="s">
        <v>1085</v>
      </c>
      <c r="B475" s="8" t="s">
        <v>1076</v>
      </c>
      <c r="C475" s="5">
        <v>25</v>
      </c>
      <c r="D475" s="5" t="s">
        <v>949</v>
      </c>
    </row>
    <row r="476" spans="1:4" x14ac:dyDescent="0.2">
      <c r="A476" s="7" t="s">
        <v>1086</v>
      </c>
      <c r="B476" s="8" t="s">
        <v>1076</v>
      </c>
      <c r="C476" s="5">
        <v>25</v>
      </c>
      <c r="D476" s="5" t="s">
        <v>949</v>
      </c>
    </row>
    <row r="477" spans="1:4" x14ac:dyDescent="0.2">
      <c r="A477" s="7" t="s">
        <v>1087</v>
      </c>
      <c r="B477" s="8" t="s">
        <v>1076</v>
      </c>
      <c r="C477" s="5">
        <v>25</v>
      </c>
      <c r="D477" s="5" t="s">
        <v>949</v>
      </c>
    </row>
    <row r="478" spans="1:4" x14ac:dyDescent="0.2">
      <c r="A478" s="7" t="s">
        <v>1088</v>
      </c>
      <c r="B478" s="8" t="s">
        <v>1076</v>
      </c>
      <c r="C478" s="5">
        <v>25</v>
      </c>
      <c r="D478" s="5" t="s">
        <v>949</v>
      </c>
    </row>
    <row r="479" spans="1:4" x14ac:dyDescent="0.2">
      <c r="A479" s="7" t="s">
        <v>1089</v>
      </c>
      <c r="B479" s="8" t="s">
        <v>1076</v>
      </c>
      <c r="C479" s="5">
        <v>25</v>
      </c>
      <c r="D479" s="5" t="s">
        <v>949</v>
      </c>
    </row>
    <row r="480" spans="1:4" x14ac:dyDescent="0.2">
      <c r="A480" s="7" t="s">
        <v>1090</v>
      </c>
      <c r="B480" s="8" t="s">
        <v>1076</v>
      </c>
      <c r="C480" s="5">
        <v>25</v>
      </c>
      <c r="D480" s="5" t="s">
        <v>949</v>
      </c>
    </row>
    <row r="481" spans="1:4" x14ac:dyDescent="0.2">
      <c r="A481" s="7" t="s">
        <v>1091</v>
      </c>
      <c r="B481" s="8" t="s">
        <v>1076</v>
      </c>
      <c r="C481" s="5">
        <v>25</v>
      </c>
      <c r="D481" s="5" t="s">
        <v>949</v>
      </c>
    </row>
    <row r="482" spans="1:4" x14ac:dyDescent="0.2">
      <c r="A482" s="7" t="s">
        <v>1092</v>
      </c>
      <c r="B482" s="8" t="s">
        <v>1076</v>
      </c>
      <c r="C482" s="5">
        <v>25</v>
      </c>
      <c r="D482" s="5" t="s">
        <v>949</v>
      </c>
    </row>
    <row r="483" spans="1:4" x14ac:dyDescent="0.2">
      <c r="A483" s="7">
        <v>1238</v>
      </c>
      <c r="B483" s="8" t="s">
        <v>1076</v>
      </c>
      <c r="C483" s="5">
        <v>25</v>
      </c>
      <c r="D483" s="5" t="s">
        <v>949</v>
      </c>
    </row>
    <row r="484" spans="1:4" x14ac:dyDescent="0.2">
      <c r="A484" s="7" t="s">
        <v>1093</v>
      </c>
      <c r="B484" s="8" t="s">
        <v>1076</v>
      </c>
      <c r="C484" s="5">
        <v>25</v>
      </c>
      <c r="D484" s="5" t="s">
        <v>949</v>
      </c>
    </row>
    <row r="485" spans="1:4" x14ac:dyDescent="0.2">
      <c r="A485" s="7" t="s">
        <v>1094</v>
      </c>
      <c r="B485" s="8" t="s">
        <v>1076</v>
      </c>
      <c r="C485" s="5">
        <v>25</v>
      </c>
      <c r="D485" s="5" t="s">
        <v>949</v>
      </c>
    </row>
    <row r="486" spans="1:4" x14ac:dyDescent="0.2">
      <c r="A486" s="7" t="s">
        <v>1095</v>
      </c>
      <c r="B486" s="8" t="s">
        <v>1076</v>
      </c>
      <c r="C486" s="5">
        <v>25</v>
      </c>
      <c r="D486" s="5" t="s">
        <v>949</v>
      </c>
    </row>
    <row r="487" spans="1:4" x14ac:dyDescent="0.2">
      <c r="A487" s="7" t="s">
        <v>1096</v>
      </c>
      <c r="B487" s="8" t="s">
        <v>1076</v>
      </c>
      <c r="C487" s="5">
        <v>25</v>
      </c>
      <c r="D487" s="5" t="s">
        <v>949</v>
      </c>
    </row>
    <row r="488" spans="1:4" x14ac:dyDescent="0.2">
      <c r="A488" s="7" t="s">
        <v>1097</v>
      </c>
      <c r="B488" s="8" t="s">
        <v>1076</v>
      </c>
      <c r="C488" s="5">
        <v>25</v>
      </c>
      <c r="D488" s="5" t="s">
        <v>949</v>
      </c>
    </row>
    <row r="489" spans="1:4" x14ac:dyDescent="0.2">
      <c r="A489" s="7" t="s">
        <v>1098</v>
      </c>
      <c r="B489" s="8" t="s">
        <v>1076</v>
      </c>
      <c r="C489" s="5">
        <v>25</v>
      </c>
      <c r="D489" s="5" t="s">
        <v>949</v>
      </c>
    </row>
    <row r="490" spans="1:4" x14ac:dyDescent="0.2">
      <c r="A490" s="7" t="s">
        <v>1099</v>
      </c>
      <c r="B490" s="8" t="s">
        <v>1076</v>
      </c>
      <c r="C490" s="5">
        <v>25</v>
      </c>
      <c r="D490" s="5" t="s">
        <v>949</v>
      </c>
    </row>
    <row r="491" spans="1:4" x14ac:dyDescent="0.2">
      <c r="A491" s="7" t="s">
        <v>1100</v>
      </c>
      <c r="B491" s="8" t="s">
        <v>1076</v>
      </c>
      <c r="C491" s="5">
        <v>25</v>
      </c>
      <c r="D491" s="5" t="s">
        <v>949</v>
      </c>
    </row>
    <row r="492" spans="1:4" x14ac:dyDescent="0.2">
      <c r="A492" s="7" t="s">
        <v>1101</v>
      </c>
      <c r="B492" s="8" t="s">
        <v>1076</v>
      </c>
      <c r="C492" s="5">
        <v>25</v>
      </c>
      <c r="D492" s="5" t="s">
        <v>949</v>
      </c>
    </row>
    <row r="493" spans="1:4" x14ac:dyDescent="0.2">
      <c r="A493" s="7" t="s">
        <v>1102</v>
      </c>
      <c r="B493" s="8" t="s">
        <v>1076</v>
      </c>
      <c r="C493" s="5">
        <v>25</v>
      </c>
      <c r="D493" s="5" t="s">
        <v>949</v>
      </c>
    </row>
    <row r="494" spans="1:4" x14ac:dyDescent="0.2">
      <c r="A494" s="7" t="s">
        <v>1103</v>
      </c>
      <c r="B494" s="8" t="s">
        <v>1076</v>
      </c>
      <c r="C494" s="5">
        <v>25</v>
      </c>
      <c r="D494" s="5" t="s">
        <v>949</v>
      </c>
    </row>
    <row r="495" spans="1:4" x14ac:dyDescent="0.2">
      <c r="A495" s="7" t="s">
        <v>1104</v>
      </c>
      <c r="B495" s="8" t="s">
        <v>1076</v>
      </c>
      <c r="C495" s="5">
        <v>25</v>
      </c>
      <c r="D495" s="5" t="s">
        <v>949</v>
      </c>
    </row>
    <row r="496" spans="1:4" x14ac:dyDescent="0.2">
      <c r="A496" s="7" t="s">
        <v>1105</v>
      </c>
      <c r="B496" s="8" t="s">
        <v>1076</v>
      </c>
      <c r="C496" s="5">
        <v>25</v>
      </c>
      <c r="D496" s="5" t="s">
        <v>949</v>
      </c>
    </row>
    <row r="497" spans="1:4" x14ac:dyDescent="0.2">
      <c r="A497" s="7" t="s">
        <v>1106</v>
      </c>
      <c r="B497" s="8" t="s">
        <v>1076</v>
      </c>
      <c r="C497" s="5">
        <v>25</v>
      </c>
      <c r="D497" s="5" t="s">
        <v>949</v>
      </c>
    </row>
    <row r="498" spans="1:4" x14ac:dyDescent="0.2">
      <c r="A498" s="7" t="s">
        <v>1107</v>
      </c>
      <c r="B498" s="8" t="s">
        <v>1076</v>
      </c>
      <c r="C498" s="5">
        <v>25</v>
      </c>
      <c r="D498" s="5" t="s">
        <v>949</v>
      </c>
    </row>
    <row r="499" spans="1:4" x14ac:dyDescent="0.2">
      <c r="A499" s="7" t="s">
        <v>1108</v>
      </c>
      <c r="B499" s="8" t="s">
        <v>1076</v>
      </c>
      <c r="C499" s="5">
        <v>25</v>
      </c>
      <c r="D499" s="5" t="s">
        <v>949</v>
      </c>
    </row>
    <row r="500" spans="1:4" x14ac:dyDescent="0.2">
      <c r="A500" s="7" t="s">
        <v>1109</v>
      </c>
      <c r="B500" s="8" t="s">
        <v>1076</v>
      </c>
      <c r="C500" s="5">
        <v>25</v>
      </c>
      <c r="D500" s="5" t="s">
        <v>949</v>
      </c>
    </row>
    <row r="501" spans="1:4" x14ac:dyDescent="0.2">
      <c r="A501" s="7" t="s">
        <v>1110</v>
      </c>
      <c r="B501" s="8" t="s">
        <v>1076</v>
      </c>
      <c r="C501" s="5">
        <v>25</v>
      </c>
      <c r="D501" s="5" t="s">
        <v>949</v>
      </c>
    </row>
    <row r="502" spans="1:4" x14ac:dyDescent="0.2">
      <c r="A502" s="7" t="s">
        <v>1111</v>
      </c>
      <c r="B502" s="8" t="s">
        <v>1076</v>
      </c>
      <c r="C502" s="5">
        <v>25</v>
      </c>
      <c r="D502" s="5" t="s">
        <v>949</v>
      </c>
    </row>
    <row r="503" spans="1:4" x14ac:dyDescent="0.2">
      <c r="A503" s="7" t="s">
        <v>1112</v>
      </c>
      <c r="B503" s="8" t="s">
        <v>1076</v>
      </c>
      <c r="C503" s="5">
        <v>25</v>
      </c>
      <c r="D503" s="5" t="s">
        <v>949</v>
      </c>
    </row>
    <row r="504" spans="1:4" x14ac:dyDescent="0.2">
      <c r="A504" s="7" t="s">
        <v>1113</v>
      </c>
      <c r="B504" s="8" t="s">
        <v>1076</v>
      </c>
      <c r="C504" s="5">
        <v>25</v>
      </c>
      <c r="D504" s="5" t="s">
        <v>949</v>
      </c>
    </row>
    <row r="505" spans="1:4" x14ac:dyDescent="0.2">
      <c r="A505" s="7" t="s">
        <v>1114</v>
      </c>
      <c r="B505" s="8" t="s">
        <v>1076</v>
      </c>
      <c r="C505" s="5">
        <v>25</v>
      </c>
      <c r="D505" s="5" t="s">
        <v>949</v>
      </c>
    </row>
    <row r="506" spans="1:4" x14ac:dyDescent="0.2">
      <c r="A506" s="7" t="s">
        <v>1115</v>
      </c>
      <c r="B506" s="8" t="s">
        <v>1076</v>
      </c>
      <c r="C506" s="5">
        <v>25</v>
      </c>
      <c r="D506" s="5" t="s">
        <v>949</v>
      </c>
    </row>
    <row r="507" spans="1:4" x14ac:dyDescent="0.2">
      <c r="A507" s="7" t="s">
        <v>1116</v>
      </c>
      <c r="B507" s="8" t="s">
        <v>1076</v>
      </c>
      <c r="C507" s="5">
        <v>25</v>
      </c>
      <c r="D507" s="5" t="s">
        <v>949</v>
      </c>
    </row>
    <row r="508" spans="1:4" x14ac:dyDescent="0.2">
      <c r="A508" s="7" t="s">
        <v>1117</v>
      </c>
      <c r="B508" s="8" t="s">
        <v>1076</v>
      </c>
      <c r="C508" s="5">
        <v>25</v>
      </c>
      <c r="D508" s="5" t="s">
        <v>949</v>
      </c>
    </row>
    <row r="509" spans="1:4" x14ac:dyDescent="0.2">
      <c r="A509" s="7" t="s">
        <v>1118</v>
      </c>
      <c r="B509" s="8" t="s">
        <v>1076</v>
      </c>
      <c r="C509" s="5">
        <v>25</v>
      </c>
      <c r="D509" s="5" t="s">
        <v>949</v>
      </c>
    </row>
    <row r="510" spans="1:4" x14ac:dyDescent="0.2">
      <c r="A510" s="7" t="s">
        <v>1119</v>
      </c>
      <c r="B510" s="8" t="s">
        <v>1076</v>
      </c>
      <c r="C510" s="5">
        <v>25</v>
      </c>
      <c r="D510" s="5" t="s">
        <v>949</v>
      </c>
    </row>
    <row r="511" spans="1:4" x14ac:dyDescent="0.2">
      <c r="A511" s="7" t="s">
        <v>1120</v>
      </c>
      <c r="B511" s="8" t="s">
        <v>1076</v>
      </c>
      <c r="C511" s="5">
        <v>25</v>
      </c>
      <c r="D511" s="5" t="s">
        <v>949</v>
      </c>
    </row>
    <row r="512" spans="1:4" x14ac:dyDescent="0.2">
      <c r="A512" s="7" t="s">
        <v>333</v>
      </c>
      <c r="B512" s="8" t="s">
        <v>1076</v>
      </c>
      <c r="C512" s="5">
        <v>25</v>
      </c>
      <c r="D512" s="5" t="s">
        <v>949</v>
      </c>
    </row>
    <row r="513" spans="1:4" x14ac:dyDescent="0.2">
      <c r="A513" s="7" t="s">
        <v>1121</v>
      </c>
      <c r="B513" s="8" t="s">
        <v>1076</v>
      </c>
      <c r="C513" s="5">
        <v>25</v>
      </c>
      <c r="D513" s="5" t="s">
        <v>949</v>
      </c>
    </row>
    <row r="514" spans="1:4" x14ac:dyDescent="0.2">
      <c r="A514" s="7" t="s">
        <v>195</v>
      </c>
      <c r="B514" s="8" t="s">
        <v>1122</v>
      </c>
      <c r="C514" s="5">
        <v>25</v>
      </c>
      <c r="D514" s="5" t="s">
        <v>949</v>
      </c>
    </row>
    <row r="515" spans="1:4" x14ac:dyDescent="0.2">
      <c r="A515" s="7" t="s">
        <v>299</v>
      </c>
      <c r="B515" s="8" t="s">
        <v>1122</v>
      </c>
      <c r="C515" s="5">
        <v>25</v>
      </c>
      <c r="D515" s="5" t="s">
        <v>949</v>
      </c>
    </row>
    <row r="516" spans="1:4" x14ac:dyDescent="0.2">
      <c r="A516" s="7" t="s">
        <v>1123</v>
      </c>
      <c r="B516" s="8" t="s">
        <v>1122</v>
      </c>
      <c r="C516" s="5">
        <v>25</v>
      </c>
      <c r="D516" s="5" t="s">
        <v>949</v>
      </c>
    </row>
    <row r="517" spans="1:4" x14ac:dyDescent="0.2">
      <c r="A517" s="7" t="s">
        <v>284</v>
      </c>
      <c r="B517" s="8" t="s">
        <v>1122</v>
      </c>
      <c r="C517" s="5">
        <v>25</v>
      </c>
      <c r="D517" s="5" t="s">
        <v>949</v>
      </c>
    </row>
    <row r="518" spans="1:4" x14ac:dyDescent="0.2">
      <c r="A518" s="7" t="s">
        <v>262</v>
      </c>
      <c r="B518" s="8" t="s">
        <v>1124</v>
      </c>
      <c r="C518" s="5">
        <v>25</v>
      </c>
      <c r="D518" s="5" t="s">
        <v>949</v>
      </c>
    </row>
    <row r="519" spans="1:4" x14ac:dyDescent="0.2">
      <c r="A519" s="7" t="s">
        <v>1125</v>
      </c>
      <c r="B519" s="8" t="s">
        <v>1124</v>
      </c>
      <c r="C519" s="5">
        <v>25</v>
      </c>
      <c r="D519" s="5" t="s">
        <v>949</v>
      </c>
    </row>
    <row r="520" spans="1:4" x14ac:dyDescent="0.2">
      <c r="A520" s="7" t="s">
        <v>1126</v>
      </c>
      <c r="B520" s="8" t="s">
        <v>1124</v>
      </c>
      <c r="C520" s="5">
        <v>25</v>
      </c>
      <c r="D520" s="5" t="s">
        <v>949</v>
      </c>
    </row>
    <row r="521" spans="1:4" x14ac:dyDescent="0.2">
      <c r="A521" s="7" t="s">
        <v>1127</v>
      </c>
      <c r="B521" s="8" t="s">
        <v>1124</v>
      </c>
      <c r="C521" s="5">
        <v>25</v>
      </c>
      <c r="D521" s="5" t="s">
        <v>949</v>
      </c>
    </row>
    <row r="522" spans="1:4" x14ac:dyDescent="0.2">
      <c r="A522" s="7" t="s">
        <v>1128</v>
      </c>
      <c r="B522" s="8" t="s">
        <v>1124</v>
      </c>
      <c r="C522" s="5">
        <v>25</v>
      </c>
      <c r="D522" s="5" t="s">
        <v>949</v>
      </c>
    </row>
    <row r="523" spans="1:4" x14ac:dyDescent="0.2">
      <c r="A523" s="7" t="s">
        <v>1129</v>
      </c>
      <c r="B523" s="8" t="s">
        <v>1124</v>
      </c>
      <c r="C523" s="5">
        <v>25</v>
      </c>
      <c r="D523" s="5" t="s">
        <v>949</v>
      </c>
    </row>
    <row r="524" spans="1:4" x14ac:dyDescent="0.2">
      <c r="A524" s="7" t="s">
        <v>1130</v>
      </c>
      <c r="B524" s="8" t="s">
        <v>1124</v>
      </c>
      <c r="C524" s="5">
        <v>25</v>
      </c>
      <c r="D524" s="5" t="s">
        <v>949</v>
      </c>
    </row>
    <row r="525" spans="1:4" x14ac:dyDescent="0.2">
      <c r="A525" s="7" t="s">
        <v>1131</v>
      </c>
      <c r="B525" s="8" t="s">
        <v>1124</v>
      </c>
      <c r="C525" s="5">
        <v>25</v>
      </c>
      <c r="D525" s="5" t="s">
        <v>949</v>
      </c>
    </row>
    <row r="526" spans="1:4" x14ac:dyDescent="0.2">
      <c r="A526" s="7" t="s">
        <v>1132</v>
      </c>
      <c r="B526" s="8" t="s">
        <v>1124</v>
      </c>
      <c r="C526" s="5">
        <v>25</v>
      </c>
      <c r="D526" s="5" t="s">
        <v>949</v>
      </c>
    </row>
    <row r="527" spans="1:4" x14ac:dyDescent="0.2">
      <c r="A527" s="7" t="s">
        <v>1133</v>
      </c>
      <c r="B527" s="8" t="s">
        <v>1124</v>
      </c>
      <c r="C527" s="5">
        <v>25</v>
      </c>
      <c r="D527" s="5" t="s">
        <v>949</v>
      </c>
    </row>
    <row r="528" spans="1:4" x14ac:dyDescent="0.2">
      <c r="A528" s="7" t="s">
        <v>1134</v>
      </c>
      <c r="B528" s="8" t="s">
        <v>1124</v>
      </c>
      <c r="C528" s="5">
        <v>25</v>
      </c>
      <c r="D528" s="5" t="s">
        <v>949</v>
      </c>
    </row>
    <row r="529" spans="1:4" x14ac:dyDescent="0.2">
      <c r="A529" s="7" t="s">
        <v>1135</v>
      </c>
      <c r="B529" s="8" t="s">
        <v>1124</v>
      </c>
      <c r="C529" s="5">
        <v>25</v>
      </c>
      <c r="D529" s="5" t="s">
        <v>949</v>
      </c>
    </row>
    <row r="530" spans="1:4" x14ac:dyDescent="0.2">
      <c r="A530" s="7" t="s">
        <v>1136</v>
      </c>
      <c r="B530" s="8" t="s">
        <v>1124</v>
      </c>
      <c r="C530" s="5">
        <v>25</v>
      </c>
      <c r="D530" s="5" t="s">
        <v>949</v>
      </c>
    </row>
    <row r="531" spans="1:4" x14ac:dyDescent="0.2">
      <c r="A531" s="7" t="s">
        <v>1137</v>
      </c>
      <c r="B531" s="8" t="s">
        <v>1124</v>
      </c>
      <c r="C531" s="5">
        <v>25</v>
      </c>
      <c r="D531" s="5" t="s">
        <v>949</v>
      </c>
    </row>
    <row r="532" spans="1:4" x14ac:dyDescent="0.2">
      <c r="A532" s="7" t="s">
        <v>1138</v>
      </c>
      <c r="B532" s="8" t="s">
        <v>1124</v>
      </c>
      <c r="C532" s="5">
        <v>25</v>
      </c>
      <c r="D532" s="5" t="s">
        <v>949</v>
      </c>
    </row>
    <row r="533" spans="1:4" x14ac:dyDescent="0.2">
      <c r="A533" s="7" t="s">
        <v>1139</v>
      </c>
      <c r="B533" s="8" t="s">
        <v>1124</v>
      </c>
      <c r="C533" s="5">
        <v>25</v>
      </c>
      <c r="D533" s="5" t="s">
        <v>949</v>
      </c>
    </row>
    <row r="534" spans="1:4" x14ac:dyDescent="0.2">
      <c r="A534" s="7" t="s">
        <v>1140</v>
      </c>
      <c r="B534" s="8" t="s">
        <v>1124</v>
      </c>
      <c r="C534" s="5">
        <v>25</v>
      </c>
      <c r="D534" s="5" t="s">
        <v>949</v>
      </c>
    </row>
    <row r="535" spans="1:4" x14ac:dyDescent="0.2">
      <c r="A535" s="7" t="s">
        <v>419</v>
      </c>
      <c r="B535" s="8" t="s">
        <v>1124</v>
      </c>
      <c r="C535" s="5">
        <v>25</v>
      </c>
      <c r="D535" s="5" t="s">
        <v>949</v>
      </c>
    </row>
    <row r="536" spans="1:4" x14ac:dyDescent="0.2">
      <c r="A536" s="7" t="s">
        <v>1141</v>
      </c>
      <c r="B536" s="8" t="s">
        <v>1124</v>
      </c>
      <c r="C536" s="5">
        <v>25</v>
      </c>
      <c r="D536" s="5" t="s">
        <v>949</v>
      </c>
    </row>
    <row r="537" spans="1:4" x14ac:dyDescent="0.2">
      <c r="A537" s="7" t="s">
        <v>1142</v>
      </c>
      <c r="B537" s="8" t="s">
        <v>1124</v>
      </c>
      <c r="C537" s="5">
        <v>25</v>
      </c>
      <c r="D537" s="5" t="s">
        <v>949</v>
      </c>
    </row>
    <row r="538" spans="1:4" x14ac:dyDescent="0.2">
      <c r="A538" s="7" t="s">
        <v>1143</v>
      </c>
      <c r="B538" s="8" t="s">
        <v>1124</v>
      </c>
      <c r="C538" s="5">
        <v>25</v>
      </c>
      <c r="D538" s="5" t="s">
        <v>949</v>
      </c>
    </row>
    <row r="539" spans="1:4" x14ac:dyDescent="0.2">
      <c r="A539" s="7" t="s">
        <v>1144</v>
      </c>
      <c r="B539" s="8" t="s">
        <v>1124</v>
      </c>
      <c r="C539" s="5">
        <v>25</v>
      </c>
      <c r="D539" s="5" t="s">
        <v>949</v>
      </c>
    </row>
    <row r="540" spans="1:4" x14ac:dyDescent="0.2">
      <c r="A540" s="7" t="s">
        <v>1145</v>
      </c>
      <c r="B540" s="8" t="s">
        <v>1124</v>
      </c>
      <c r="C540" s="5">
        <v>25</v>
      </c>
      <c r="D540" s="5" t="s">
        <v>949</v>
      </c>
    </row>
    <row r="541" spans="1:4" x14ac:dyDescent="0.2">
      <c r="A541" s="7" t="s">
        <v>1146</v>
      </c>
      <c r="B541" s="8" t="s">
        <v>1124</v>
      </c>
      <c r="C541" s="5">
        <v>25</v>
      </c>
      <c r="D541" s="5" t="s">
        <v>949</v>
      </c>
    </row>
    <row r="542" spans="1:4" x14ac:dyDescent="0.2">
      <c r="A542" s="7" t="s">
        <v>1147</v>
      </c>
      <c r="B542" s="8" t="s">
        <v>1124</v>
      </c>
      <c r="C542" s="5">
        <v>25</v>
      </c>
      <c r="D542" s="5" t="s">
        <v>949</v>
      </c>
    </row>
    <row r="543" spans="1:4" x14ac:dyDescent="0.2">
      <c r="A543" s="7" t="s">
        <v>1148</v>
      </c>
      <c r="B543" s="8" t="s">
        <v>1124</v>
      </c>
      <c r="C543" s="5">
        <v>25</v>
      </c>
      <c r="D543" s="5" t="s">
        <v>949</v>
      </c>
    </row>
    <row r="544" spans="1:4" x14ac:dyDescent="0.2">
      <c r="A544" s="7" t="s">
        <v>1149</v>
      </c>
      <c r="B544" s="8" t="s">
        <v>1124</v>
      </c>
      <c r="C544" s="5">
        <v>25</v>
      </c>
      <c r="D544" s="5" t="s">
        <v>949</v>
      </c>
    </row>
    <row r="545" spans="1:4" x14ac:dyDescent="0.2">
      <c r="A545" s="7" t="s">
        <v>1150</v>
      </c>
      <c r="B545" s="8" t="s">
        <v>1124</v>
      </c>
      <c r="C545" s="5">
        <v>25</v>
      </c>
      <c r="D545" s="5" t="s">
        <v>949</v>
      </c>
    </row>
    <row r="546" spans="1:4" x14ac:dyDescent="0.2">
      <c r="A546" s="7" t="s">
        <v>1151</v>
      </c>
      <c r="B546" s="8" t="s">
        <v>1124</v>
      </c>
      <c r="C546" s="5">
        <v>25</v>
      </c>
      <c r="D546" s="5" t="s">
        <v>949</v>
      </c>
    </row>
    <row r="547" spans="1:4" x14ac:dyDescent="0.2">
      <c r="A547" s="7" t="s">
        <v>1152</v>
      </c>
      <c r="B547" s="8" t="s">
        <v>1124</v>
      </c>
      <c r="C547" s="5">
        <v>25</v>
      </c>
      <c r="D547" s="5" t="s">
        <v>949</v>
      </c>
    </row>
    <row r="548" spans="1:4" x14ac:dyDescent="0.2">
      <c r="A548" s="7" t="s">
        <v>1153</v>
      </c>
      <c r="B548" s="8" t="s">
        <v>1124</v>
      </c>
      <c r="C548" s="5">
        <v>25</v>
      </c>
      <c r="D548" s="5" t="s">
        <v>949</v>
      </c>
    </row>
    <row r="549" spans="1:4" x14ac:dyDescent="0.2">
      <c r="A549" s="7" t="s">
        <v>1154</v>
      </c>
      <c r="B549" s="8" t="s">
        <v>1124</v>
      </c>
      <c r="C549" s="5">
        <v>25</v>
      </c>
      <c r="D549" s="5" t="s">
        <v>949</v>
      </c>
    </row>
    <row r="550" spans="1:4" x14ac:dyDescent="0.2">
      <c r="A550" s="7" t="s">
        <v>1155</v>
      </c>
      <c r="B550" s="8" t="s">
        <v>1124</v>
      </c>
      <c r="C550" s="5">
        <v>25</v>
      </c>
      <c r="D550" s="5" t="s">
        <v>949</v>
      </c>
    </row>
    <row r="551" spans="1:4" x14ac:dyDescent="0.2">
      <c r="A551" s="7" t="s">
        <v>1156</v>
      </c>
      <c r="B551" s="8" t="s">
        <v>1124</v>
      </c>
      <c r="C551" s="5">
        <v>25</v>
      </c>
      <c r="D551" s="5" t="s">
        <v>949</v>
      </c>
    </row>
    <row r="552" spans="1:4" x14ac:dyDescent="0.2">
      <c r="A552" s="7" t="s">
        <v>1157</v>
      </c>
      <c r="B552" s="8" t="s">
        <v>1124</v>
      </c>
      <c r="C552" s="5">
        <v>25</v>
      </c>
      <c r="D552" s="5" t="s">
        <v>949</v>
      </c>
    </row>
    <row r="553" spans="1:4" x14ac:dyDescent="0.2">
      <c r="A553" s="7" t="s">
        <v>1158</v>
      </c>
      <c r="B553" s="8" t="s">
        <v>1124</v>
      </c>
      <c r="C553" s="5">
        <v>25</v>
      </c>
      <c r="D553" s="5" t="s">
        <v>949</v>
      </c>
    </row>
    <row r="554" spans="1:4" x14ac:dyDescent="0.2">
      <c r="A554" s="7" t="s">
        <v>1159</v>
      </c>
      <c r="B554" s="8" t="s">
        <v>1124</v>
      </c>
      <c r="C554" s="5">
        <v>25</v>
      </c>
      <c r="D554" s="5" t="s">
        <v>949</v>
      </c>
    </row>
    <row r="555" spans="1:4" x14ac:dyDescent="0.2">
      <c r="A555" s="7" t="s">
        <v>1160</v>
      </c>
      <c r="B555" s="8" t="s">
        <v>1124</v>
      </c>
      <c r="C555" s="5">
        <v>25</v>
      </c>
      <c r="D555" s="5" t="s">
        <v>949</v>
      </c>
    </row>
    <row r="556" spans="1:4" x14ac:dyDescent="0.2">
      <c r="A556" s="7" t="s">
        <v>1161</v>
      </c>
      <c r="B556" s="8" t="s">
        <v>1124</v>
      </c>
      <c r="C556" s="5">
        <v>25</v>
      </c>
      <c r="D556" s="5" t="s">
        <v>949</v>
      </c>
    </row>
    <row r="557" spans="1:4" x14ac:dyDescent="0.2">
      <c r="A557" s="7" t="s">
        <v>1162</v>
      </c>
      <c r="B557" s="8" t="s">
        <v>1124</v>
      </c>
      <c r="C557" s="5">
        <v>25</v>
      </c>
      <c r="D557" s="5" t="s">
        <v>949</v>
      </c>
    </row>
    <row r="558" spans="1:4" x14ac:dyDescent="0.2">
      <c r="A558" s="7" t="s">
        <v>1163</v>
      </c>
      <c r="B558" s="8" t="s">
        <v>1124</v>
      </c>
      <c r="C558" s="5">
        <v>25</v>
      </c>
      <c r="D558" s="5" t="s">
        <v>949</v>
      </c>
    </row>
    <row r="559" spans="1:4" x14ac:dyDescent="0.2">
      <c r="A559" s="7" t="s">
        <v>1164</v>
      </c>
      <c r="B559" s="8" t="s">
        <v>1124</v>
      </c>
      <c r="C559" s="5">
        <v>25</v>
      </c>
      <c r="D559" s="5" t="s">
        <v>949</v>
      </c>
    </row>
    <row r="560" spans="1:4" x14ac:dyDescent="0.2">
      <c r="A560" s="7" t="s">
        <v>1165</v>
      </c>
      <c r="B560" s="8" t="s">
        <v>1124</v>
      </c>
      <c r="C560" s="5">
        <v>25</v>
      </c>
      <c r="D560" s="5" t="s">
        <v>949</v>
      </c>
    </row>
    <row r="561" spans="1:4" x14ac:dyDescent="0.2">
      <c r="A561" s="7" t="s">
        <v>1166</v>
      </c>
      <c r="B561" s="8" t="s">
        <v>1124</v>
      </c>
      <c r="C561" s="5">
        <v>25</v>
      </c>
      <c r="D561" s="5" t="s">
        <v>949</v>
      </c>
    </row>
    <row r="562" spans="1:4" x14ac:dyDescent="0.2">
      <c r="A562" s="7" t="s">
        <v>1167</v>
      </c>
      <c r="B562" s="8" t="s">
        <v>1124</v>
      </c>
      <c r="C562" s="5">
        <v>25</v>
      </c>
      <c r="D562" s="5" t="s">
        <v>949</v>
      </c>
    </row>
    <row r="563" spans="1:4" x14ac:dyDescent="0.2">
      <c r="A563" s="7" t="s">
        <v>1168</v>
      </c>
      <c r="B563" s="8" t="s">
        <v>1124</v>
      </c>
      <c r="C563" s="5">
        <v>25</v>
      </c>
      <c r="D563" s="5" t="s">
        <v>949</v>
      </c>
    </row>
    <row r="564" spans="1:4" x14ac:dyDescent="0.2">
      <c r="A564" s="7" t="s">
        <v>1169</v>
      </c>
      <c r="B564" s="8" t="s">
        <v>1124</v>
      </c>
      <c r="C564" s="5">
        <v>25</v>
      </c>
      <c r="D564" s="5" t="s">
        <v>949</v>
      </c>
    </row>
    <row r="565" spans="1:4" x14ac:dyDescent="0.2">
      <c r="A565" s="7" t="s">
        <v>1170</v>
      </c>
      <c r="B565" s="8" t="s">
        <v>1124</v>
      </c>
      <c r="C565" s="5">
        <v>25</v>
      </c>
      <c r="D565" s="5" t="s">
        <v>949</v>
      </c>
    </row>
    <row r="566" spans="1:4" x14ac:dyDescent="0.2">
      <c r="A566" s="7" t="s">
        <v>1171</v>
      </c>
      <c r="B566" s="8" t="s">
        <v>1124</v>
      </c>
      <c r="C566" s="5">
        <v>25</v>
      </c>
      <c r="D566" s="5" t="s">
        <v>949</v>
      </c>
    </row>
    <row r="567" spans="1:4" x14ac:dyDescent="0.2">
      <c r="A567" s="7" t="s">
        <v>1172</v>
      </c>
      <c r="B567" s="8" t="s">
        <v>1124</v>
      </c>
      <c r="C567" s="5">
        <v>25</v>
      </c>
      <c r="D567" s="5" t="s">
        <v>949</v>
      </c>
    </row>
    <row r="568" spans="1:4" x14ac:dyDescent="0.2">
      <c r="A568" s="7" t="s">
        <v>135</v>
      </c>
      <c r="B568" s="8" t="s">
        <v>1124</v>
      </c>
      <c r="C568" s="5">
        <v>25</v>
      </c>
      <c r="D568" s="5" t="s">
        <v>949</v>
      </c>
    </row>
    <row r="569" spans="1:4" x14ac:dyDescent="0.2">
      <c r="A569" s="7" t="s">
        <v>1173</v>
      </c>
      <c r="B569" s="8" t="s">
        <v>1124</v>
      </c>
      <c r="C569" s="5">
        <v>25</v>
      </c>
      <c r="D569" s="5" t="s">
        <v>949</v>
      </c>
    </row>
    <row r="570" spans="1:4" x14ac:dyDescent="0.2">
      <c r="A570" s="7" t="s">
        <v>1174</v>
      </c>
      <c r="B570" s="8" t="s">
        <v>1124</v>
      </c>
      <c r="C570" s="5">
        <v>25</v>
      </c>
      <c r="D570" s="5" t="s">
        <v>949</v>
      </c>
    </row>
    <row r="571" spans="1:4" x14ac:dyDescent="0.2">
      <c r="A571" s="7" t="s">
        <v>1175</v>
      </c>
      <c r="B571" s="8" t="s">
        <v>1124</v>
      </c>
      <c r="C571" s="5">
        <v>25</v>
      </c>
      <c r="D571" s="5" t="s">
        <v>949</v>
      </c>
    </row>
    <row r="572" spans="1:4" x14ac:dyDescent="0.2">
      <c r="A572" s="7" t="s">
        <v>1176</v>
      </c>
      <c r="B572" s="8" t="s">
        <v>1124</v>
      </c>
      <c r="C572" s="5">
        <v>25</v>
      </c>
      <c r="D572" s="5" t="s">
        <v>949</v>
      </c>
    </row>
    <row r="573" spans="1:4" x14ac:dyDescent="0.2">
      <c r="A573" s="7" t="s">
        <v>1177</v>
      </c>
      <c r="B573" s="8" t="s">
        <v>1124</v>
      </c>
      <c r="C573" s="5">
        <v>25</v>
      </c>
      <c r="D573" s="5" t="s">
        <v>949</v>
      </c>
    </row>
    <row r="574" spans="1:4" x14ac:dyDescent="0.2">
      <c r="A574" s="7" t="s">
        <v>1178</v>
      </c>
      <c r="B574" s="8" t="s">
        <v>1124</v>
      </c>
      <c r="C574" s="5">
        <v>25</v>
      </c>
      <c r="D574" s="5" t="s">
        <v>949</v>
      </c>
    </row>
    <row r="575" spans="1:4" x14ac:dyDescent="0.2">
      <c r="A575" s="7" t="s">
        <v>1179</v>
      </c>
      <c r="B575" s="8" t="s">
        <v>1124</v>
      </c>
      <c r="C575" s="5">
        <v>25</v>
      </c>
      <c r="D575" s="5" t="s">
        <v>949</v>
      </c>
    </row>
    <row r="576" spans="1:4" x14ac:dyDescent="0.2">
      <c r="A576" s="7" t="s">
        <v>1180</v>
      </c>
      <c r="B576" s="8" t="s">
        <v>1124</v>
      </c>
      <c r="C576" s="5">
        <v>25</v>
      </c>
      <c r="D576" s="5" t="s">
        <v>949</v>
      </c>
    </row>
    <row r="577" spans="1:4" x14ac:dyDescent="0.2">
      <c r="A577" s="7" t="s">
        <v>1181</v>
      </c>
      <c r="B577" s="8" t="s">
        <v>1124</v>
      </c>
      <c r="C577" s="5">
        <v>25</v>
      </c>
      <c r="D577" s="5" t="s">
        <v>949</v>
      </c>
    </row>
    <row r="578" spans="1:4" x14ac:dyDescent="0.2">
      <c r="A578" s="7" t="s">
        <v>1182</v>
      </c>
      <c r="B578" s="8" t="s">
        <v>1124</v>
      </c>
      <c r="C578" s="5">
        <v>25</v>
      </c>
      <c r="D578" s="5" t="s">
        <v>949</v>
      </c>
    </row>
    <row r="579" spans="1:4" x14ac:dyDescent="0.2">
      <c r="A579" s="7" t="s">
        <v>1183</v>
      </c>
      <c r="B579" s="8" t="s">
        <v>1124</v>
      </c>
      <c r="C579" s="5">
        <v>25</v>
      </c>
      <c r="D579" s="5" t="s">
        <v>949</v>
      </c>
    </row>
    <row r="580" spans="1:4" x14ac:dyDescent="0.2">
      <c r="A580" s="7" t="s">
        <v>1184</v>
      </c>
      <c r="B580" s="8" t="s">
        <v>1124</v>
      </c>
      <c r="C580" s="5">
        <v>25</v>
      </c>
      <c r="D580" s="5" t="s">
        <v>949</v>
      </c>
    </row>
    <row r="581" spans="1:4" x14ac:dyDescent="0.2">
      <c r="A581" s="7" t="s">
        <v>1185</v>
      </c>
      <c r="B581" s="8" t="s">
        <v>1124</v>
      </c>
      <c r="C581" s="5">
        <v>25</v>
      </c>
      <c r="D581" s="5" t="s">
        <v>949</v>
      </c>
    </row>
    <row r="582" spans="1:4" x14ac:dyDescent="0.2">
      <c r="A582" s="7" t="s">
        <v>1186</v>
      </c>
      <c r="B582" s="8" t="s">
        <v>1124</v>
      </c>
      <c r="C582" s="5">
        <v>25</v>
      </c>
      <c r="D582" s="5" t="s">
        <v>949</v>
      </c>
    </row>
    <row r="583" spans="1:4" x14ac:dyDescent="0.2">
      <c r="A583" s="7" t="s">
        <v>1187</v>
      </c>
      <c r="B583" s="8" t="s">
        <v>1124</v>
      </c>
      <c r="C583" s="5">
        <v>25</v>
      </c>
      <c r="D583" s="5" t="s">
        <v>949</v>
      </c>
    </row>
    <row r="584" spans="1:4" x14ac:dyDescent="0.2">
      <c r="A584" s="7" t="s">
        <v>1188</v>
      </c>
      <c r="B584" s="8" t="s">
        <v>1124</v>
      </c>
      <c r="C584" s="5">
        <v>25</v>
      </c>
      <c r="D584" s="5" t="s">
        <v>949</v>
      </c>
    </row>
    <row r="585" spans="1:4" x14ac:dyDescent="0.2">
      <c r="A585" s="7" t="s">
        <v>1189</v>
      </c>
      <c r="B585" s="8" t="s">
        <v>1124</v>
      </c>
      <c r="C585" s="5">
        <v>25</v>
      </c>
      <c r="D585" s="5" t="s">
        <v>949</v>
      </c>
    </row>
    <row r="586" spans="1:4" x14ac:dyDescent="0.2">
      <c r="A586" s="7" t="s">
        <v>1190</v>
      </c>
      <c r="B586" s="8" t="s">
        <v>1124</v>
      </c>
      <c r="C586" s="5">
        <v>25</v>
      </c>
      <c r="D586" s="5" t="s">
        <v>949</v>
      </c>
    </row>
    <row r="587" spans="1:4" x14ac:dyDescent="0.2">
      <c r="A587" s="7" t="s">
        <v>1191</v>
      </c>
      <c r="B587" s="8" t="s">
        <v>1124</v>
      </c>
      <c r="C587" s="5">
        <v>25</v>
      </c>
      <c r="D587" s="5" t="s">
        <v>949</v>
      </c>
    </row>
    <row r="588" spans="1:4" x14ac:dyDescent="0.2">
      <c r="A588" s="7" t="s">
        <v>1192</v>
      </c>
      <c r="B588" s="8" t="s">
        <v>1124</v>
      </c>
      <c r="C588" s="5">
        <v>25</v>
      </c>
      <c r="D588" s="5" t="s">
        <v>949</v>
      </c>
    </row>
    <row r="589" spans="1:4" x14ac:dyDescent="0.2">
      <c r="A589" s="7" t="s">
        <v>1193</v>
      </c>
      <c r="B589" s="8" t="s">
        <v>1124</v>
      </c>
      <c r="C589" s="5">
        <v>25</v>
      </c>
      <c r="D589" s="5" t="s">
        <v>949</v>
      </c>
    </row>
    <row r="590" spans="1:4" x14ac:dyDescent="0.2">
      <c r="A590" s="7" t="s">
        <v>1194</v>
      </c>
      <c r="B590" s="8" t="s">
        <v>1124</v>
      </c>
      <c r="C590" s="5">
        <v>25</v>
      </c>
      <c r="D590" s="5" t="s">
        <v>949</v>
      </c>
    </row>
    <row r="591" spans="1:4" x14ac:dyDescent="0.2">
      <c r="A591" s="7" t="s">
        <v>1195</v>
      </c>
      <c r="B591" s="8" t="s">
        <v>1124</v>
      </c>
      <c r="C591" s="5">
        <v>25</v>
      </c>
      <c r="D591" s="5" t="s">
        <v>949</v>
      </c>
    </row>
    <row r="592" spans="1:4" x14ac:dyDescent="0.2">
      <c r="A592" s="7" t="s">
        <v>1196</v>
      </c>
      <c r="B592" s="8" t="s">
        <v>1124</v>
      </c>
      <c r="C592" s="5">
        <v>25</v>
      </c>
      <c r="D592" s="5" t="s">
        <v>949</v>
      </c>
    </row>
    <row r="593" spans="1:4" x14ac:dyDescent="0.2">
      <c r="A593" s="7" t="s">
        <v>1197</v>
      </c>
      <c r="B593" s="8" t="s">
        <v>1124</v>
      </c>
      <c r="C593" s="5">
        <v>25</v>
      </c>
      <c r="D593" s="5" t="s">
        <v>949</v>
      </c>
    </row>
    <row r="594" spans="1:4" x14ac:dyDescent="0.2">
      <c r="A594" s="7" t="s">
        <v>1198</v>
      </c>
      <c r="B594" s="8" t="s">
        <v>1124</v>
      </c>
      <c r="C594" s="5">
        <v>25</v>
      </c>
      <c r="D594" s="5" t="s">
        <v>949</v>
      </c>
    </row>
    <row r="595" spans="1:4" x14ac:dyDescent="0.2">
      <c r="A595" s="7" t="s">
        <v>1199</v>
      </c>
      <c r="B595" s="8" t="s">
        <v>1124</v>
      </c>
      <c r="C595" s="5">
        <v>25</v>
      </c>
      <c r="D595" s="5" t="s">
        <v>949</v>
      </c>
    </row>
    <row r="596" spans="1:4" x14ac:dyDescent="0.2">
      <c r="A596" s="7" t="s">
        <v>1200</v>
      </c>
      <c r="B596" s="8" t="s">
        <v>1124</v>
      </c>
      <c r="C596" s="5">
        <v>25</v>
      </c>
      <c r="D596" s="5" t="s">
        <v>949</v>
      </c>
    </row>
    <row r="597" spans="1:4" x14ac:dyDescent="0.2">
      <c r="A597" s="7" t="s">
        <v>1201</v>
      </c>
      <c r="B597" s="8" t="s">
        <v>1124</v>
      </c>
      <c r="C597" s="5">
        <v>25</v>
      </c>
      <c r="D597" s="5" t="s">
        <v>949</v>
      </c>
    </row>
    <row r="598" spans="1:4" x14ac:dyDescent="0.2">
      <c r="A598" s="7" t="s">
        <v>1202</v>
      </c>
      <c r="B598" s="8" t="s">
        <v>1124</v>
      </c>
      <c r="C598" s="5">
        <v>25</v>
      </c>
      <c r="D598" s="5" t="s">
        <v>949</v>
      </c>
    </row>
    <row r="599" spans="1:4" x14ac:dyDescent="0.2">
      <c r="A599" s="7" t="s">
        <v>1203</v>
      </c>
      <c r="B599" s="8" t="s">
        <v>1124</v>
      </c>
      <c r="C599" s="5">
        <v>25</v>
      </c>
      <c r="D599" s="5" t="s">
        <v>949</v>
      </c>
    </row>
    <row r="600" spans="1:4" x14ac:dyDescent="0.2">
      <c r="A600" s="7" t="s">
        <v>1204</v>
      </c>
      <c r="B600" s="8" t="s">
        <v>1124</v>
      </c>
      <c r="C600" s="5">
        <v>25</v>
      </c>
      <c r="D600" s="5" t="s">
        <v>949</v>
      </c>
    </row>
    <row r="601" spans="1:4" x14ac:dyDescent="0.2">
      <c r="A601" s="7" t="s">
        <v>1205</v>
      </c>
      <c r="B601" s="8" t="s">
        <v>1124</v>
      </c>
      <c r="C601" s="5">
        <v>25</v>
      </c>
      <c r="D601" s="5" t="s">
        <v>949</v>
      </c>
    </row>
    <row r="602" spans="1:4" x14ac:dyDescent="0.2">
      <c r="A602" s="7" t="s">
        <v>1206</v>
      </c>
      <c r="B602" s="8" t="s">
        <v>1124</v>
      </c>
      <c r="C602" s="5">
        <v>25</v>
      </c>
      <c r="D602" s="5" t="s">
        <v>949</v>
      </c>
    </row>
    <row r="603" spans="1:4" x14ac:dyDescent="0.2">
      <c r="A603" s="7" t="s">
        <v>1207</v>
      </c>
      <c r="B603" s="8" t="s">
        <v>1124</v>
      </c>
      <c r="C603" s="5">
        <v>25</v>
      </c>
      <c r="D603" s="5" t="s">
        <v>949</v>
      </c>
    </row>
    <row r="604" spans="1:4" x14ac:dyDescent="0.2">
      <c r="A604" s="7" t="s">
        <v>1208</v>
      </c>
      <c r="B604" s="8" t="s">
        <v>1124</v>
      </c>
      <c r="C604" s="5">
        <v>25</v>
      </c>
      <c r="D604" s="5" t="s">
        <v>949</v>
      </c>
    </row>
    <row r="605" spans="1:4" x14ac:dyDescent="0.2">
      <c r="A605" s="7" t="s">
        <v>1209</v>
      </c>
      <c r="B605" s="8" t="s">
        <v>1124</v>
      </c>
      <c r="C605" s="5">
        <v>25</v>
      </c>
      <c r="D605" s="5" t="s">
        <v>949</v>
      </c>
    </row>
    <row r="606" spans="1:4" x14ac:dyDescent="0.2">
      <c r="A606" s="7" t="s">
        <v>1210</v>
      </c>
      <c r="B606" s="8" t="s">
        <v>1124</v>
      </c>
      <c r="C606" s="5">
        <v>25</v>
      </c>
      <c r="D606" s="5" t="s">
        <v>949</v>
      </c>
    </row>
    <row r="607" spans="1:4" x14ac:dyDescent="0.2">
      <c r="A607" s="7" t="s">
        <v>1211</v>
      </c>
      <c r="B607" s="8" t="s">
        <v>1124</v>
      </c>
      <c r="C607" s="5">
        <v>25</v>
      </c>
      <c r="D607" s="5" t="s">
        <v>949</v>
      </c>
    </row>
    <row r="608" spans="1:4" x14ac:dyDescent="0.2">
      <c r="A608" s="7" t="s">
        <v>1212</v>
      </c>
      <c r="B608" s="8" t="s">
        <v>1124</v>
      </c>
      <c r="C608" s="5">
        <v>25</v>
      </c>
      <c r="D608" s="5" t="s">
        <v>949</v>
      </c>
    </row>
    <row r="609" spans="1:4" x14ac:dyDescent="0.2">
      <c r="A609" s="7" t="s">
        <v>1213</v>
      </c>
      <c r="B609" s="8" t="s">
        <v>1124</v>
      </c>
      <c r="C609" s="5">
        <v>25</v>
      </c>
      <c r="D609" s="5" t="s">
        <v>949</v>
      </c>
    </row>
    <row r="610" spans="1:4" x14ac:dyDescent="0.2">
      <c r="A610" s="7" t="s">
        <v>1214</v>
      </c>
      <c r="B610" s="8" t="s">
        <v>1124</v>
      </c>
      <c r="C610" s="5">
        <v>25</v>
      </c>
      <c r="D610" s="5" t="s">
        <v>949</v>
      </c>
    </row>
    <row r="611" spans="1:4" x14ac:dyDescent="0.2">
      <c r="A611" s="7" t="s">
        <v>1215</v>
      </c>
      <c r="B611" s="8" t="s">
        <v>1124</v>
      </c>
      <c r="C611" s="5">
        <v>25</v>
      </c>
      <c r="D611" s="5" t="s">
        <v>949</v>
      </c>
    </row>
    <row r="612" spans="1:4" x14ac:dyDescent="0.2">
      <c r="A612" s="7" t="s">
        <v>1216</v>
      </c>
      <c r="B612" s="8" t="s">
        <v>1124</v>
      </c>
      <c r="C612" s="5">
        <v>25</v>
      </c>
      <c r="D612" s="5" t="s">
        <v>949</v>
      </c>
    </row>
    <row r="613" spans="1:4" x14ac:dyDescent="0.2">
      <c r="A613" s="7" t="s">
        <v>1217</v>
      </c>
      <c r="B613" s="8" t="s">
        <v>1124</v>
      </c>
      <c r="C613" s="5">
        <v>25</v>
      </c>
      <c r="D613" s="5" t="s">
        <v>949</v>
      </c>
    </row>
    <row r="614" spans="1:4" x14ac:dyDescent="0.2">
      <c r="A614" s="7" t="s">
        <v>1218</v>
      </c>
      <c r="B614" s="8" t="s">
        <v>1124</v>
      </c>
      <c r="C614" s="5">
        <v>25</v>
      </c>
      <c r="D614" s="5" t="s">
        <v>949</v>
      </c>
    </row>
    <row r="615" spans="1:4" x14ac:dyDescent="0.2">
      <c r="A615" s="7" t="s">
        <v>1219</v>
      </c>
      <c r="B615" s="8" t="s">
        <v>1124</v>
      </c>
      <c r="C615" s="5">
        <v>25</v>
      </c>
      <c r="D615" s="5" t="s">
        <v>949</v>
      </c>
    </row>
    <row r="616" spans="1:4" x14ac:dyDescent="0.2">
      <c r="A616" s="7" t="s">
        <v>1220</v>
      </c>
      <c r="B616" s="8" t="s">
        <v>1124</v>
      </c>
      <c r="C616" s="5">
        <v>25</v>
      </c>
      <c r="D616" s="5" t="s">
        <v>949</v>
      </c>
    </row>
    <row r="617" spans="1:4" x14ac:dyDescent="0.2">
      <c r="A617" s="7" t="s">
        <v>1221</v>
      </c>
      <c r="B617" s="8" t="s">
        <v>1124</v>
      </c>
      <c r="C617" s="5">
        <v>25</v>
      </c>
      <c r="D617" s="5" t="s">
        <v>949</v>
      </c>
    </row>
    <row r="618" spans="1:4" x14ac:dyDescent="0.2">
      <c r="A618" s="7" t="s">
        <v>1222</v>
      </c>
      <c r="B618" s="8" t="s">
        <v>1223</v>
      </c>
      <c r="C618" s="5">
        <v>25</v>
      </c>
      <c r="D618" s="5" t="s">
        <v>949</v>
      </c>
    </row>
    <row r="619" spans="1:4" x14ac:dyDescent="0.2">
      <c r="A619" s="7" t="s">
        <v>1224</v>
      </c>
      <c r="B619" s="8" t="s">
        <v>1223</v>
      </c>
      <c r="C619" s="5">
        <v>25</v>
      </c>
      <c r="D619" s="5" t="s">
        <v>949</v>
      </c>
    </row>
    <row r="620" spans="1:4" x14ac:dyDescent="0.2">
      <c r="A620" s="7" t="s">
        <v>1225</v>
      </c>
      <c r="B620" s="8" t="s">
        <v>1223</v>
      </c>
      <c r="C620" s="5">
        <v>25</v>
      </c>
      <c r="D620" s="5" t="s">
        <v>949</v>
      </c>
    </row>
    <row r="621" spans="1:4" x14ac:dyDescent="0.2">
      <c r="A621" s="7" t="s">
        <v>1226</v>
      </c>
      <c r="B621" s="8" t="s">
        <v>1223</v>
      </c>
      <c r="C621" s="5">
        <v>25</v>
      </c>
      <c r="D621" s="5" t="s">
        <v>949</v>
      </c>
    </row>
    <row r="622" spans="1:4" x14ac:dyDescent="0.2">
      <c r="A622" s="7" t="s">
        <v>1227</v>
      </c>
      <c r="B622" s="8" t="s">
        <v>1223</v>
      </c>
      <c r="C622" s="5">
        <v>25</v>
      </c>
      <c r="D622" s="5" t="s">
        <v>949</v>
      </c>
    </row>
    <row r="623" spans="1:4" x14ac:dyDescent="0.2">
      <c r="A623" s="7" t="s">
        <v>1228</v>
      </c>
      <c r="B623" s="8" t="s">
        <v>1223</v>
      </c>
      <c r="C623" s="5">
        <v>25</v>
      </c>
      <c r="D623" s="5" t="s">
        <v>949</v>
      </c>
    </row>
    <row r="624" spans="1:4" x14ac:dyDescent="0.2">
      <c r="A624" s="7" t="s">
        <v>1229</v>
      </c>
      <c r="B624" s="8" t="s">
        <v>1223</v>
      </c>
      <c r="C624" s="5">
        <v>25</v>
      </c>
      <c r="D624" s="5" t="s">
        <v>949</v>
      </c>
    </row>
    <row r="625" spans="1:4" x14ac:dyDescent="0.2">
      <c r="A625" s="7" t="s">
        <v>1230</v>
      </c>
      <c r="B625" s="8" t="s">
        <v>1223</v>
      </c>
      <c r="C625" s="5">
        <v>25</v>
      </c>
      <c r="D625" s="5" t="s">
        <v>949</v>
      </c>
    </row>
    <row r="626" spans="1:4" x14ac:dyDescent="0.2">
      <c r="A626" s="7" t="s">
        <v>1231</v>
      </c>
      <c r="B626" s="8" t="s">
        <v>1223</v>
      </c>
      <c r="C626" s="5">
        <v>25</v>
      </c>
      <c r="D626" s="5" t="s">
        <v>949</v>
      </c>
    </row>
    <row r="627" spans="1:4" x14ac:dyDescent="0.2">
      <c r="A627" s="7" t="s">
        <v>1232</v>
      </c>
      <c r="B627" s="8" t="s">
        <v>1223</v>
      </c>
      <c r="C627" s="5">
        <v>25</v>
      </c>
      <c r="D627" s="5" t="s">
        <v>949</v>
      </c>
    </row>
    <row r="628" spans="1:4" x14ac:dyDescent="0.2">
      <c r="A628" s="7" t="s">
        <v>1233</v>
      </c>
      <c r="B628" s="8" t="s">
        <v>1223</v>
      </c>
      <c r="C628" s="5">
        <v>25</v>
      </c>
      <c r="D628" s="5" t="s">
        <v>949</v>
      </c>
    </row>
    <row r="629" spans="1:4" x14ac:dyDescent="0.2">
      <c r="A629" s="7" t="s">
        <v>1234</v>
      </c>
      <c r="B629" s="8" t="s">
        <v>1223</v>
      </c>
      <c r="C629" s="5">
        <v>25</v>
      </c>
      <c r="D629" s="5" t="s">
        <v>949</v>
      </c>
    </row>
    <row r="630" spans="1:4" x14ac:dyDescent="0.2">
      <c r="A630" s="7" t="s">
        <v>1235</v>
      </c>
      <c r="B630" s="8" t="s">
        <v>1223</v>
      </c>
      <c r="C630" s="5">
        <v>25</v>
      </c>
      <c r="D630" s="5" t="s">
        <v>949</v>
      </c>
    </row>
    <row r="631" spans="1:4" x14ac:dyDescent="0.2">
      <c r="A631" s="7" t="s">
        <v>1236</v>
      </c>
      <c r="B631" s="8" t="s">
        <v>1223</v>
      </c>
      <c r="C631" s="5">
        <v>25</v>
      </c>
      <c r="D631" s="5" t="s">
        <v>949</v>
      </c>
    </row>
    <row r="632" spans="1:4" x14ac:dyDescent="0.2">
      <c r="A632" s="7" t="s">
        <v>1237</v>
      </c>
      <c r="B632" s="8" t="s">
        <v>1223</v>
      </c>
      <c r="C632" s="5">
        <v>25</v>
      </c>
      <c r="D632" s="5" t="s">
        <v>949</v>
      </c>
    </row>
    <row r="633" spans="1:4" x14ac:dyDescent="0.2">
      <c r="A633" s="7" t="s">
        <v>1238</v>
      </c>
      <c r="B633" s="8" t="s">
        <v>1223</v>
      </c>
      <c r="C633" s="5">
        <v>25</v>
      </c>
      <c r="D633" s="5" t="s">
        <v>949</v>
      </c>
    </row>
    <row r="634" spans="1:4" x14ac:dyDescent="0.2">
      <c r="A634" s="7" t="s">
        <v>1239</v>
      </c>
      <c r="B634" s="8" t="s">
        <v>1223</v>
      </c>
      <c r="C634" s="5">
        <v>25</v>
      </c>
      <c r="D634" s="5" t="s">
        <v>949</v>
      </c>
    </row>
    <row r="635" spans="1:4" x14ac:dyDescent="0.2">
      <c r="A635" s="7" t="s">
        <v>1240</v>
      </c>
      <c r="B635" s="8" t="s">
        <v>1223</v>
      </c>
      <c r="C635" s="5">
        <v>25</v>
      </c>
      <c r="D635" s="5" t="s">
        <v>949</v>
      </c>
    </row>
    <row r="636" spans="1:4" x14ac:dyDescent="0.2">
      <c r="A636" s="7" t="s">
        <v>1241</v>
      </c>
      <c r="B636" s="8" t="s">
        <v>1223</v>
      </c>
      <c r="C636" s="5">
        <v>25</v>
      </c>
      <c r="D636" s="5" t="s">
        <v>949</v>
      </c>
    </row>
    <row r="637" spans="1:4" x14ac:dyDescent="0.2">
      <c r="A637" s="7" t="s">
        <v>1242</v>
      </c>
      <c r="B637" s="8" t="s">
        <v>1223</v>
      </c>
      <c r="C637" s="5">
        <v>25</v>
      </c>
      <c r="D637" s="5" t="s">
        <v>949</v>
      </c>
    </row>
    <row r="638" spans="1:4" x14ac:dyDescent="0.2">
      <c r="A638" s="7" t="s">
        <v>1243</v>
      </c>
      <c r="B638" s="8" t="s">
        <v>1223</v>
      </c>
      <c r="C638" s="5">
        <v>25</v>
      </c>
      <c r="D638" s="5" t="s">
        <v>949</v>
      </c>
    </row>
    <row r="639" spans="1:4" x14ac:dyDescent="0.2">
      <c r="A639" s="7" t="s">
        <v>286</v>
      </c>
      <c r="B639" s="8" t="s">
        <v>1223</v>
      </c>
      <c r="C639" s="5">
        <v>25</v>
      </c>
      <c r="D639" s="5" t="s">
        <v>949</v>
      </c>
    </row>
    <row r="640" spans="1:4" x14ac:dyDescent="0.2">
      <c r="A640" s="7" t="s">
        <v>259</v>
      </c>
      <c r="B640" s="8" t="s">
        <v>1223</v>
      </c>
      <c r="C640" s="5">
        <v>25</v>
      </c>
      <c r="D640" s="5" t="s">
        <v>949</v>
      </c>
    </row>
    <row r="641" spans="1:4" x14ac:dyDescent="0.2">
      <c r="A641" s="7" t="s">
        <v>280</v>
      </c>
      <c r="B641" s="8" t="s">
        <v>1223</v>
      </c>
      <c r="C641" s="5">
        <v>25</v>
      </c>
      <c r="D641" s="5" t="s">
        <v>949</v>
      </c>
    </row>
    <row r="642" spans="1:4" x14ac:dyDescent="0.2">
      <c r="A642" s="7" t="s">
        <v>363</v>
      </c>
      <c r="B642" s="8" t="s">
        <v>1223</v>
      </c>
      <c r="C642" s="5">
        <v>25</v>
      </c>
      <c r="D642" s="5" t="s">
        <v>949</v>
      </c>
    </row>
    <row r="643" spans="1:4" x14ac:dyDescent="0.2">
      <c r="A643" s="7" t="s">
        <v>1244</v>
      </c>
      <c r="B643" s="8" t="s">
        <v>1223</v>
      </c>
      <c r="C643" s="5">
        <v>25</v>
      </c>
      <c r="D643" s="5" t="s">
        <v>949</v>
      </c>
    </row>
    <row r="644" spans="1:4" x14ac:dyDescent="0.2">
      <c r="A644" s="7" t="s">
        <v>1245</v>
      </c>
      <c r="B644" s="8" t="s">
        <v>1223</v>
      </c>
      <c r="C644" s="5">
        <v>25</v>
      </c>
      <c r="D644" s="5" t="s">
        <v>949</v>
      </c>
    </row>
    <row r="645" spans="1:4" x14ac:dyDescent="0.2">
      <c r="A645" s="7" t="s">
        <v>1246</v>
      </c>
      <c r="B645" s="8" t="s">
        <v>1223</v>
      </c>
      <c r="C645" s="5">
        <v>25</v>
      </c>
      <c r="D645" s="5" t="s">
        <v>949</v>
      </c>
    </row>
    <row r="646" spans="1:4" x14ac:dyDescent="0.2">
      <c r="A646" s="7" t="s">
        <v>1247</v>
      </c>
      <c r="B646" s="8" t="s">
        <v>1223</v>
      </c>
      <c r="C646" s="5">
        <v>25</v>
      </c>
      <c r="D646" s="5" t="s">
        <v>949</v>
      </c>
    </row>
    <row r="647" spans="1:4" x14ac:dyDescent="0.2">
      <c r="A647" s="7" t="s">
        <v>1248</v>
      </c>
      <c r="B647" s="8" t="s">
        <v>1223</v>
      </c>
      <c r="C647" s="5">
        <v>25</v>
      </c>
      <c r="D647" s="5" t="s">
        <v>949</v>
      </c>
    </row>
    <row r="648" spans="1:4" x14ac:dyDescent="0.2">
      <c r="A648" s="7" t="s">
        <v>1249</v>
      </c>
      <c r="B648" s="8" t="s">
        <v>1223</v>
      </c>
      <c r="C648" s="5">
        <v>25</v>
      </c>
      <c r="D648" s="5" t="s">
        <v>949</v>
      </c>
    </row>
    <row r="649" spans="1:4" x14ac:dyDescent="0.2">
      <c r="A649" s="7" t="s">
        <v>1250</v>
      </c>
      <c r="B649" s="8" t="s">
        <v>1223</v>
      </c>
      <c r="C649" s="5">
        <v>25</v>
      </c>
      <c r="D649" s="5" t="s">
        <v>949</v>
      </c>
    </row>
    <row r="650" spans="1:4" x14ac:dyDescent="0.2">
      <c r="A650" s="7" t="s">
        <v>1251</v>
      </c>
      <c r="B650" s="8" t="s">
        <v>1223</v>
      </c>
      <c r="C650" s="5">
        <v>25</v>
      </c>
      <c r="D650" s="5" t="s">
        <v>949</v>
      </c>
    </row>
    <row r="651" spans="1:4" x14ac:dyDescent="0.2">
      <c r="A651" s="7" t="s">
        <v>1252</v>
      </c>
      <c r="B651" s="8" t="s">
        <v>1223</v>
      </c>
      <c r="C651" s="5">
        <v>25</v>
      </c>
      <c r="D651" s="5" t="s">
        <v>949</v>
      </c>
    </row>
    <row r="652" spans="1:4" x14ac:dyDescent="0.2">
      <c r="A652" s="7" t="s">
        <v>1253</v>
      </c>
      <c r="B652" s="8" t="s">
        <v>1223</v>
      </c>
      <c r="C652" s="5">
        <v>25</v>
      </c>
      <c r="D652" s="5" t="s">
        <v>949</v>
      </c>
    </row>
    <row r="653" spans="1:4" x14ac:dyDescent="0.2">
      <c r="A653" s="7" t="s">
        <v>1254</v>
      </c>
      <c r="B653" s="8" t="s">
        <v>1223</v>
      </c>
      <c r="C653" s="5">
        <v>25</v>
      </c>
      <c r="D653" s="5" t="s">
        <v>949</v>
      </c>
    </row>
    <row r="654" spans="1:4" x14ac:dyDescent="0.2">
      <c r="A654" s="7" t="s">
        <v>1255</v>
      </c>
      <c r="B654" s="8" t="s">
        <v>1223</v>
      </c>
      <c r="C654" s="5">
        <v>25</v>
      </c>
      <c r="D654" s="5" t="s">
        <v>949</v>
      </c>
    </row>
    <row r="655" spans="1:4" x14ac:dyDescent="0.2">
      <c r="A655" s="7" t="s">
        <v>1256</v>
      </c>
      <c r="B655" s="8" t="s">
        <v>1223</v>
      </c>
      <c r="C655" s="5">
        <v>25</v>
      </c>
      <c r="D655" s="5" t="s">
        <v>949</v>
      </c>
    </row>
    <row r="656" spans="1:4" x14ac:dyDescent="0.2">
      <c r="A656" s="7" t="s">
        <v>1257</v>
      </c>
      <c r="B656" s="8" t="s">
        <v>1223</v>
      </c>
      <c r="C656" s="5">
        <v>25</v>
      </c>
      <c r="D656" s="5" t="s">
        <v>949</v>
      </c>
    </row>
    <row r="657" spans="1:4" x14ac:dyDescent="0.2">
      <c r="A657" s="7" t="s">
        <v>1258</v>
      </c>
      <c r="B657" s="8" t="s">
        <v>1223</v>
      </c>
      <c r="C657" s="5">
        <v>25</v>
      </c>
      <c r="D657" s="5" t="s">
        <v>949</v>
      </c>
    </row>
    <row r="658" spans="1:4" x14ac:dyDescent="0.2">
      <c r="A658" s="7" t="s">
        <v>1259</v>
      </c>
      <c r="B658" s="8" t="s">
        <v>1223</v>
      </c>
      <c r="C658" s="5">
        <v>25</v>
      </c>
      <c r="D658" s="5" t="s">
        <v>949</v>
      </c>
    </row>
    <row r="659" spans="1:4" x14ac:dyDescent="0.2">
      <c r="A659" s="7" t="s">
        <v>1260</v>
      </c>
      <c r="B659" s="8" t="s">
        <v>1223</v>
      </c>
      <c r="C659" s="5">
        <v>25</v>
      </c>
      <c r="D659" s="5" t="s">
        <v>949</v>
      </c>
    </row>
    <row r="660" spans="1:4" x14ac:dyDescent="0.2">
      <c r="A660" s="7" t="s">
        <v>1261</v>
      </c>
      <c r="B660" s="8" t="s">
        <v>1223</v>
      </c>
      <c r="C660" s="5">
        <v>25</v>
      </c>
      <c r="D660" s="5" t="s">
        <v>949</v>
      </c>
    </row>
    <row r="661" spans="1:4" x14ac:dyDescent="0.2">
      <c r="A661" s="7" t="s">
        <v>1262</v>
      </c>
      <c r="B661" s="8" t="s">
        <v>1223</v>
      </c>
      <c r="C661" s="5">
        <v>25</v>
      </c>
      <c r="D661" s="5" t="s">
        <v>949</v>
      </c>
    </row>
    <row r="662" spans="1:4" x14ac:dyDescent="0.2">
      <c r="A662" s="7" t="s">
        <v>1263</v>
      </c>
      <c r="B662" s="8" t="s">
        <v>1223</v>
      </c>
      <c r="C662" s="5">
        <v>25</v>
      </c>
      <c r="D662" s="5" t="s">
        <v>949</v>
      </c>
    </row>
    <row r="663" spans="1:4" x14ac:dyDescent="0.2">
      <c r="A663" s="7" t="s">
        <v>1264</v>
      </c>
      <c r="B663" s="8" t="s">
        <v>1223</v>
      </c>
      <c r="C663" s="5">
        <v>25</v>
      </c>
      <c r="D663" s="5" t="s">
        <v>949</v>
      </c>
    </row>
    <row r="664" spans="1:4" x14ac:dyDescent="0.2">
      <c r="A664" s="7" t="s">
        <v>1265</v>
      </c>
      <c r="B664" s="15" t="s">
        <v>1266</v>
      </c>
      <c r="C664" s="5">
        <v>25</v>
      </c>
      <c r="D664" s="5" t="s">
        <v>949</v>
      </c>
    </row>
    <row r="665" spans="1:4" x14ac:dyDescent="0.2">
      <c r="A665" s="7" t="s">
        <v>1267</v>
      </c>
      <c r="B665" s="15" t="s">
        <v>1266</v>
      </c>
      <c r="C665" s="5">
        <v>25</v>
      </c>
      <c r="D665" s="5" t="s">
        <v>949</v>
      </c>
    </row>
    <row r="666" spans="1:4" x14ac:dyDescent="0.2">
      <c r="A666" s="7" t="s">
        <v>1268</v>
      </c>
      <c r="B666" s="15" t="s">
        <v>1266</v>
      </c>
      <c r="C666" s="5">
        <v>25</v>
      </c>
      <c r="D666" s="5" t="s">
        <v>949</v>
      </c>
    </row>
    <row r="667" spans="1:4" x14ac:dyDescent="0.2">
      <c r="A667" s="7" t="s">
        <v>1269</v>
      </c>
      <c r="B667" s="15" t="s">
        <v>1266</v>
      </c>
      <c r="C667" s="5">
        <v>25</v>
      </c>
      <c r="D667" s="5" t="s">
        <v>949</v>
      </c>
    </row>
    <row r="668" spans="1:4" x14ac:dyDescent="0.2">
      <c r="A668" s="7" t="s">
        <v>1270</v>
      </c>
      <c r="B668" s="15" t="s">
        <v>1266</v>
      </c>
      <c r="C668" s="5">
        <v>25</v>
      </c>
      <c r="D668" s="5" t="s">
        <v>949</v>
      </c>
    </row>
    <row r="669" spans="1:4" x14ac:dyDescent="0.2">
      <c r="A669" s="7" t="s">
        <v>1271</v>
      </c>
      <c r="B669" s="15" t="s">
        <v>1266</v>
      </c>
      <c r="C669" s="5">
        <v>25</v>
      </c>
      <c r="D669" s="5" t="s">
        <v>949</v>
      </c>
    </row>
    <row r="670" spans="1:4" x14ac:dyDescent="0.2">
      <c r="A670" s="7" t="s">
        <v>1272</v>
      </c>
      <c r="B670" s="15" t="s">
        <v>1266</v>
      </c>
      <c r="C670" s="5">
        <v>25</v>
      </c>
      <c r="D670" s="5" t="s">
        <v>949</v>
      </c>
    </row>
    <row r="671" spans="1:4" x14ac:dyDescent="0.2">
      <c r="A671" s="7" t="s">
        <v>1273</v>
      </c>
      <c r="B671" s="15" t="s">
        <v>1266</v>
      </c>
      <c r="C671" s="5">
        <v>25</v>
      </c>
      <c r="D671" s="5" t="s">
        <v>949</v>
      </c>
    </row>
    <row r="672" spans="1:4" x14ac:dyDescent="0.2">
      <c r="A672" s="7" t="s">
        <v>1274</v>
      </c>
      <c r="B672" s="15" t="s">
        <v>1266</v>
      </c>
      <c r="C672" s="5">
        <v>25</v>
      </c>
      <c r="D672" s="5" t="s">
        <v>949</v>
      </c>
    </row>
    <row r="673" spans="1:4" x14ac:dyDescent="0.2">
      <c r="A673" s="7" t="s">
        <v>1275</v>
      </c>
      <c r="B673" s="15" t="s">
        <v>1266</v>
      </c>
      <c r="C673" s="5">
        <v>25</v>
      </c>
      <c r="D673" s="5" t="s">
        <v>949</v>
      </c>
    </row>
    <row r="674" spans="1:4" x14ac:dyDescent="0.2">
      <c r="A674" s="7" t="s">
        <v>270</v>
      </c>
      <c r="B674" s="15" t="s">
        <v>1266</v>
      </c>
      <c r="C674" s="5">
        <v>25</v>
      </c>
      <c r="D674" s="5" t="s">
        <v>949</v>
      </c>
    </row>
    <row r="675" spans="1:4" x14ac:dyDescent="0.2">
      <c r="A675" s="7" t="s">
        <v>189</v>
      </c>
      <c r="B675" s="15" t="s">
        <v>1266</v>
      </c>
      <c r="C675" s="5">
        <v>25</v>
      </c>
      <c r="D675" s="5" t="s">
        <v>949</v>
      </c>
    </row>
    <row r="676" spans="1:4" x14ac:dyDescent="0.2">
      <c r="A676" s="7" t="s">
        <v>1276</v>
      </c>
      <c r="B676" s="15" t="s">
        <v>1266</v>
      </c>
      <c r="C676" s="5">
        <v>25</v>
      </c>
      <c r="D676" s="5" t="s">
        <v>949</v>
      </c>
    </row>
    <row r="677" spans="1:4" x14ac:dyDescent="0.2">
      <c r="A677" s="7" t="s">
        <v>1277</v>
      </c>
      <c r="B677" s="15" t="s">
        <v>1266</v>
      </c>
      <c r="C677" s="5">
        <v>25</v>
      </c>
      <c r="D677" s="5" t="s">
        <v>949</v>
      </c>
    </row>
    <row r="678" spans="1:4" x14ac:dyDescent="0.2">
      <c r="A678" s="7" t="s">
        <v>406</v>
      </c>
      <c r="B678" s="15" t="s">
        <v>1266</v>
      </c>
      <c r="C678" s="5">
        <v>25</v>
      </c>
      <c r="D678" s="5" t="s">
        <v>949</v>
      </c>
    </row>
    <row r="679" spans="1:4" x14ac:dyDescent="0.2">
      <c r="A679" s="7" t="s">
        <v>246</v>
      </c>
      <c r="B679" s="15" t="s">
        <v>1266</v>
      </c>
      <c r="C679" s="5">
        <v>25</v>
      </c>
      <c r="D679" s="5" t="s">
        <v>949</v>
      </c>
    </row>
    <row r="680" spans="1:4" x14ac:dyDescent="0.2">
      <c r="A680" s="7" t="s">
        <v>1278</v>
      </c>
      <c r="B680" s="15" t="s">
        <v>1266</v>
      </c>
      <c r="C680" s="5">
        <v>25</v>
      </c>
      <c r="D680" s="5" t="s">
        <v>949</v>
      </c>
    </row>
    <row r="681" spans="1:4" x14ac:dyDescent="0.2">
      <c r="A681" s="7" t="s">
        <v>1279</v>
      </c>
      <c r="B681" s="15" t="s">
        <v>1266</v>
      </c>
      <c r="C681" s="5">
        <v>25</v>
      </c>
      <c r="D681" s="5" t="s">
        <v>949</v>
      </c>
    </row>
    <row r="682" spans="1:4" x14ac:dyDescent="0.2">
      <c r="A682" s="7" t="s">
        <v>1280</v>
      </c>
      <c r="B682" s="8" t="s">
        <v>1281</v>
      </c>
      <c r="C682" s="5">
        <v>25</v>
      </c>
      <c r="D682" s="5" t="s">
        <v>949</v>
      </c>
    </row>
    <row r="683" spans="1:4" x14ac:dyDescent="0.2">
      <c r="A683" s="7" t="s">
        <v>1282</v>
      </c>
      <c r="B683" s="8" t="s">
        <v>1281</v>
      </c>
      <c r="C683" s="5">
        <v>25</v>
      </c>
      <c r="D683" s="5" t="s">
        <v>949</v>
      </c>
    </row>
    <row r="684" spans="1:4" x14ac:dyDescent="0.2">
      <c r="A684" s="7" t="s">
        <v>1283</v>
      </c>
      <c r="B684" s="8" t="s">
        <v>1281</v>
      </c>
      <c r="C684" s="5">
        <v>25</v>
      </c>
      <c r="D684" s="5" t="s">
        <v>949</v>
      </c>
    </row>
    <row r="685" spans="1:4" x14ac:dyDescent="0.2">
      <c r="A685" s="7" t="s">
        <v>1284</v>
      </c>
      <c r="B685" s="8" t="s">
        <v>1281</v>
      </c>
      <c r="C685" s="5">
        <v>25</v>
      </c>
      <c r="D685" s="5" t="s">
        <v>949</v>
      </c>
    </row>
    <row r="686" spans="1:4" x14ac:dyDescent="0.2">
      <c r="A686" s="7" t="s">
        <v>1285</v>
      </c>
      <c r="B686" s="8" t="s">
        <v>1281</v>
      </c>
      <c r="C686" s="5">
        <v>25</v>
      </c>
      <c r="D686" s="5" t="s">
        <v>949</v>
      </c>
    </row>
    <row r="687" spans="1:4" x14ac:dyDescent="0.2">
      <c r="A687" s="7" t="s">
        <v>1286</v>
      </c>
      <c r="B687" s="8" t="s">
        <v>1281</v>
      </c>
      <c r="C687" s="5">
        <v>25</v>
      </c>
      <c r="D687" s="5" t="s">
        <v>949</v>
      </c>
    </row>
    <row r="688" spans="1:4" x14ac:dyDescent="0.2">
      <c r="A688" s="7" t="s">
        <v>1287</v>
      </c>
      <c r="B688" s="8" t="s">
        <v>1281</v>
      </c>
      <c r="C688" s="5">
        <v>25</v>
      </c>
      <c r="D688" s="5" t="s">
        <v>949</v>
      </c>
    </row>
    <row r="689" spans="1:4" x14ac:dyDescent="0.2">
      <c r="A689" s="7" t="s">
        <v>1288</v>
      </c>
      <c r="B689" s="8" t="s">
        <v>1281</v>
      </c>
      <c r="C689" s="5">
        <v>25</v>
      </c>
      <c r="D689" s="5" t="s">
        <v>949</v>
      </c>
    </row>
    <row r="690" spans="1:4" x14ac:dyDescent="0.2">
      <c r="A690" s="7" t="s">
        <v>1289</v>
      </c>
      <c r="B690" s="8" t="s">
        <v>1281</v>
      </c>
      <c r="C690" s="5">
        <v>25</v>
      </c>
      <c r="D690" s="5" t="s">
        <v>949</v>
      </c>
    </row>
    <row r="691" spans="1:4" x14ac:dyDescent="0.2">
      <c r="A691" s="7" t="s">
        <v>1290</v>
      </c>
      <c r="B691" s="8" t="s">
        <v>1281</v>
      </c>
      <c r="C691" s="5">
        <v>25</v>
      </c>
      <c r="D691" s="5" t="s">
        <v>949</v>
      </c>
    </row>
    <row r="692" spans="1:4" x14ac:dyDescent="0.2">
      <c r="A692" s="7" t="s">
        <v>1291</v>
      </c>
      <c r="B692" s="8" t="s">
        <v>1281</v>
      </c>
      <c r="C692" s="5">
        <v>25</v>
      </c>
      <c r="D692" s="5" t="s">
        <v>949</v>
      </c>
    </row>
    <row r="693" spans="1:4" x14ac:dyDescent="0.2">
      <c r="A693" s="7" t="s">
        <v>1292</v>
      </c>
      <c r="B693" s="8" t="s">
        <v>1281</v>
      </c>
      <c r="C693" s="5">
        <v>25</v>
      </c>
      <c r="D693" s="5" t="s">
        <v>949</v>
      </c>
    </row>
    <row r="694" spans="1:4" x14ac:dyDescent="0.2">
      <c r="A694" s="7" t="s">
        <v>1293</v>
      </c>
      <c r="B694" s="8" t="s">
        <v>1281</v>
      </c>
      <c r="C694" s="5">
        <v>25</v>
      </c>
      <c r="D694" s="5" t="s">
        <v>949</v>
      </c>
    </row>
    <row r="695" spans="1:4" x14ac:dyDescent="0.2">
      <c r="A695" s="7" t="s">
        <v>1294</v>
      </c>
      <c r="B695" s="8" t="s">
        <v>1281</v>
      </c>
      <c r="C695" s="5">
        <v>25</v>
      </c>
      <c r="D695" s="5" t="s">
        <v>949</v>
      </c>
    </row>
    <row r="696" spans="1:4" x14ac:dyDescent="0.2">
      <c r="A696" s="7" t="s">
        <v>1295</v>
      </c>
      <c r="B696" s="8" t="s">
        <v>1281</v>
      </c>
      <c r="C696" s="5">
        <v>25</v>
      </c>
      <c r="D696" s="5" t="s">
        <v>949</v>
      </c>
    </row>
    <row r="697" spans="1:4" x14ac:dyDescent="0.2">
      <c r="A697" s="7" t="s">
        <v>1296</v>
      </c>
      <c r="B697" s="8" t="s">
        <v>1281</v>
      </c>
      <c r="C697" s="5">
        <v>25</v>
      </c>
      <c r="D697" s="5" t="s">
        <v>949</v>
      </c>
    </row>
    <row r="698" spans="1:4" x14ac:dyDescent="0.2">
      <c r="A698" s="7" t="s">
        <v>1297</v>
      </c>
      <c r="B698" s="8" t="s">
        <v>1281</v>
      </c>
      <c r="C698" s="5">
        <v>25</v>
      </c>
      <c r="D698" s="5" t="s">
        <v>949</v>
      </c>
    </row>
    <row r="699" spans="1:4" x14ac:dyDescent="0.2">
      <c r="A699" s="7" t="s">
        <v>1298</v>
      </c>
      <c r="B699" s="8" t="s">
        <v>1281</v>
      </c>
      <c r="C699" s="5">
        <v>25</v>
      </c>
      <c r="D699" s="5" t="s">
        <v>949</v>
      </c>
    </row>
    <row r="700" spans="1:4" x14ac:dyDescent="0.2">
      <c r="A700" s="7" t="s">
        <v>1299</v>
      </c>
      <c r="B700" s="8" t="s">
        <v>1281</v>
      </c>
      <c r="C700" s="5">
        <v>25</v>
      </c>
      <c r="D700" s="5" t="s">
        <v>949</v>
      </c>
    </row>
    <row r="701" spans="1:4" x14ac:dyDescent="0.2">
      <c r="A701" s="7" t="s">
        <v>1300</v>
      </c>
      <c r="B701" s="8" t="s">
        <v>1281</v>
      </c>
      <c r="C701" s="5">
        <v>25</v>
      </c>
      <c r="D701" s="5" t="s">
        <v>949</v>
      </c>
    </row>
    <row r="702" spans="1:4" x14ac:dyDescent="0.2">
      <c r="A702" s="7" t="s">
        <v>1301</v>
      </c>
      <c r="B702" s="8" t="s">
        <v>1281</v>
      </c>
      <c r="C702" s="5">
        <v>25</v>
      </c>
      <c r="D702" s="5" t="s">
        <v>949</v>
      </c>
    </row>
    <row r="703" spans="1:4" x14ac:dyDescent="0.2">
      <c r="A703" s="7" t="s">
        <v>1302</v>
      </c>
      <c r="B703" s="8" t="s">
        <v>1281</v>
      </c>
      <c r="C703" s="5">
        <v>25</v>
      </c>
      <c r="D703" s="5" t="s">
        <v>949</v>
      </c>
    </row>
    <row r="704" spans="1:4" x14ac:dyDescent="0.2">
      <c r="A704" s="7" t="s">
        <v>1303</v>
      </c>
      <c r="B704" s="8" t="s">
        <v>1281</v>
      </c>
      <c r="C704" s="5">
        <v>25</v>
      </c>
      <c r="D704" s="5" t="s">
        <v>949</v>
      </c>
    </row>
    <row r="705" spans="1:4" x14ac:dyDescent="0.2">
      <c r="A705" s="7" t="s">
        <v>1304</v>
      </c>
      <c r="B705" s="8" t="s">
        <v>1281</v>
      </c>
      <c r="C705" s="5">
        <v>25</v>
      </c>
      <c r="D705" s="5" t="s">
        <v>949</v>
      </c>
    </row>
    <row r="706" spans="1:4" x14ac:dyDescent="0.2">
      <c r="A706" s="7" t="s">
        <v>1305</v>
      </c>
      <c r="B706" s="8" t="s">
        <v>1281</v>
      </c>
      <c r="C706" s="5">
        <v>25</v>
      </c>
      <c r="D706" s="5" t="s">
        <v>949</v>
      </c>
    </row>
    <row r="707" spans="1:4" x14ac:dyDescent="0.2">
      <c r="A707" s="7" t="s">
        <v>1306</v>
      </c>
      <c r="B707" s="8" t="s">
        <v>1281</v>
      </c>
      <c r="C707" s="5">
        <v>25</v>
      </c>
      <c r="D707" s="5" t="s">
        <v>949</v>
      </c>
    </row>
    <row r="708" spans="1:4" x14ac:dyDescent="0.2">
      <c r="A708" s="7" t="s">
        <v>1307</v>
      </c>
      <c r="B708" s="8" t="s">
        <v>1281</v>
      </c>
      <c r="C708" s="5">
        <v>25</v>
      </c>
      <c r="D708" s="5" t="s">
        <v>949</v>
      </c>
    </row>
    <row r="709" spans="1:4" x14ac:dyDescent="0.2">
      <c r="A709" s="7" t="s">
        <v>290</v>
      </c>
      <c r="B709" s="8" t="s">
        <v>1281</v>
      </c>
      <c r="C709" s="5">
        <v>25</v>
      </c>
      <c r="D709" s="5" t="s">
        <v>949</v>
      </c>
    </row>
    <row r="710" spans="1:4" x14ac:dyDescent="0.2">
      <c r="A710" s="7" t="s">
        <v>1308</v>
      </c>
      <c r="B710" s="8" t="s">
        <v>1281</v>
      </c>
      <c r="C710" s="5">
        <v>25</v>
      </c>
      <c r="D710" s="5" t="s">
        <v>949</v>
      </c>
    </row>
    <row r="711" spans="1:4" x14ac:dyDescent="0.2">
      <c r="A711" s="7" t="s">
        <v>1309</v>
      </c>
      <c r="B711" s="8" t="s">
        <v>1281</v>
      </c>
      <c r="C711" s="5">
        <v>25</v>
      </c>
      <c r="D711" s="5" t="s">
        <v>949</v>
      </c>
    </row>
    <row r="712" spans="1:4" x14ac:dyDescent="0.2">
      <c r="A712" s="7" t="s">
        <v>1310</v>
      </c>
      <c r="B712" s="8" t="s">
        <v>1281</v>
      </c>
      <c r="C712" s="5">
        <v>25</v>
      </c>
      <c r="D712" s="5" t="s">
        <v>949</v>
      </c>
    </row>
    <row r="713" spans="1:4" x14ac:dyDescent="0.2">
      <c r="A713" s="7" t="s">
        <v>287</v>
      </c>
      <c r="B713" s="8" t="s">
        <v>1281</v>
      </c>
      <c r="C713" s="5">
        <v>25</v>
      </c>
      <c r="D713" s="5" t="s">
        <v>949</v>
      </c>
    </row>
    <row r="714" spans="1:4" x14ac:dyDescent="0.2">
      <c r="A714" s="7" t="s">
        <v>1311</v>
      </c>
      <c r="B714" s="8" t="s">
        <v>1281</v>
      </c>
      <c r="C714" s="5">
        <v>25</v>
      </c>
      <c r="D714" s="5" t="s">
        <v>949</v>
      </c>
    </row>
    <row r="715" spans="1:4" x14ac:dyDescent="0.2">
      <c r="A715" s="7" t="s">
        <v>1312</v>
      </c>
      <c r="B715" s="8" t="s">
        <v>1281</v>
      </c>
      <c r="C715" s="5">
        <v>25</v>
      </c>
      <c r="D715" s="5" t="s">
        <v>949</v>
      </c>
    </row>
    <row r="716" spans="1:4" x14ac:dyDescent="0.2">
      <c r="A716" s="7" t="s">
        <v>508</v>
      </c>
      <c r="B716" s="8" t="s">
        <v>1281</v>
      </c>
      <c r="C716" s="5">
        <v>25</v>
      </c>
      <c r="D716" s="5" t="s">
        <v>949</v>
      </c>
    </row>
    <row r="717" spans="1:4" x14ac:dyDescent="0.2">
      <c r="A717" s="7" t="s">
        <v>1313</v>
      </c>
      <c r="B717" s="8" t="s">
        <v>1281</v>
      </c>
      <c r="C717" s="5">
        <v>25</v>
      </c>
      <c r="D717" s="5" t="s">
        <v>949</v>
      </c>
    </row>
    <row r="718" spans="1:4" x14ac:dyDescent="0.2">
      <c r="A718" s="7" t="s">
        <v>197</v>
      </c>
      <c r="B718" s="8" t="s">
        <v>1281</v>
      </c>
      <c r="C718" s="5">
        <v>25</v>
      </c>
      <c r="D718" s="5" t="s">
        <v>949</v>
      </c>
    </row>
    <row r="719" spans="1:4" x14ac:dyDescent="0.2">
      <c r="A719" s="7" t="s">
        <v>1314</v>
      </c>
      <c r="B719" s="8" t="s">
        <v>1281</v>
      </c>
      <c r="C719" s="5">
        <v>25</v>
      </c>
      <c r="D719" s="5" t="s">
        <v>949</v>
      </c>
    </row>
    <row r="720" spans="1:4" x14ac:dyDescent="0.2">
      <c r="A720" s="7" t="s">
        <v>1315</v>
      </c>
      <c r="B720" s="8" t="s">
        <v>1281</v>
      </c>
      <c r="C720" s="5">
        <v>25</v>
      </c>
      <c r="D720" s="5" t="s">
        <v>949</v>
      </c>
    </row>
    <row r="721" spans="1:4" x14ac:dyDescent="0.2">
      <c r="A721" s="7" t="s">
        <v>1316</v>
      </c>
      <c r="B721" s="8" t="s">
        <v>1281</v>
      </c>
      <c r="C721" s="5">
        <v>25</v>
      </c>
      <c r="D721" s="5" t="s">
        <v>949</v>
      </c>
    </row>
    <row r="722" spans="1:4" x14ac:dyDescent="0.2">
      <c r="A722" s="7" t="s">
        <v>1317</v>
      </c>
      <c r="B722" s="8" t="s">
        <v>1281</v>
      </c>
      <c r="C722" s="5">
        <v>25</v>
      </c>
      <c r="D722" s="5" t="s">
        <v>949</v>
      </c>
    </row>
    <row r="723" spans="1:4" x14ac:dyDescent="0.2">
      <c r="A723" s="7" t="s">
        <v>1318</v>
      </c>
      <c r="B723" s="8" t="s">
        <v>1281</v>
      </c>
      <c r="C723" s="5">
        <v>25</v>
      </c>
      <c r="D723" s="5" t="s">
        <v>949</v>
      </c>
    </row>
    <row r="724" spans="1:4" x14ac:dyDescent="0.2">
      <c r="A724" s="7" t="s">
        <v>1319</v>
      </c>
      <c r="B724" s="8" t="s">
        <v>1281</v>
      </c>
      <c r="C724" s="5">
        <v>25</v>
      </c>
      <c r="D724" s="5" t="s">
        <v>949</v>
      </c>
    </row>
    <row r="725" spans="1:4" x14ac:dyDescent="0.2">
      <c r="A725" s="7" t="s">
        <v>1320</v>
      </c>
      <c r="B725" s="8" t="s">
        <v>1281</v>
      </c>
      <c r="C725" s="5">
        <v>25</v>
      </c>
      <c r="D725" s="5" t="s">
        <v>949</v>
      </c>
    </row>
    <row r="726" spans="1:4" x14ac:dyDescent="0.2">
      <c r="A726" s="7" t="s">
        <v>1321</v>
      </c>
      <c r="B726" s="8" t="s">
        <v>1281</v>
      </c>
      <c r="C726" s="5">
        <v>25</v>
      </c>
      <c r="D726" s="5" t="s">
        <v>949</v>
      </c>
    </row>
    <row r="727" spans="1:4" x14ac:dyDescent="0.2">
      <c r="A727" s="7" t="s">
        <v>1322</v>
      </c>
      <c r="B727" s="8" t="s">
        <v>1281</v>
      </c>
      <c r="C727" s="5">
        <v>25</v>
      </c>
      <c r="D727" s="5" t="s">
        <v>949</v>
      </c>
    </row>
    <row r="728" spans="1:4" x14ac:dyDescent="0.2">
      <c r="A728" s="7" t="s">
        <v>1323</v>
      </c>
      <c r="B728" s="8" t="s">
        <v>1281</v>
      </c>
      <c r="C728" s="5">
        <v>25</v>
      </c>
      <c r="D728" s="5" t="s">
        <v>949</v>
      </c>
    </row>
    <row r="729" spans="1:4" x14ac:dyDescent="0.2">
      <c r="A729" s="7" t="s">
        <v>1324</v>
      </c>
      <c r="B729" s="8" t="s">
        <v>1281</v>
      </c>
      <c r="C729" s="5">
        <v>25</v>
      </c>
      <c r="D729" s="5" t="s">
        <v>949</v>
      </c>
    </row>
    <row r="730" spans="1:4" x14ac:dyDescent="0.2">
      <c r="A730" s="7" t="s">
        <v>335</v>
      </c>
      <c r="B730" s="8" t="s">
        <v>1281</v>
      </c>
      <c r="C730" s="5">
        <v>25</v>
      </c>
      <c r="D730" s="5" t="s">
        <v>949</v>
      </c>
    </row>
    <row r="731" spans="1:4" x14ac:dyDescent="0.2">
      <c r="A731" s="7" t="s">
        <v>1325</v>
      </c>
      <c r="B731" s="8" t="s">
        <v>1281</v>
      </c>
      <c r="C731" s="5">
        <v>25</v>
      </c>
      <c r="D731" s="5" t="s">
        <v>949</v>
      </c>
    </row>
    <row r="732" spans="1:4" x14ac:dyDescent="0.2">
      <c r="A732" s="7" t="s">
        <v>1326</v>
      </c>
      <c r="B732" s="8" t="s">
        <v>1281</v>
      </c>
      <c r="C732" s="5">
        <v>25</v>
      </c>
      <c r="D732" s="5" t="s">
        <v>949</v>
      </c>
    </row>
    <row r="733" spans="1:4" x14ac:dyDescent="0.2">
      <c r="A733" s="7" t="s">
        <v>1327</v>
      </c>
      <c r="B733" s="8" t="s">
        <v>1281</v>
      </c>
      <c r="C733" s="5">
        <v>25</v>
      </c>
      <c r="D733" s="5" t="s">
        <v>949</v>
      </c>
    </row>
    <row r="734" spans="1:4" x14ac:dyDescent="0.2">
      <c r="A734" s="7" t="s">
        <v>1328</v>
      </c>
      <c r="B734" s="8" t="s">
        <v>1281</v>
      </c>
      <c r="C734" s="5">
        <v>25</v>
      </c>
      <c r="D734" s="5" t="s">
        <v>949</v>
      </c>
    </row>
    <row r="735" spans="1:4" x14ac:dyDescent="0.2">
      <c r="A735" s="7" t="s">
        <v>1329</v>
      </c>
      <c r="B735" s="8" t="s">
        <v>1281</v>
      </c>
      <c r="C735" s="5">
        <v>25</v>
      </c>
      <c r="D735" s="5" t="s">
        <v>949</v>
      </c>
    </row>
    <row r="736" spans="1:4" x14ac:dyDescent="0.2">
      <c r="A736" s="7" t="s">
        <v>1330</v>
      </c>
      <c r="B736" s="8" t="s">
        <v>1281</v>
      </c>
      <c r="C736" s="5">
        <v>25</v>
      </c>
      <c r="D736" s="5" t="s">
        <v>949</v>
      </c>
    </row>
    <row r="737" spans="1:4" x14ac:dyDescent="0.2">
      <c r="A737" s="7" t="s">
        <v>1331</v>
      </c>
      <c r="B737" s="8" t="s">
        <v>1281</v>
      </c>
      <c r="C737" s="5">
        <v>25</v>
      </c>
      <c r="D737" s="5" t="s">
        <v>949</v>
      </c>
    </row>
    <row r="738" spans="1:4" x14ac:dyDescent="0.2">
      <c r="A738" s="7" t="s">
        <v>1332</v>
      </c>
      <c r="B738" s="8" t="s">
        <v>1281</v>
      </c>
      <c r="C738" s="5">
        <v>25</v>
      </c>
      <c r="D738" s="5" t="s">
        <v>949</v>
      </c>
    </row>
    <row r="739" spans="1:4" x14ac:dyDescent="0.2">
      <c r="A739" s="7" t="s">
        <v>1333</v>
      </c>
      <c r="B739" s="8" t="s">
        <v>1281</v>
      </c>
      <c r="C739" s="5">
        <v>25</v>
      </c>
      <c r="D739" s="5" t="s">
        <v>949</v>
      </c>
    </row>
    <row r="740" spans="1:4" x14ac:dyDescent="0.2">
      <c r="A740" s="7" t="s">
        <v>1334</v>
      </c>
      <c r="B740" s="8" t="s">
        <v>1281</v>
      </c>
      <c r="C740" s="5">
        <v>25</v>
      </c>
      <c r="D740" s="5" t="s">
        <v>949</v>
      </c>
    </row>
    <row r="741" spans="1:4" x14ac:dyDescent="0.2">
      <c r="A741" s="7" t="s">
        <v>1335</v>
      </c>
      <c r="B741" s="8" t="s">
        <v>1281</v>
      </c>
      <c r="C741" s="5">
        <v>25</v>
      </c>
      <c r="D741" s="5" t="s">
        <v>949</v>
      </c>
    </row>
    <row r="742" spans="1:4" x14ac:dyDescent="0.2">
      <c r="A742" s="7" t="s">
        <v>1336</v>
      </c>
      <c r="B742" s="8" t="s">
        <v>1281</v>
      </c>
      <c r="C742" s="5">
        <v>25</v>
      </c>
      <c r="D742" s="5" t="s">
        <v>949</v>
      </c>
    </row>
    <row r="743" spans="1:4" x14ac:dyDescent="0.2">
      <c r="A743" s="7" t="s">
        <v>1337</v>
      </c>
      <c r="B743" s="8" t="s">
        <v>1281</v>
      </c>
      <c r="C743" s="5">
        <v>25</v>
      </c>
      <c r="D743" s="5" t="s">
        <v>949</v>
      </c>
    </row>
    <row r="744" spans="1:4" x14ac:dyDescent="0.2">
      <c r="A744" s="7" t="s">
        <v>1338</v>
      </c>
      <c r="B744" s="8" t="s">
        <v>1281</v>
      </c>
      <c r="C744" s="5">
        <v>25</v>
      </c>
      <c r="D744" s="5" t="s">
        <v>949</v>
      </c>
    </row>
    <row r="745" spans="1:4" x14ac:dyDescent="0.2">
      <c r="A745" s="7" t="s">
        <v>1339</v>
      </c>
      <c r="B745" s="8" t="s">
        <v>1281</v>
      </c>
      <c r="C745" s="5">
        <v>25</v>
      </c>
      <c r="D745" s="5" t="s">
        <v>949</v>
      </c>
    </row>
    <row r="746" spans="1:4" x14ac:dyDescent="0.2">
      <c r="A746" s="7" t="s">
        <v>1340</v>
      </c>
      <c r="B746" s="8" t="s">
        <v>1281</v>
      </c>
      <c r="C746" s="5">
        <v>25</v>
      </c>
      <c r="D746" s="5" t="s">
        <v>949</v>
      </c>
    </row>
    <row r="747" spans="1:4" x14ac:dyDescent="0.2">
      <c r="A747" s="7" t="s">
        <v>1341</v>
      </c>
      <c r="B747" s="8" t="s">
        <v>1223</v>
      </c>
      <c r="C747" s="5">
        <v>25</v>
      </c>
      <c r="D747" s="5" t="s">
        <v>949</v>
      </c>
    </row>
    <row r="748" spans="1:4" x14ac:dyDescent="0.2">
      <c r="A748" s="7" t="s">
        <v>1342</v>
      </c>
      <c r="B748" s="8" t="s">
        <v>1223</v>
      </c>
      <c r="C748" s="5">
        <v>25</v>
      </c>
      <c r="D748" s="5" t="s">
        <v>949</v>
      </c>
    </row>
    <row r="749" spans="1:4" x14ac:dyDescent="0.2">
      <c r="A749" s="7" t="s">
        <v>1343</v>
      </c>
      <c r="B749" s="8" t="s">
        <v>1223</v>
      </c>
      <c r="C749" s="5">
        <v>25</v>
      </c>
      <c r="D749" s="5" t="s">
        <v>949</v>
      </c>
    </row>
    <row r="750" spans="1:4" x14ac:dyDescent="0.2">
      <c r="A750" s="7" t="s">
        <v>1344</v>
      </c>
      <c r="B750" s="8" t="s">
        <v>1223</v>
      </c>
      <c r="C750" s="5">
        <v>25</v>
      </c>
      <c r="D750" s="5" t="s">
        <v>949</v>
      </c>
    </row>
    <row r="751" spans="1:4" x14ac:dyDescent="0.2">
      <c r="A751" s="7" t="s">
        <v>1345</v>
      </c>
      <c r="B751" s="8" t="s">
        <v>1223</v>
      </c>
      <c r="C751" s="5">
        <v>25</v>
      </c>
      <c r="D751" s="5" t="s">
        <v>949</v>
      </c>
    </row>
    <row r="752" spans="1:4" x14ac:dyDescent="0.2">
      <c r="A752" s="7" t="s">
        <v>1346</v>
      </c>
      <c r="B752" s="8" t="s">
        <v>1223</v>
      </c>
      <c r="C752" s="5">
        <v>25</v>
      </c>
      <c r="D752" s="5" t="s">
        <v>949</v>
      </c>
    </row>
    <row r="753" spans="1:4" x14ac:dyDescent="0.2">
      <c r="A753" s="7" t="s">
        <v>1347</v>
      </c>
      <c r="B753" s="8" t="s">
        <v>1223</v>
      </c>
      <c r="C753" s="5">
        <v>25</v>
      </c>
      <c r="D753" s="5" t="s">
        <v>949</v>
      </c>
    </row>
    <row r="754" spans="1:4" x14ac:dyDescent="0.2">
      <c r="A754" s="7" t="s">
        <v>1348</v>
      </c>
      <c r="B754" s="8" t="s">
        <v>1223</v>
      </c>
      <c r="C754" s="5">
        <v>25</v>
      </c>
      <c r="D754" s="5" t="s">
        <v>949</v>
      </c>
    </row>
    <row r="755" spans="1:4" x14ac:dyDescent="0.2">
      <c r="A755" s="7" t="s">
        <v>1349</v>
      </c>
      <c r="B755" s="8" t="s">
        <v>1223</v>
      </c>
      <c r="C755" s="5">
        <v>25</v>
      </c>
      <c r="D755" s="5" t="s">
        <v>949</v>
      </c>
    </row>
    <row r="756" spans="1:4" x14ac:dyDescent="0.2">
      <c r="A756" s="7" t="s">
        <v>1350</v>
      </c>
      <c r="B756" s="8" t="s">
        <v>1223</v>
      </c>
      <c r="C756" s="5">
        <v>25</v>
      </c>
      <c r="D756" s="5" t="s">
        <v>949</v>
      </c>
    </row>
    <row r="757" spans="1:4" x14ac:dyDescent="0.2">
      <c r="A757" s="7" t="s">
        <v>1351</v>
      </c>
      <c r="B757" s="8" t="s">
        <v>1223</v>
      </c>
      <c r="C757" s="5">
        <v>25</v>
      </c>
      <c r="D757" s="5" t="s">
        <v>949</v>
      </c>
    </row>
    <row r="758" spans="1:4" x14ac:dyDescent="0.2">
      <c r="A758" s="7" t="s">
        <v>1352</v>
      </c>
      <c r="B758" s="8" t="s">
        <v>1223</v>
      </c>
      <c r="C758" s="5">
        <v>25</v>
      </c>
      <c r="D758" s="5" t="s">
        <v>949</v>
      </c>
    </row>
    <row r="759" spans="1:4" x14ac:dyDescent="0.2">
      <c r="A759" s="7" t="s">
        <v>1353</v>
      </c>
      <c r="B759" s="8" t="s">
        <v>1223</v>
      </c>
      <c r="C759" s="5">
        <v>25</v>
      </c>
      <c r="D759" s="5" t="s">
        <v>949</v>
      </c>
    </row>
    <row r="760" spans="1:4" x14ac:dyDescent="0.2">
      <c r="A760" s="7" t="s">
        <v>1354</v>
      </c>
      <c r="B760" s="8" t="s">
        <v>1223</v>
      </c>
      <c r="C760" s="5">
        <v>25</v>
      </c>
      <c r="D760" s="5" t="s">
        <v>949</v>
      </c>
    </row>
    <row r="761" spans="1:4" x14ac:dyDescent="0.2">
      <c r="A761" s="7" t="s">
        <v>1355</v>
      </c>
      <c r="B761" s="8" t="s">
        <v>1223</v>
      </c>
      <c r="C761" s="5">
        <v>25</v>
      </c>
      <c r="D761" s="5" t="s">
        <v>949</v>
      </c>
    </row>
    <row r="762" spans="1:4" x14ac:dyDescent="0.2">
      <c r="A762" s="7" t="s">
        <v>1356</v>
      </c>
      <c r="B762" s="8" t="s">
        <v>1223</v>
      </c>
      <c r="C762" s="5">
        <v>25</v>
      </c>
      <c r="D762" s="5" t="s">
        <v>949</v>
      </c>
    </row>
    <row r="763" spans="1:4" x14ac:dyDescent="0.2">
      <c r="A763" s="7" t="s">
        <v>1357</v>
      </c>
      <c r="B763" s="8" t="s">
        <v>1223</v>
      </c>
      <c r="C763" s="5">
        <v>25</v>
      </c>
      <c r="D763" s="5" t="s">
        <v>949</v>
      </c>
    </row>
    <row r="764" spans="1:4" x14ac:dyDescent="0.2">
      <c r="A764" s="7" t="s">
        <v>1358</v>
      </c>
      <c r="B764" s="8" t="s">
        <v>1223</v>
      </c>
      <c r="C764" s="5">
        <v>25</v>
      </c>
      <c r="D764" s="5" t="s">
        <v>949</v>
      </c>
    </row>
    <row r="765" spans="1:4" x14ac:dyDescent="0.2">
      <c r="A765" s="7" t="s">
        <v>1359</v>
      </c>
      <c r="B765" s="8" t="s">
        <v>1223</v>
      </c>
      <c r="C765" s="5">
        <v>25</v>
      </c>
      <c r="D765" s="5" t="s">
        <v>949</v>
      </c>
    </row>
    <row r="766" spans="1:4" x14ac:dyDescent="0.2">
      <c r="A766" s="7" t="s">
        <v>1360</v>
      </c>
      <c r="B766" s="8" t="s">
        <v>1223</v>
      </c>
      <c r="C766" s="5">
        <v>25</v>
      </c>
      <c r="D766" s="5" t="s">
        <v>949</v>
      </c>
    </row>
    <row r="767" spans="1:4" x14ac:dyDescent="0.2">
      <c r="A767" s="7" t="s">
        <v>1361</v>
      </c>
      <c r="B767" s="8" t="s">
        <v>1223</v>
      </c>
      <c r="C767" s="5">
        <v>25</v>
      </c>
      <c r="D767" s="5" t="s">
        <v>949</v>
      </c>
    </row>
    <row r="768" spans="1:4" x14ac:dyDescent="0.2">
      <c r="A768" s="7" t="s">
        <v>1362</v>
      </c>
      <c r="B768" s="8" t="s">
        <v>1223</v>
      </c>
      <c r="C768" s="5">
        <v>25</v>
      </c>
      <c r="D768" s="5" t="s">
        <v>949</v>
      </c>
    </row>
    <row r="769" spans="1:4" x14ac:dyDescent="0.2">
      <c r="A769" s="7" t="s">
        <v>1363</v>
      </c>
      <c r="B769" s="8" t="s">
        <v>1223</v>
      </c>
      <c r="C769" s="5">
        <v>25</v>
      </c>
      <c r="D769" s="5" t="s">
        <v>949</v>
      </c>
    </row>
    <row r="770" spans="1:4" x14ac:dyDescent="0.2">
      <c r="A770" s="7" t="s">
        <v>1364</v>
      </c>
      <c r="B770" s="8" t="s">
        <v>1223</v>
      </c>
      <c r="C770" s="5">
        <v>25</v>
      </c>
      <c r="D770" s="5" t="s">
        <v>949</v>
      </c>
    </row>
    <row r="771" spans="1:4" x14ac:dyDescent="0.2">
      <c r="A771" s="7" t="s">
        <v>1365</v>
      </c>
      <c r="B771" s="8" t="s">
        <v>1223</v>
      </c>
      <c r="C771" s="5">
        <v>25</v>
      </c>
      <c r="D771" s="5" t="s">
        <v>949</v>
      </c>
    </row>
    <row r="772" spans="1:4" x14ac:dyDescent="0.2">
      <c r="A772" s="7" t="s">
        <v>1366</v>
      </c>
      <c r="B772" s="8" t="s">
        <v>1223</v>
      </c>
      <c r="C772" s="5">
        <v>25</v>
      </c>
      <c r="D772" s="5" t="s">
        <v>949</v>
      </c>
    </row>
    <row r="773" spans="1:4" x14ac:dyDescent="0.2">
      <c r="A773" s="7" t="s">
        <v>1367</v>
      </c>
      <c r="B773" s="8" t="s">
        <v>1223</v>
      </c>
      <c r="C773" s="5">
        <v>25</v>
      </c>
      <c r="D773" s="5" t="s">
        <v>949</v>
      </c>
    </row>
    <row r="774" spans="1:4" x14ac:dyDescent="0.2">
      <c r="A774" s="7" t="s">
        <v>1368</v>
      </c>
      <c r="B774" s="8" t="s">
        <v>1223</v>
      </c>
      <c r="C774" s="5">
        <v>25</v>
      </c>
      <c r="D774" s="5" t="s">
        <v>949</v>
      </c>
    </row>
    <row r="775" spans="1:4" x14ac:dyDescent="0.2">
      <c r="A775" s="7" t="s">
        <v>1369</v>
      </c>
      <c r="B775" s="8" t="s">
        <v>1223</v>
      </c>
      <c r="C775" s="5">
        <v>25</v>
      </c>
      <c r="D775" s="5" t="s">
        <v>949</v>
      </c>
    </row>
    <row r="776" spans="1:4" x14ac:dyDescent="0.2">
      <c r="A776" s="7" t="s">
        <v>1370</v>
      </c>
      <c r="B776" s="8" t="s">
        <v>1223</v>
      </c>
      <c r="C776" s="5">
        <v>25</v>
      </c>
      <c r="D776" s="5" t="s">
        <v>949</v>
      </c>
    </row>
    <row r="777" spans="1:4" x14ac:dyDescent="0.2">
      <c r="A777" s="7" t="s">
        <v>1371</v>
      </c>
      <c r="B777" s="8" t="s">
        <v>1223</v>
      </c>
      <c r="C777" s="5">
        <v>25</v>
      </c>
      <c r="D777" s="5" t="s">
        <v>949</v>
      </c>
    </row>
    <row r="778" spans="1:4" x14ac:dyDescent="0.2">
      <c r="A778" s="7" t="s">
        <v>1372</v>
      </c>
      <c r="B778" s="8" t="s">
        <v>1223</v>
      </c>
      <c r="C778" s="5">
        <v>25</v>
      </c>
      <c r="D778" s="5" t="s">
        <v>949</v>
      </c>
    </row>
    <row r="779" spans="1:4" x14ac:dyDescent="0.2">
      <c r="A779" s="7" t="s">
        <v>1373</v>
      </c>
      <c r="B779" s="8" t="s">
        <v>1223</v>
      </c>
      <c r="C779" s="5">
        <v>25</v>
      </c>
      <c r="D779" s="5" t="s">
        <v>949</v>
      </c>
    </row>
    <row r="780" spans="1:4" x14ac:dyDescent="0.2">
      <c r="A780" s="7" t="s">
        <v>1374</v>
      </c>
      <c r="B780" s="8" t="s">
        <v>1223</v>
      </c>
      <c r="C780" s="5">
        <v>25</v>
      </c>
      <c r="D780" s="5" t="s">
        <v>949</v>
      </c>
    </row>
    <row r="781" spans="1:4" x14ac:dyDescent="0.2">
      <c r="A781" s="7" t="s">
        <v>1375</v>
      </c>
      <c r="B781" s="8" t="s">
        <v>1223</v>
      </c>
      <c r="C781" s="5">
        <v>25</v>
      </c>
      <c r="D781" s="5" t="s">
        <v>949</v>
      </c>
    </row>
    <row r="782" spans="1:4" x14ac:dyDescent="0.2">
      <c r="A782" s="7" t="s">
        <v>1376</v>
      </c>
      <c r="B782" s="8" t="s">
        <v>1223</v>
      </c>
      <c r="C782" s="5">
        <v>25</v>
      </c>
      <c r="D782" s="5" t="s">
        <v>949</v>
      </c>
    </row>
    <row r="783" spans="1:4" x14ac:dyDescent="0.2">
      <c r="A783" s="7" t="s">
        <v>1377</v>
      </c>
      <c r="B783" s="8" t="s">
        <v>1223</v>
      </c>
      <c r="C783" s="5">
        <v>25</v>
      </c>
      <c r="D783" s="5" t="s">
        <v>949</v>
      </c>
    </row>
    <row r="784" spans="1:4" x14ac:dyDescent="0.2">
      <c r="A784" s="7" t="s">
        <v>1378</v>
      </c>
      <c r="B784" s="8" t="s">
        <v>1223</v>
      </c>
      <c r="C784" s="5">
        <v>25</v>
      </c>
      <c r="D784" s="5" t="s">
        <v>949</v>
      </c>
    </row>
    <row r="785" spans="1:4" x14ac:dyDescent="0.2">
      <c r="A785" s="7" t="s">
        <v>1379</v>
      </c>
      <c r="B785" s="8" t="s">
        <v>1223</v>
      </c>
      <c r="C785" s="5">
        <v>25</v>
      </c>
      <c r="D785" s="5" t="s">
        <v>949</v>
      </c>
    </row>
    <row r="786" spans="1:4" x14ac:dyDescent="0.2">
      <c r="A786" s="7" t="s">
        <v>1380</v>
      </c>
      <c r="B786" s="8" t="s">
        <v>1223</v>
      </c>
      <c r="C786" s="5">
        <v>25</v>
      </c>
      <c r="D786" s="5" t="s">
        <v>949</v>
      </c>
    </row>
    <row r="787" spans="1:4" x14ac:dyDescent="0.2">
      <c r="A787" s="7" t="s">
        <v>1381</v>
      </c>
      <c r="B787" s="8" t="s">
        <v>1223</v>
      </c>
      <c r="C787" s="5">
        <v>25</v>
      </c>
      <c r="D787" s="5" t="s">
        <v>949</v>
      </c>
    </row>
    <row r="788" spans="1:4" x14ac:dyDescent="0.2">
      <c r="A788" s="7" t="s">
        <v>1382</v>
      </c>
      <c r="B788" s="8" t="s">
        <v>1223</v>
      </c>
      <c r="C788" s="5">
        <v>25</v>
      </c>
      <c r="D788" s="5" t="s">
        <v>949</v>
      </c>
    </row>
    <row r="789" spans="1:4" x14ac:dyDescent="0.2">
      <c r="A789" s="7" t="s">
        <v>1383</v>
      </c>
      <c r="B789" s="8" t="s">
        <v>1223</v>
      </c>
      <c r="C789" s="5">
        <v>25</v>
      </c>
      <c r="D789" s="5" t="s">
        <v>949</v>
      </c>
    </row>
    <row r="790" spans="1:4" x14ac:dyDescent="0.2">
      <c r="A790" s="7" t="s">
        <v>1384</v>
      </c>
      <c r="B790" s="8" t="s">
        <v>1223</v>
      </c>
      <c r="C790" s="5">
        <v>25</v>
      </c>
      <c r="D790" s="5" t="s">
        <v>949</v>
      </c>
    </row>
    <row r="791" spans="1:4" x14ac:dyDescent="0.2">
      <c r="A791" s="7" t="s">
        <v>1385</v>
      </c>
      <c r="B791" s="8" t="s">
        <v>1223</v>
      </c>
      <c r="C791" s="5">
        <v>25</v>
      </c>
      <c r="D791" s="5" t="s">
        <v>949</v>
      </c>
    </row>
    <row r="792" spans="1:4" x14ac:dyDescent="0.2">
      <c r="A792" s="7" t="s">
        <v>1386</v>
      </c>
      <c r="B792" s="8" t="s">
        <v>1223</v>
      </c>
      <c r="C792" s="5">
        <v>25</v>
      </c>
      <c r="D792" s="5" t="s">
        <v>949</v>
      </c>
    </row>
    <row r="793" spans="1:4" x14ac:dyDescent="0.2">
      <c r="A793" s="7" t="s">
        <v>1387</v>
      </c>
      <c r="B793" s="8" t="s">
        <v>1223</v>
      </c>
      <c r="C793" s="5">
        <v>25</v>
      </c>
      <c r="D793" s="5" t="s">
        <v>949</v>
      </c>
    </row>
    <row r="794" spans="1:4" x14ac:dyDescent="0.2">
      <c r="A794" s="7" t="s">
        <v>1388</v>
      </c>
      <c r="B794" s="8" t="s">
        <v>1223</v>
      </c>
      <c r="C794" s="5">
        <v>25</v>
      </c>
      <c r="D794" s="5" t="s">
        <v>949</v>
      </c>
    </row>
    <row r="795" spans="1:4" x14ac:dyDescent="0.2">
      <c r="A795" s="7" t="s">
        <v>1389</v>
      </c>
      <c r="B795" s="8" t="s">
        <v>1223</v>
      </c>
      <c r="C795" s="5">
        <v>25</v>
      </c>
      <c r="D795" s="5" t="s">
        <v>949</v>
      </c>
    </row>
    <row r="796" spans="1:4" x14ac:dyDescent="0.2">
      <c r="A796" s="7" t="s">
        <v>1390</v>
      </c>
      <c r="B796" s="8" t="s">
        <v>1223</v>
      </c>
      <c r="C796" s="5">
        <v>25</v>
      </c>
      <c r="D796" s="5" t="s">
        <v>949</v>
      </c>
    </row>
    <row r="797" spans="1:4" x14ac:dyDescent="0.2">
      <c r="A797" s="7" t="s">
        <v>1391</v>
      </c>
      <c r="B797" s="8" t="s">
        <v>1223</v>
      </c>
      <c r="C797" s="5">
        <v>25</v>
      </c>
      <c r="D797" s="5" t="s">
        <v>949</v>
      </c>
    </row>
    <row r="798" spans="1:4" x14ac:dyDescent="0.2">
      <c r="A798" s="7" t="s">
        <v>1392</v>
      </c>
      <c r="B798" s="8" t="s">
        <v>1223</v>
      </c>
      <c r="C798" s="5">
        <v>25</v>
      </c>
      <c r="D798" s="5" t="s">
        <v>949</v>
      </c>
    </row>
    <row r="799" spans="1:4" x14ac:dyDescent="0.2">
      <c r="A799" s="7" t="s">
        <v>1393</v>
      </c>
      <c r="B799" s="8" t="s">
        <v>1223</v>
      </c>
      <c r="C799" s="5">
        <v>25</v>
      </c>
      <c r="D799" s="5" t="s">
        <v>949</v>
      </c>
    </row>
    <row r="800" spans="1:4" x14ac:dyDescent="0.2">
      <c r="A800" s="7" t="s">
        <v>1394</v>
      </c>
      <c r="B800" s="8" t="s">
        <v>1223</v>
      </c>
      <c r="C800" s="5">
        <v>25</v>
      </c>
      <c r="D800" s="5" t="s">
        <v>949</v>
      </c>
    </row>
    <row r="801" spans="1:4" x14ac:dyDescent="0.2">
      <c r="A801" s="7" t="s">
        <v>1395</v>
      </c>
      <c r="B801" s="8" t="s">
        <v>1223</v>
      </c>
      <c r="C801" s="5">
        <v>25</v>
      </c>
      <c r="D801" s="5" t="s">
        <v>949</v>
      </c>
    </row>
    <row r="802" spans="1:4" x14ac:dyDescent="0.2">
      <c r="A802" s="7" t="s">
        <v>1396</v>
      </c>
      <c r="B802" s="8" t="s">
        <v>1223</v>
      </c>
      <c r="C802" s="5">
        <v>25</v>
      </c>
      <c r="D802" s="5" t="s">
        <v>949</v>
      </c>
    </row>
    <row r="803" spans="1:4" x14ac:dyDescent="0.2">
      <c r="A803" s="7" t="s">
        <v>1397</v>
      </c>
      <c r="B803" s="8" t="s">
        <v>1223</v>
      </c>
      <c r="C803" s="5">
        <v>25</v>
      </c>
      <c r="D803" s="5" t="s">
        <v>949</v>
      </c>
    </row>
    <row r="804" spans="1:4" x14ac:dyDescent="0.2">
      <c r="A804" s="7" t="s">
        <v>1398</v>
      </c>
      <c r="B804" s="8" t="s">
        <v>1223</v>
      </c>
      <c r="C804" s="5">
        <v>25</v>
      </c>
      <c r="D804" s="5" t="s">
        <v>949</v>
      </c>
    </row>
    <row r="805" spans="1:4" x14ac:dyDescent="0.2">
      <c r="A805" s="7" t="s">
        <v>1399</v>
      </c>
      <c r="B805" s="8" t="s">
        <v>1223</v>
      </c>
      <c r="C805" s="5">
        <v>25</v>
      </c>
      <c r="D805" s="5" t="s">
        <v>949</v>
      </c>
    </row>
    <row r="806" spans="1:4" x14ac:dyDescent="0.2">
      <c r="A806" s="7" t="s">
        <v>1400</v>
      </c>
      <c r="B806" s="8" t="s">
        <v>1223</v>
      </c>
      <c r="C806" s="5">
        <v>25</v>
      </c>
      <c r="D806" s="5" t="s">
        <v>949</v>
      </c>
    </row>
    <row r="807" spans="1:4" x14ac:dyDescent="0.2">
      <c r="A807" s="7" t="s">
        <v>1401</v>
      </c>
      <c r="B807" s="8" t="s">
        <v>1223</v>
      </c>
      <c r="C807" s="5">
        <v>25</v>
      </c>
      <c r="D807" s="5" t="s">
        <v>949</v>
      </c>
    </row>
    <row r="808" spans="1:4" x14ac:dyDescent="0.2">
      <c r="A808" s="7" t="s">
        <v>1402</v>
      </c>
      <c r="B808" s="8" t="s">
        <v>1223</v>
      </c>
      <c r="C808" s="5">
        <v>25</v>
      </c>
      <c r="D808" s="5" t="s">
        <v>949</v>
      </c>
    </row>
    <row r="809" spans="1:4" x14ac:dyDescent="0.2">
      <c r="A809" s="7" t="s">
        <v>1403</v>
      </c>
      <c r="B809" s="8" t="s">
        <v>1223</v>
      </c>
      <c r="C809" s="5">
        <v>25</v>
      </c>
      <c r="D809" s="5" t="s">
        <v>949</v>
      </c>
    </row>
    <row r="810" spans="1:4" x14ac:dyDescent="0.2">
      <c r="A810" s="7" t="s">
        <v>1404</v>
      </c>
      <c r="B810" s="8" t="s">
        <v>1223</v>
      </c>
      <c r="C810" s="5">
        <v>25</v>
      </c>
      <c r="D810" s="5" t="s">
        <v>949</v>
      </c>
    </row>
    <row r="811" spans="1:4" x14ac:dyDescent="0.2">
      <c r="A811" s="7" t="s">
        <v>1405</v>
      </c>
      <c r="B811" s="8" t="s">
        <v>1406</v>
      </c>
      <c r="C811" s="5">
        <v>29</v>
      </c>
      <c r="D811" s="5" t="s">
        <v>1407</v>
      </c>
    </row>
    <row r="812" spans="1:4" x14ac:dyDescent="0.2">
      <c r="A812" s="7" t="s">
        <v>1408</v>
      </c>
      <c r="B812" s="8" t="s">
        <v>1409</v>
      </c>
      <c r="C812" s="5">
        <v>29</v>
      </c>
      <c r="D812" s="5" t="s">
        <v>1407</v>
      </c>
    </row>
    <row r="813" spans="1:4" x14ac:dyDescent="0.2">
      <c r="A813" s="7" t="s">
        <v>1410</v>
      </c>
      <c r="B813" s="8" t="s">
        <v>1409</v>
      </c>
      <c r="C813" s="5">
        <v>29</v>
      </c>
      <c r="D813" s="5" t="s">
        <v>1407</v>
      </c>
    </row>
    <row r="814" spans="1:4" x14ac:dyDescent="0.2">
      <c r="A814" s="7" t="s">
        <v>1411</v>
      </c>
      <c r="B814" s="8" t="s">
        <v>1412</v>
      </c>
      <c r="C814" s="16">
        <v>80</v>
      </c>
      <c r="D814" s="5" t="s">
        <v>1413</v>
      </c>
    </row>
    <row r="815" spans="1:4" x14ac:dyDescent="0.2">
      <c r="A815" s="7" t="s">
        <v>1414</v>
      </c>
      <c r="B815" s="8" t="s">
        <v>1412</v>
      </c>
      <c r="C815" s="16">
        <v>80</v>
      </c>
      <c r="D815" s="5" t="s">
        <v>1413</v>
      </c>
    </row>
    <row r="816" spans="1:4" x14ac:dyDescent="0.2">
      <c r="A816" s="7" t="s">
        <v>1415</v>
      </c>
      <c r="B816" s="8" t="s">
        <v>1412</v>
      </c>
      <c r="C816" s="16">
        <v>80</v>
      </c>
      <c r="D816" s="5" t="s">
        <v>1413</v>
      </c>
    </row>
    <row r="817" spans="1:4" x14ac:dyDescent="0.2">
      <c r="A817" s="7" t="s">
        <v>1416</v>
      </c>
      <c r="B817" s="8" t="s">
        <v>1417</v>
      </c>
      <c r="C817" s="5">
        <v>27</v>
      </c>
      <c r="D817" s="10" t="s">
        <v>1418</v>
      </c>
    </row>
    <row r="818" spans="1:4" x14ac:dyDescent="0.2">
      <c r="A818" s="7" t="s">
        <v>176</v>
      </c>
      <c r="B818" s="8" t="s">
        <v>1417</v>
      </c>
      <c r="C818" s="5">
        <v>27</v>
      </c>
      <c r="D818" s="10" t="s">
        <v>1418</v>
      </c>
    </row>
    <row r="819" spans="1:4" x14ac:dyDescent="0.2">
      <c r="A819" s="7" t="s">
        <v>1419</v>
      </c>
      <c r="B819" s="8" t="s">
        <v>1417</v>
      </c>
      <c r="C819" s="5">
        <v>27</v>
      </c>
      <c r="D819" s="10" t="s">
        <v>1418</v>
      </c>
    </row>
    <row r="820" spans="1:4" x14ac:dyDescent="0.2">
      <c r="A820" s="7" t="s">
        <v>1420</v>
      </c>
      <c r="B820" s="8" t="s">
        <v>1421</v>
      </c>
      <c r="C820" s="5">
        <v>27</v>
      </c>
      <c r="D820" s="10" t="s">
        <v>1418</v>
      </c>
    </row>
    <row r="821" spans="1:4" x14ac:dyDescent="0.2">
      <c r="A821" s="7" t="s">
        <v>1422</v>
      </c>
      <c r="B821" s="8" t="s">
        <v>1421</v>
      </c>
      <c r="C821" s="5">
        <v>27</v>
      </c>
      <c r="D821" s="10" t="s">
        <v>1418</v>
      </c>
    </row>
    <row r="822" spans="1:4" x14ac:dyDescent="0.2">
      <c r="A822" s="7" t="s">
        <v>1423</v>
      </c>
      <c r="B822" s="8" t="s">
        <v>1421</v>
      </c>
      <c r="C822" s="5">
        <v>27</v>
      </c>
      <c r="D822" s="10" t="s">
        <v>1418</v>
      </c>
    </row>
    <row r="823" spans="1:4" x14ac:dyDescent="0.2">
      <c r="A823" s="7" t="s">
        <v>1424</v>
      </c>
      <c r="B823" s="8" t="s">
        <v>1421</v>
      </c>
      <c r="C823" s="5">
        <v>27</v>
      </c>
      <c r="D823" s="10" t="s">
        <v>1418</v>
      </c>
    </row>
    <row r="824" spans="1:4" x14ac:dyDescent="0.2">
      <c r="A824" s="7" t="s">
        <v>1425</v>
      </c>
      <c r="B824" s="8" t="s">
        <v>1421</v>
      </c>
      <c r="C824" s="5">
        <v>27</v>
      </c>
      <c r="D824" s="10" t="s">
        <v>1418</v>
      </c>
    </row>
    <row r="825" spans="1:4" x14ac:dyDescent="0.2">
      <c r="A825" s="7" t="s">
        <v>1426</v>
      </c>
      <c r="B825" s="8" t="s">
        <v>1421</v>
      </c>
      <c r="C825" s="5">
        <v>27</v>
      </c>
      <c r="D825" s="10" t="s">
        <v>1418</v>
      </c>
    </row>
    <row r="826" spans="1:4" x14ac:dyDescent="0.2">
      <c r="A826" s="7" t="s">
        <v>1427</v>
      </c>
      <c r="B826" s="8" t="s">
        <v>1421</v>
      </c>
      <c r="C826" s="5">
        <v>27</v>
      </c>
      <c r="D826" s="10" t="s">
        <v>1418</v>
      </c>
    </row>
    <row r="827" spans="1:4" x14ac:dyDescent="0.2">
      <c r="A827" s="7" t="s">
        <v>1428</v>
      </c>
      <c r="B827" s="8" t="s">
        <v>1421</v>
      </c>
      <c r="C827" s="5">
        <v>27</v>
      </c>
      <c r="D827" s="10" t="s">
        <v>1418</v>
      </c>
    </row>
    <row r="828" spans="1:4" x14ac:dyDescent="0.2">
      <c r="A828" s="7" t="s">
        <v>1429</v>
      </c>
      <c r="B828" s="8" t="s">
        <v>1421</v>
      </c>
      <c r="C828" s="5">
        <v>27</v>
      </c>
      <c r="D828" s="10" t="s">
        <v>1418</v>
      </c>
    </row>
    <row r="829" spans="1:4" x14ac:dyDescent="0.2">
      <c r="A829" s="7" t="s">
        <v>1430</v>
      </c>
      <c r="B829" s="8" t="s">
        <v>1421</v>
      </c>
      <c r="C829" s="5">
        <v>27</v>
      </c>
      <c r="D829" s="10" t="s">
        <v>1418</v>
      </c>
    </row>
    <row r="830" spans="1:4" x14ac:dyDescent="0.2">
      <c r="A830" s="7" t="s">
        <v>1431</v>
      </c>
      <c r="B830" s="8" t="s">
        <v>1421</v>
      </c>
      <c r="C830" s="5">
        <v>27</v>
      </c>
      <c r="D830" s="10" t="s">
        <v>1418</v>
      </c>
    </row>
    <row r="831" spans="1:4" x14ac:dyDescent="0.2">
      <c r="A831" s="7" t="s">
        <v>1432</v>
      </c>
      <c r="B831" s="8" t="s">
        <v>1421</v>
      </c>
      <c r="C831" s="5">
        <v>27</v>
      </c>
      <c r="D831" s="10" t="s">
        <v>1418</v>
      </c>
    </row>
    <row r="832" spans="1:4" x14ac:dyDescent="0.2">
      <c r="A832" s="7" t="s">
        <v>1433</v>
      </c>
      <c r="B832" s="8" t="s">
        <v>1421</v>
      </c>
      <c r="C832" s="5">
        <v>27</v>
      </c>
      <c r="D832" s="10" t="s">
        <v>1418</v>
      </c>
    </row>
    <row r="833" spans="1:4" x14ac:dyDescent="0.2">
      <c r="A833" s="7" t="s">
        <v>1434</v>
      </c>
      <c r="B833" s="8" t="s">
        <v>1421</v>
      </c>
      <c r="C833" s="5">
        <v>27</v>
      </c>
      <c r="D833" s="10" t="s">
        <v>1418</v>
      </c>
    </row>
    <row r="834" spans="1:4" x14ac:dyDescent="0.2">
      <c r="A834" s="7" t="s">
        <v>1435</v>
      </c>
      <c r="B834" s="8" t="s">
        <v>1421</v>
      </c>
      <c r="C834" s="5">
        <v>27</v>
      </c>
      <c r="D834" s="10" t="s">
        <v>1418</v>
      </c>
    </row>
    <row r="835" spans="1:4" x14ac:dyDescent="0.2">
      <c r="A835" s="7" t="s">
        <v>1436</v>
      </c>
      <c r="B835" s="8" t="s">
        <v>1437</v>
      </c>
      <c r="C835" s="5">
        <v>27</v>
      </c>
      <c r="D835" s="10" t="s">
        <v>1418</v>
      </c>
    </row>
    <row r="836" spans="1:4" x14ac:dyDescent="0.2">
      <c r="A836" s="7" t="s">
        <v>321</v>
      </c>
      <c r="B836" s="8" t="s">
        <v>1437</v>
      </c>
      <c r="C836" s="5">
        <v>27</v>
      </c>
      <c r="D836" s="10" t="s">
        <v>1418</v>
      </c>
    </row>
    <row r="837" spans="1:4" x14ac:dyDescent="0.2">
      <c r="A837" s="7" t="s">
        <v>1438</v>
      </c>
      <c r="B837" s="8" t="s">
        <v>1417</v>
      </c>
      <c r="C837" s="5">
        <v>27</v>
      </c>
      <c r="D837" s="10" t="s">
        <v>1418</v>
      </c>
    </row>
    <row r="838" spans="1:4" x14ac:dyDescent="0.2">
      <c r="A838" s="7" t="s">
        <v>178</v>
      </c>
      <c r="B838" s="8" t="s">
        <v>1417</v>
      </c>
      <c r="C838" s="5">
        <v>27</v>
      </c>
      <c r="D838" s="10" t="s">
        <v>1418</v>
      </c>
    </row>
    <row r="839" spans="1:4" x14ac:dyDescent="0.2">
      <c r="A839" s="7" t="s">
        <v>1439</v>
      </c>
      <c r="B839" s="8" t="s">
        <v>1417</v>
      </c>
      <c r="C839" s="5">
        <v>27</v>
      </c>
      <c r="D839" s="10" t="s">
        <v>1418</v>
      </c>
    </row>
    <row r="840" spans="1:4" x14ac:dyDescent="0.2">
      <c r="A840" s="17" t="s">
        <v>1440</v>
      </c>
      <c r="B840" s="18" t="s">
        <v>1441</v>
      </c>
      <c r="C840" s="5">
        <v>29</v>
      </c>
      <c r="D840" s="5" t="s">
        <v>1407</v>
      </c>
    </row>
    <row r="841" spans="1:4" x14ac:dyDescent="0.2">
      <c r="A841" s="17" t="s">
        <v>1442</v>
      </c>
      <c r="B841" s="18" t="s">
        <v>1443</v>
      </c>
      <c r="C841" s="5">
        <v>29</v>
      </c>
      <c r="D841" s="5" t="s">
        <v>1407</v>
      </c>
    </row>
    <row r="842" spans="1:4" x14ac:dyDescent="0.2">
      <c r="A842" s="17" t="s">
        <v>1444</v>
      </c>
      <c r="B842" s="18" t="s">
        <v>1445</v>
      </c>
      <c r="C842" s="5">
        <v>29</v>
      </c>
      <c r="D842" s="5" t="s">
        <v>1407</v>
      </c>
    </row>
    <row r="843" spans="1:4" x14ac:dyDescent="0.2">
      <c r="A843" s="17" t="s">
        <v>1446</v>
      </c>
      <c r="B843" s="18" t="s">
        <v>1447</v>
      </c>
      <c r="C843" s="5">
        <v>29</v>
      </c>
      <c r="D843" s="5" t="s">
        <v>1407</v>
      </c>
    </row>
    <row r="844" spans="1:4" x14ac:dyDescent="0.2">
      <c r="A844" s="7" t="s">
        <v>1448</v>
      </c>
      <c r="B844" s="18" t="s">
        <v>1449</v>
      </c>
      <c r="C844" s="5">
        <v>29</v>
      </c>
      <c r="D844" s="5" t="s">
        <v>1407</v>
      </c>
    </row>
    <row r="845" spans="1:4" x14ac:dyDescent="0.2">
      <c r="A845" s="7" t="s">
        <v>1450</v>
      </c>
      <c r="B845" s="18" t="s">
        <v>1449</v>
      </c>
      <c r="C845" s="5">
        <v>29</v>
      </c>
      <c r="D845" s="5" t="s">
        <v>1407</v>
      </c>
    </row>
    <row r="846" spans="1:4" x14ac:dyDescent="0.2">
      <c r="A846" s="7" t="s">
        <v>1451</v>
      </c>
      <c r="B846" s="18" t="s">
        <v>1449</v>
      </c>
      <c r="C846" s="5">
        <v>29</v>
      </c>
      <c r="D846" s="5" t="s">
        <v>1407</v>
      </c>
    </row>
    <row r="847" spans="1:4" x14ac:dyDescent="0.2">
      <c r="A847" s="7" t="s">
        <v>1452</v>
      </c>
      <c r="B847" s="18" t="s">
        <v>1449</v>
      </c>
      <c r="C847" s="5">
        <v>29</v>
      </c>
      <c r="D847" s="5" t="s">
        <v>1407</v>
      </c>
    </row>
    <row r="848" spans="1:4" x14ac:dyDescent="0.2">
      <c r="A848" s="7">
        <v>623977</v>
      </c>
      <c r="B848" s="18" t="s">
        <v>1449</v>
      </c>
      <c r="C848" s="5">
        <v>29</v>
      </c>
      <c r="D848" s="5" t="s">
        <v>1407</v>
      </c>
    </row>
    <row r="849" spans="1:4" x14ac:dyDescent="0.2">
      <c r="A849" s="7">
        <v>887111</v>
      </c>
      <c r="B849" s="18" t="s">
        <v>1449</v>
      </c>
      <c r="C849" s="5">
        <v>29</v>
      </c>
      <c r="D849" s="5" t="s">
        <v>1407</v>
      </c>
    </row>
    <row r="850" spans="1:4" x14ac:dyDescent="0.2">
      <c r="A850" s="7">
        <v>887673</v>
      </c>
      <c r="B850" s="18" t="s">
        <v>1449</v>
      </c>
      <c r="C850" s="5">
        <v>29</v>
      </c>
      <c r="D850" s="5" t="s">
        <v>1407</v>
      </c>
    </row>
    <row r="851" spans="1:4" x14ac:dyDescent="0.2">
      <c r="A851" s="7" t="s">
        <v>1453</v>
      </c>
      <c r="B851" s="18" t="s">
        <v>1449</v>
      </c>
      <c r="C851" s="5">
        <v>29</v>
      </c>
      <c r="D851" s="5" t="s">
        <v>1407</v>
      </c>
    </row>
    <row r="852" spans="1:4" x14ac:dyDescent="0.2">
      <c r="A852" s="17" t="s">
        <v>1454</v>
      </c>
      <c r="B852" s="18" t="s">
        <v>1417</v>
      </c>
      <c r="C852" s="5">
        <v>32</v>
      </c>
      <c r="D852" s="5" t="s">
        <v>1455</v>
      </c>
    </row>
    <row r="853" spans="1:4" x14ac:dyDescent="0.2">
      <c r="A853" s="17" t="s">
        <v>1456</v>
      </c>
      <c r="B853" s="18" t="s">
        <v>1417</v>
      </c>
      <c r="C853" s="5">
        <v>32</v>
      </c>
      <c r="D853" s="5" t="s">
        <v>1455</v>
      </c>
    </row>
    <row r="854" spans="1:4" x14ac:dyDescent="0.2">
      <c r="A854" s="17" t="s">
        <v>356</v>
      </c>
      <c r="B854" s="18" t="s">
        <v>1417</v>
      </c>
      <c r="C854" s="5">
        <v>32</v>
      </c>
      <c r="D854" s="5" t="s">
        <v>1455</v>
      </c>
    </row>
    <row r="855" spans="1:4" x14ac:dyDescent="0.2">
      <c r="A855" s="17" t="s">
        <v>1457</v>
      </c>
      <c r="B855" s="18" t="s">
        <v>1417</v>
      </c>
      <c r="C855" s="5">
        <v>32</v>
      </c>
      <c r="D855" s="5" t="s">
        <v>1455</v>
      </c>
    </row>
    <row r="856" spans="1:4" x14ac:dyDescent="0.2">
      <c r="A856" s="17" t="s">
        <v>1458</v>
      </c>
      <c r="B856" s="18" t="s">
        <v>1417</v>
      </c>
      <c r="C856" s="5">
        <v>32</v>
      </c>
      <c r="D856" s="5" t="s">
        <v>1455</v>
      </c>
    </row>
    <row r="857" spans="1:4" x14ac:dyDescent="0.2">
      <c r="A857" s="17" t="s">
        <v>1459</v>
      </c>
      <c r="B857" s="18" t="s">
        <v>1417</v>
      </c>
      <c r="C857" s="5">
        <v>32</v>
      </c>
      <c r="D857" s="5" t="s">
        <v>1455</v>
      </c>
    </row>
    <row r="858" spans="1:4" x14ac:dyDescent="0.2">
      <c r="A858" s="17" t="s">
        <v>418</v>
      </c>
      <c r="B858" s="18" t="s">
        <v>1417</v>
      </c>
      <c r="C858" s="5">
        <v>32</v>
      </c>
      <c r="D858" s="5" t="s">
        <v>1455</v>
      </c>
    </row>
    <row r="859" spans="1:4" x14ac:dyDescent="0.2">
      <c r="A859" s="17" t="s">
        <v>411</v>
      </c>
      <c r="B859" s="18" t="s">
        <v>1417</v>
      </c>
      <c r="C859" s="5">
        <v>32</v>
      </c>
      <c r="D859" s="5" t="s">
        <v>1455</v>
      </c>
    </row>
    <row r="860" spans="1:4" x14ac:dyDescent="0.2">
      <c r="A860" s="17" t="s">
        <v>412</v>
      </c>
      <c r="B860" s="18" t="s">
        <v>1417</v>
      </c>
      <c r="C860" s="5">
        <v>32</v>
      </c>
      <c r="D860" s="5" t="s">
        <v>1455</v>
      </c>
    </row>
    <row r="861" spans="1:4" x14ac:dyDescent="0.2">
      <c r="A861" s="17" t="s">
        <v>413</v>
      </c>
      <c r="B861" s="18" t="s">
        <v>1417</v>
      </c>
      <c r="C861" s="5">
        <v>32</v>
      </c>
      <c r="D861" s="5" t="s">
        <v>1455</v>
      </c>
    </row>
    <row r="862" spans="1:4" x14ac:dyDescent="0.2">
      <c r="A862" s="17" t="s">
        <v>420</v>
      </c>
      <c r="B862" s="18" t="s">
        <v>1417</v>
      </c>
      <c r="C862" s="5">
        <v>32</v>
      </c>
      <c r="D862" s="5" t="s">
        <v>1455</v>
      </c>
    </row>
    <row r="863" spans="1:4" x14ac:dyDescent="0.2">
      <c r="A863" s="17" t="s">
        <v>1460</v>
      </c>
      <c r="B863" s="18" t="s">
        <v>1417</v>
      </c>
      <c r="C863" s="5">
        <v>32</v>
      </c>
      <c r="D863" s="5" t="s">
        <v>1455</v>
      </c>
    </row>
    <row r="864" spans="1:4" x14ac:dyDescent="0.2">
      <c r="A864" s="17" t="s">
        <v>1461</v>
      </c>
      <c r="B864" s="18" t="s">
        <v>1417</v>
      </c>
      <c r="C864" s="5">
        <v>32</v>
      </c>
      <c r="D864" s="5" t="s">
        <v>1455</v>
      </c>
    </row>
    <row r="865" spans="1:4" x14ac:dyDescent="0.2">
      <c r="A865" s="17" t="s">
        <v>1462</v>
      </c>
      <c r="B865" s="18" t="s">
        <v>1417</v>
      </c>
      <c r="C865" s="5">
        <v>32</v>
      </c>
      <c r="D865" s="5" t="s">
        <v>1455</v>
      </c>
    </row>
    <row r="866" spans="1:4" x14ac:dyDescent="0.2">
      <c r="A866" s="17" t="s">
        <v>1463</v>
      </c>
      <c r="B866" s="18" t="s">
        <v>1417</v>
      </c>
      <c r="C866" s="5">
        <v>32</v>
      </c>
      <c r="D866" s="5" t="s">
        <v>1455</v>
      </c>
    </row>
    <row r="867" spans="1:4" x14ac:dyDescent="0.2">
      <c r="A867" s="17" t="s">
        <v>1464</v>
      </c>
      <c r="B867" s="18" t="s">
        <v>1417</v>
      </c>
      <c r="C867" s="5">
        <v>32</v>
      </c>
      <c r="D867" s="5" t="s">
        <v>1455</v>
      </c>
    </row>
    <row r="868" spans="1:4" x14ac:dyDescent="0.2">
      <c r="A868" s="17" t="s">
        <v>232</v>
      </c>
      <c r="B868" s="18" t="s">
        <v>1417</v>
      </c>
      <c r="C868" s="5">
        <v>32</v>
      </c>
      <c r="D868" s="5" t="s">
        <v>1455</v>
      </c>
    </row>
    <row r="869" spans="1:4" x14ac:dyDescent="0.2">
      <c r="A869" s="17" t="s">
        <v>236</v>
      </c>
      <c r="B869" s="18" t="s">
        <v>1417</v>
      </c>
      <c r="C869" s="5">
        <v>32</v>
      </c>
      <c r="D869" s="5" t="s">
        <v>1455</v>
      </c>
    </row>
    <row r="870" spans="1:4" x14ac:dyDescent="0.2">
      <c r="A870" s="17" t="s">
        <v>234</v>
      </c>
      <c r="B870" s="18" t="s">
        <v>1417</v>
      </c>
      <c r="C870" s="5">
        <v>32</v>
      </c>
      <c r="D870" s="5" t="s">
        <v>1455</v>
      </c>
    </row>
    <row r="871" spans="1:4" x14ac:dyDescent="0.2">
      <c r="A871" s="17" t="s">
        <v>1465</v>
      </c>
      <c r="B871" s="18" t="s">
        <v>1417</v>
      </c>
      <c r="C871" s="5">
        <v>32</v>
      </c>
      <c r="D871" s="5" t="s">
        <v>1455</v>
      </c>
    </row>
    <row r="872" spans="1:4" x14ac:dyDescent="0.2">
      <c r="A872" s="17" t="s">
        <v>353</v>
      </c>
      <c r="B872" s="18" t="s">
        <v>1417</v>
      </c>
      <c r="C872" s="5">
        <v>32</v>
      </c>
      <c r="D872" s="5" t="s">
        <v>1455</v>
      </c>
    </row>
    <row r="873" spans="1:4" x14ac:dyDescent="0.2">
      <c r="A873" s="17" t="s">
        <v>231</v>
      </c>
      <c r="B873" s="18" t="s">
        <v>1417</v>
      </c>
      <c r="C873" s="5">
        <v>32</v>
      </c>
      <c r="D873" s="5" t="s">
        <v>1455</v>
      </c>
    </row>
    <row r="874" spans="1:4" x14ac:dyDescent="0.2">
      <c r="A874" s="17" t="s">
        <v>1466</v>
      </c>
      <c r="B874" s="18" t="s">
        <v>1417</v>
      </c>
      <c r="C874" s="5">
        <v>32</v>
      </c>
      <c r="D874" s="5" t="s">
        <v>1455</v>
      </c>
    </row>
    <row r="875" spans="1:4" x14ac:dyDescent="0.2">
      <c r="A875" s="17" t="s">
        <v>354</v>
      </c>
      <c r="B875" s="18" t="s">
        <v>1417</v>
      </c>
      <c r="C875" s="5">
        <v>32</v>
      </c>
      <c r="D875" s="5" t="s">
        <v>1455</v>
      </c>
    </row>
    <row r="876" spans="1:4" x14ac:dyDescent="0.2">
      <c r="A876" s="17" t="s">
        <v>166</v>
      </c>
      <c r="B876" s="18" t="s">
        <v>1417</v>
      </c>
      <c r="C876" s="5">
        <v>32</v>
      </c>
      <c r="D876" s="5" t="s">
        <v>1455</v>
      </c>
    </row>
    <row r="877" spans="1:4" x14ac:dyDescent="0.2">
      <c r="A877" s="17" t="s">
        <v>169</v>
      </c>
      <c r="B877" s="18" t="s">
        <v>1417</v>
      </c>
      <c r="C877" s="5">
        <v>32</v>
      </c>
      <c r="D877" s="5" t="s">
        <v>1455</v>
      </c>
    </row>
    <row r="878" spans="1:4" x14ac:dyDescent="0.2">
      <c r="A878" s="17" t="s">
        <v>167</v>
      </c>
      <c r="B878" s="18" t="s">
        <v>1417</v>
      </c>
      <c r="C878" s="5">
        <v>32</v>
      </c>
      <c r="D878" s="5" t="s">
        <v>1455</v>
      </c>
    </row>
    <row r="879" spans="1:4" x14ac:dyDescent="0.2">
      <c r="A879" s="17" t="s">
        <v>174</v>
      </c>
      <c r="B879" s="18" t="s">
        <v>1417</v>
      </c>
      <c r="C879" s="5">
        <v>32</v>
      </c>
      <c r="D879" s="5" t="s">
        <v>1455</v>
      </c>
    </row>
    <row r="880" spans="1:4" x14ac:dyDescent="0.2">
      <c r="A880" s="17" t="s">
        <v>171</v>
      </c>
      <c r="B880" s="18" t="s">
        <v>1417</v>
      </c>
      <c r="C880" s="5">
        <v>32</v>
      </c>
      <c r="D880" s="5" t="s">
        <v>1455</v>
      </c>
    </row>
    <row r="881" spans="1:4" x14ac:dyDescent="0.2">
      <c r="A881" s="17" t="s">
        <v>1467</v>
      </c>
      <c r="B881" s="18" t="s">
        <v>1417</v>
      </c>
      <c r="C881" s="5">
        <v>32</v>
      </c>
      <c r="D881" s="5" t="s">
        <v>1455</v>
      </c>
    </row>
    <row r="882" spans="1:4" x14ac:dyDescent="0.2">
      <c r="A882" s="17" t="s">
        <v>1468</v>
      </c>
      <c r="B882" s="18" t="s">
        <v>1417</v>
      </c>
      <c r="C882" s="5">
        <v>32</v>
      </c>
      <c r="D882" s="5" t="s">
        <v>1455</v>
      </c>
    </row>
    <row r="883" spans="1:4" x14ac:dyDescent="0.2">
      <c r="A883" s="17" t="s">
        <v>1469</v>
      </c>
      <c r="B883" s="18" t="s">
        <v>1417</v>
      </c>
      <c r="C883" s="5">
        <v>32</v>
      </c>
      <c r="D883" s="5" t="s">
        <v>1455</v>
      </c>
    </row>
    <row r="884" spans="1:4" x14ac:dyDescent="0.2">
      <c r="A884" s="17" t="s">
        <v>1470</v>
      </c>
      <c r="B884" s="18" t="s">
        <v>1417</v>
      </c>
      <c r="C884" s="5">
        <v>32</v>
      </c>
      <c r="D884" s="5" t="s">
        <v>1455</v>
      </c>
    </row>
    <row r="885" spans="1:4" x14ac:dyDescent="0.2">
      <c r="A885" s="17" t="s">
        <v>1471</v>
      </c>
      <c r="B885" s="18" t="s">
        <v>1417</v>
      </c>
      <c r="C885" s="5">
        <v>32</v>
      </c>
      <c r="D885" s="5" t="s">
        <v>1455</v>
      </c>
    </row>
    <row r="886" spans="1:4" x14ac:dyDescent="0.2">
      <c r="A886" s="17" t="s">
        <v>1472</v>
      </c>
      <c r="B886" s="18" t="s">
        <v>1417</v>
      </c>
      <c r="C886" s="5">
        <v>32</v>
      </c>
      <c r="D886" s="5" t="s">
        <v>1455</v>
      </c>
    </row>
    <row r="887" spans="1:4" x14ac:dyDescent="0.2">
      <c r="A887" s="17" t="s">
        <v>1473</v>
      </c>
      <c r="B887" s="18" t="s">
        <v>1417</v>
      </c>
      <c r="C887" s="5">
        <v>32</v>
      </c>
      <c r="D887" s="5" t="s">
        <v>1455</v>
      </c>
    </row>
    <row r="888" spans="1:4" x14ac:dyDescent="0.2">
      <c r="A888" s="17" t="s">
        <v>1474</v>
      </c>
      <c r="B888" s="18" t="s">
        <v>1417</v>
      </c>
      <c r="C888" s="5">
        <v>32</v>
      </c>
      <c r="D888" s="5" t="s">
        <v>1455</v>
      </c>
    </row>
    <row r="889" spans="1:4" x14ac:dyDescent="0.2">
      <c r="A889" s="17" t="s">
        <v>1475</v>
      </c>
      <c r="B889" s="18" t="s">
        <v>1417</v>
      </c>
      <c r="C889" s="5">
        <v>32</v>
      </c>
      <c r="D889" s="5" t="s">
        <v>1455</v>
      </c>
    </row>
    <row r="890" spans="1:4" x14ac:dyDescent="0.2">
      <c r="A890" s="17" t="s">
        <v>1476</v>
      </c>
      <c r="B890" s="18" t="s">
        <v>1417</v>
      </c>
      <c r="C890" s="5">
        <v>32</v>
      </c>
      <c r="D890" s="5" t="s">
        <v>1455</v>
      </c>
    </row>
    <row r="891" spans="1:4" x14ac:dyDescent="0.2">
      <c r="A891" s="17" t="s">
        <v>1477</v>
      </c>
      <c r="B891" s="18" t="s">
        <v>1417</v>
      </c>
      <c r="C891" s="5">
        <v>32</v>
      </c>
      <c r="D891" s="5" t="s">
        <v>1455</v>
      </c>
    </row>
    <row r="892" spans="1:4" x14ac:dyDescent="0.2">
      <c r="A892" s="17" t="s">
        <v>1478</v>
      </c>
      <c r="B892" s="18" t="s">
        <v>1417</v>
      </c>
      <c r="C892" s="5">
        <v>32</v>
      </c>
      <c r="D892" s="5" t="s">
        <v>1455</v>
      </c>
    </row>
    <row r="893" spans="1:4" x14ac:dyDescent="0.2">
      <c r="A893" s="17" t="s">
        <v>1479</v>
      </c>
      <c r="B893" s="18" t="s">
        <v>1417</v>
      </c>
      <c r="C893" s="5">
        <v>32</v>
      </c>
      <c r="D893" s="5" t="s">
        <v>1455</v>
      </c>
    </row>
    <row r="894" spans="1:4" x14ac:dyDescent="0.2">
      <c r="A894" s="17" t="s">
        <v>163</v>
      </c>
      <c r="B894" s="18" t="s">
        <v>1417</v>
      </c>
      <c r="C894" s="5">
        <v>32</v>
      </c>
      <c r="D894" s="5" t="s">
        <v>1455</v>
      </c>
    </row>
    <row r="895" spans="1:4" x14ac:dyDescent="0.2">
      <c r="A895" s="17" t="s">
        <v>1480</v>
      </c>
      <c r="B895" s="18" t="s">
        <v>1417</v>
      </c>
      <c r="C895" s="5">
        <v>32</v>
      </c>
      <c r="D895" s="5" t="s">
        <v>1455</v>
      </c>
    </row>
    <row r="896" spans="1:4" x14ac:dyDescent="0.2">
      <c r="A896" s="17" t="s">
        <v>1481</v>
      </c>
      <c r="B896" s="18" t="s">
        <v>1417</v>
      </c>
      <c r="C896" s="5">
        <v>32</v>
      </c>
      <c r="D896" s="5" t="s">
        <v>1455</v>
      </c>
    </row>
    <row r="897" spans="1:4" x14ac:dyDescent="0.2">
      <c r="A897" s="17" t="s">
        <v>1482</v>
      </c>
      <c r="B897" s="18" t="s">
        <v>1417</v>
      </c>
      <c r="C897" s="5">
        <v>32</v>
      </c>
      <c r="D897" s="5" t="s">
        <v>1455</v>
      </c>
    </row>
    <row r="898" spans="1:4" ht="11.25" customHeight="1" x14ac:dyDescent="0.2">
      <c r="A898" s="17" t="s">
        <v>1483</v>
      </c>
      <c r="B898" s="18" t="s">
        <v>1484</v>
      </c>
      <c r="C898" s="5">
        <v>35</v>
      </c>
      <c r="D898" s="5" t="s">
        <v>1485</v>
      </c>
    </row>
    <row r="899" spans="1:4" ht="11.25" customHeight="1" x14ac:dyDescent="0.2">
      <c r="A899" s="17" t="s">
        <v>1486</v>
      </c>
      <c r="B899" s="18" t="s">
        <v>1484</v>
      </c>
      <c r="C899" s="5">
        <v>35</v>
      </c>
      <c r="D899" s="5" t="s">
        <v>1485</v>
      </c>
    </row>
    <row r="900" spans="1:4" x14ac:dyDescent="0.2">
      <c r="A900" s="17" t="s">
        <v>1487</v>
      </c>
      <c r="B900" s="18" t="s">
        <v>1484</v>
      </c>
      <c r="C900" s="5">
        <v>35</v>
      </c>
      <c r="D900" s="5" t="s">
        <v>1485</v>
      </c>
    </row>
    <row r="901" spans="1:4" x14ac:dyDescent="0.2">
      <c r="A901" s="17" t="s">
        <v>1488</v>
      </c>
      <c r="B901" s="18" t="s">
        <v>1484</v>
      </c>
      <c r="C901" s="5">
        <v>35</v>
      </c>
      <c r="D901" s="5" t="s">
        <v>1485</v>
      </c>
    </row>
    <row r="902" spans="1:4" x14ac:dyDescent="0.2">
      <c r="A902" s="17" t="s">
        <v>1489</v>
      </c>
      <c r="B902" s="18" t="s">
        <v>1484</v>
      </c>
      <c r="C902" s="5">
        <v>35</v>
      </c>
      <c r="D902" s="5" t="s">
        <v>1485</v>
      </c>
    </row>
    <row r="903" spans="1:4" x14ac:dyDescent="0.2">
      <c r="A903" s="17" t="s">
        <v>1490</v>
      </c>
      <c r="B903" s="18" t="s">
        <v>1484</v>
      </c>
      <c r="C903" s="5">
        <v>35</v>
      </c>
      <c r="D903" s="5" t="s">
        <v>1485</v>
      </c>
    </row>
    <row r="904" spans="1:4" x14ac:dyDescent="0.2">
      <c r="A904" s="17" t="s">
        <v>1491</v>
      </c>
      <c r="B904" s="18" t="s">
        <v>1484</v>
      </c>
      <c r="C904" s="5">
        <v>35</v>
      </c>
      <c r="D904" s="5" t="s">
        <v>1485</v>
      </c>
    </row>
    <row r="905" spans="1:4" x14ac:dyDescent="0.2">
      <c r="A905" s="17" t="s">
        <v>1492</v>
      </c>
      <c r="B905" s="18" t="s">
        <v>1484</v>
      </c>
      <c r="C905" s="5">
        <v>35</v>
      </c>
      <c r="D905" s="5" t="s">
        <v>1485</v>
      </c>
    </row>
    <row r="906" spans="1:4" x14ac:dyDescent="0.2">
      <c r="A906" s="17" t="s">
        <v>1493</v>
      </c>
      <c r="B906" s="18" t="s">
        <v>1484</v>
      </c>
      <c r="C906" s="5">
        <v>35</v>
      </c>
      <c r="D906" s="5" t="s">
        <v>1485</v>
      </c>
    </row>
    <row r="907" spans="1:4" x14ac:dyDescent="0.2">
      <c r="A907" s="17" t="s">
        <v>1494</v>
      </c>
      <c r="B907" s="18" t="s">
        <v>1484</v>
      </c>
      <c r="C907" s="5">
        <v>35</v>
      </c>
      <c r="D907" s="5" t="s">
        <v>1485</v>
      </c>
    </row>
    <row r="908" spans="1:4" x14ac:dyDescent="0.2">
      <c r="A908" s="17" t="s">
        <v>1495</v>
      </c>
      <c r="B908" s="18" t="s">
        <v>1484</v>
      </c>
      <c r="C908" s="5">
        <v>35</v>
      </c>
      <c r="D908" s="5" t="s">
        <v>1485</v>
      </c>
    </row>
    <row r="909" spans="1:4" x14ac:dyDescent="0.2">
      <c r="A909" s="17" t="s">
        <v>1496</v>
      </c>
      <c r="B909" s="18" t="s">
        <v>1484</v>
      </c>
      <c r="C909" s="5">
        <v>35</v>
      </c>
      <c r="D909" s="5" t="s">
        <v>1485</v>
      </c>
    </row>
    <row r="910" spans="1:4" x14ac:dyDescent="0.2">
      <c r="A910" s="17" t="s">
        <v>1497</v>
      </c>
      <c r="B910" s="18" t="s">
        <v>1484</v>
      </c>
      <c r="C910" s="5">
        <v>35</v>
      </c>
      <c r="D910" s="5" t="s">
        <v>1485</v>
      </c>
    </row>
    <row r="911" spans="1:4" x14ac:dyDescent="0.2">
      <c r="A911" s="17" t="s">
        <v>1498</v>
      </c>
      <c r="B911" s="18" t="s">
        <v>1484</v>
      </c>
      <c r="C911" s="5">
        <v>35</v>
      </c>
      <c r="D911" s="5" t="s">
        <v>1485</v>
      </c>
    </row>
    <row r="912" spans="1:4" x14ac:dyDescent="0.2">
      <c r="A912" s="17" t="s">
        <v>1499</v>
      </c>
      <c r="B912" s="18" t="s">
        <v>1484</v>
      </c>
      <c r="C912" s="5">
        <v>35</v>
      </c>
      <c r="D912" s="5" t="s">
        <v>1485</v>
      </c>
    </row>
    <row r="913" spans="1:4" x14ac:dyDescent="0.2">
      <c r="A913" s="17" t="s">
        <v>1500</v>
      </c>
      <c r="B913" s="18" t="s">
        <v>1484</v>
      </c>
      <c r="C913" s="5">
        <v>35</v>
      </c>
      <c r="D913" s="5" t="s">
        <v>1485</v>
      </c>
    </row>
    <row r="914" spans="1:4" x14ac:dyDescent="0.2">
      <c r="A914" s="17" t="s">
        <v>1501</v>
      </c>
      <c r="B914" s="18" t="s">
        <v>1484</v>
      </c>
      <c r="C914" s="5">
        <v>35</v>
      </c>
      <c r="D914" s="5" t="s">
        <v>1485</v>
      </c>
    </row>
    <row r="915" spans="1:4" x14ac:dyDescent="0.2">
      <c r="A915" s="17" t="s">
        <v>1502</v>
      </c>
      <c r="B915" s="18" t="s">
        <v>1484</v>
      </c>
      <c r="C915" s="5">
        <v>35</v>
      </c>
      <c r="D915" s="5" t="s">
        <v>1485</v>
      </c>
    </row>
    <row r="916" spans="1:4" x14ac:dyDescent="0.2">
      <c r="A916" s="17" t="s">
        <v>1503</v>
      </c>
      <c r="B916" s="18" t="s">
        <v>1484</v>
      </c>
      <c r="C916" s="5">
        <v>35</v>
      </c>
      <c r="D916" s="5" t="s">
        <v>1485</v>
      </c>
    </row>
    <row r="917" spans="1:4" x14ac:dyDescent="0.2">
      <c r="A917" s="17" t="s">
        <v>1504</v>
      </c>
      <c r="B917" s="18" t="s">
        <v>1484</v>
      </c>
      <c r="C917" s="5">
        <v>35</v>
      </c>
      <c r="D917" s="5" t="s">
        <v>1485</v>
      </c>
    </row>
    <row r="918" spans="1:4" x14ac:dyDescent="0.2">
      <c r="A918" s="17" t="s">
        <v>1505</v>
      </c>
      <c r="B918" s="18" t="s">
        <v>1484</v>
      </c>
      <c r="C918" s="5">
        <v>35</v>
      </c>
      <c r="D918" s="5" t="s">
        <v>1485</v>
      </c>
    </row>
    <row r="919" spans="1:4" x14ac:dyDescent="0.2">
      <c r="A919" s="17" t="s">
        <v>1506</v>
      </c>
      <c r="B919" s="18" t="s">
        <v>1484</v>
      </c>
      <c r="C919" s="5">
        <v>35</v>
      </c>
      <c r="D919" s="5" t="s">
        <v>1485</v>
      </c>
    </row>
    <row r="920" spans="1:4" x14ac:dyDescent="0.2">
      <c r="A920" s="17" t="s">
        <v>1507</v>
      </c>
      <c r="B920" s="18" t="s">
        <v>1484</v>
      </c>
      <c r="C920" s="5">
        <v>35</v>
      </c>
      <c r="D920" s="5" t="s">
        <v>1485</v>
      </c>
    </row>
    <row r="921" spans="1:4" x14ac:dyDescent="0.2">
      <c r="A921" s="17" t="s">
        <v>1508</v>
      </c>
      <c r="B921" s="18" t="s">
        <v>1484</v>
      </c>
      <c r="C921" s="5">
        <v>35</v>
      </c>
      <c r="D921" s="5" t="s">
        <v>1485</v>
      </c>
    </row>
    <row r="922" spans="1:4" x14ac:dyDescent="0.2">
      <c r="A922" s="17" t="s">
        <v>1509</v>
      </c>
      <c r="B922" s="18" t="s">
        <v>1484</v>
      </c>
      <c r="C922" s="5">
        <v>35</v>
      </c>
      <c r="D922" s="5" t="s">
        <v>1485</v>
      </c>
    </row>
    <row r="923" spans="1:4" x14ac:dyDescent="0.2">
      <c r="A923" s="17" t="s">
        <v>1510</v>
      </c>
      <c r="B923" s="18" t="s">
        <v>1484</v>
      </c>
      <c r="C923" s="5">
        <v>35</v>
      </c>
      <c r="D923" s="5" t="s">
        <v>1485</v>
      </c>
    </row>
    <row r="924" spans="1:4" x14ac:dyDescent="0.2">
      <c r="A924" s="17" t="s">
        <v>1511</v>
      </c>
      <c r="B924" s="18" t="s">
        <v>1484</v>
      </c>
      <c r="C924" s="5">
        <v>35</v>
      </c>
      <c r="D924" s="5" t="s">
        <v>1485</v>
      </c>
    </row>
    <row r="925" spans="1:4" x14ac:dyDescent="0.2">
      <c r="A925" s="17" t="s">
        <v>1512</v>
      </c>
      <c r="B925" s="18" t="s">
        <v>1484</v>
      </c>
      <c r="C925" s="5">
        <v>35</v>
      </c>
      <c r="D925" s="5" t="s">
        <v>1485</v>
      </c>
    </row>
    <row r="926" spans="1:4" x14ac:dyDescent="0.2">
      <c r="A926" s="17" t="s">
        <v>1513</v>
      </c>
      <c r="B926" s="18" t="s">
        <v>1484</v>
      </c>
      <c r="C926" s="5">
        <v>35</v>
      </c>
      <c r="D926" s="5" t="s">
        <v>1485</v>
      </c>
    </row>
    <row r="927" spans="1:4" x14ac:dyDescent="0.2">
      <c r="A927" s="17" t="s">
        <v>1514</v>
      </c>
      <c r="B927" s="18" t="s">
        <v>1484</v>
      </c>
      <c r="C927" s="5">
        <v>35</v>
      </c>
      <c r="D927" s="5" t="s">
        <v>1485</v>
      </c>
    </row>
    <row r="928" spans="1:4" x14ac:dyDescent="0.2">
      <c r="A928" s="17" t="s">
        <v>1515</v>
      </c>
      <c r="B928" s="18" t="s">
        <v>1484</v>
      </c>
      <c r="C928" s="5">
        <v>35</v>
      </c>
      <c r="D928" s="5" t="s">
        <v>1485</v>
      </c>
    </row>
    <row r="929" spans="1:4" x14ac:dyDescent="0.2">
      <c r="A929" s="17" t="s">
        <v>1516</v>
      </c>
      <c r="B929" s="18" t="s">
        <v>1484</v>
      </c>
      <c r="C929" s="5">
        <v>35</v>
      </c>
      <c r="D929" s="5" t="s">
        <v>1485</v>
      </c>
    </row>
    <row r="930" spans="1:4" x14ac:dyDescent="0.2">
      <c r="A930" s="17" t="s">
        <v>1517</v>
      </c>
      <c r="B930" s="18" t="s">
        <v>1484</v>
      </c>
      <c r="C930" s="5">
        <v>35</v>
      </c>
      <c r="D930" s="5" t="s">
        <v>1485</v>
      </c>
    </row>
    <row r="931" spans="1:4" x14ac:dyDescent="0.2">
      <c r="A931" s="17" t="s">
        <v>1518</v>
      </c>
      <c r="B931" s="18" t="s">
        <v>1484</v>
      </c>
      <c r="C931" s="5">
        <v>35</v>
      </c>
      <c r="D931" s="5" t="s">
        <v>1485</v>
      </c>
    </row>
    <row r="932" spans="1:4" x14ac:dyDescent="0.2">
      <c r="A932" s="17" t="s">
        <v>1519</v>
      </c>
      <c r="B932" s="18" t="s">
        <v>1484</v>
      </c>
      <c r="C932" s="5">
        <v>35</v>
      </c>
      <c r="D932" s="5" t="s">
        <v>1485</v>
      </c>
    </row>
    <row r="933" spans="1:4" x14ac:dyDescent="0.2">
      <c r="A933" s="17" t="s">
        <v>1520</v>
      </c>
      <c r="B933" s="18" t="s">
        <v>1484</v>
      </c>
      <c r="C933" s="5">
        <v>35</v>
      </c>
      <c r="D933" s="5" t="s">
        <v>1485</v>
      </c>
    </row>
    <row r="934" spans="1:4" x14ac:dyDescent="0.2">
      <c r="A934" s="17" t="s">
        <v>1521</v>
      </c>
      <c r="B934" s="18" t="s">
        <v>1484</v>
      </c>
      <c r="C934" s="5">
        <v>35</v>
      </c>
      <c r="D934" s="5" t="s">
        <v>1485</v>
      </c>
    </row>
    <row r="935" spans="1:4" x14ac:dyDescent="0.2">
      <c r="A935" s="17" t="s">
        <v>1522</v>
      </c>
      <c r="B935" s="18" t="s">
        <v>1484</v>
      </c>
      <c r="C935" s="5">
        <v>35</v>
      </c>
      <c r="D935" s="5" t="s">
        <v>1485</v>
      </c>
    </row>
    <row r="936" spans="1:4" x14ac:dyDescent="0.2">
      <c r="A936" s="17" t="s">
        <v>1523</v>
      </c>
      <c r="B936" s="18" t="s">
        <v>1484</v>
      </c>
      <c r="C936" s="5">
        <v>35</v>
      </c>
      <c r="D936" s="5" t="s">
        <v>1485</v>
      </c>
    </row>
    <row r="937" spans="1:4" x14ac:dyDescent="0.2">
      <c r="A937" s="17" t="s">
        <v>1524</v>
      </c>
      <c r="B937" s="18" t="s">
        <v>1484</v>
      </c>
      <c r="C937" s="5">
        <v>35</v>
      </c>
      <c r="D937" s="5" t="s">
        <v>1485</v>
      </c>
    </row>
    <row r="938" spans="1:4" x14ac:dyDescent="0.2">
      <c r="A938" s="17" t="s">
        <v>1525</v>
      </c>
      <c r="B938" s="18" t="s">
        <v>1484</v>
      </c>
      <c r="C938" s="5">
        <v>35</v>
      </c>
      <c r="D938" s="5" t="s">
        <v>1485</v>
      </c>
    </row>
    <row r="939" spans="1:4" x14ac:dyDescent="0.2">
      <c r="A939" s="17" t="s">
        <v>1526</v>
      </c>
      <c r="B939" s="18" t="s">
        <v>1484</v>
      </c>
      <c r="C939" s="5">
        <v>35</v>
      </c>
      <c r="D939" s="5" t="s">
        <v>1485</v>
      </c>
    </row>
    <row r="940" spans="1:4" x14ac:dyDescent="0.2">
      <c r="A940" s="17" t="s">
        <v>1527</v>
      </c>
      <c r="B940" s="18" t="s">
        <v>1484</v>
      </c>
      <c r="C940" s="5">
        <v>35</v>
      </c>
      <c r="D940" s="5" t="s">
        <v>1485</v>
      </c>
    </row>
    <row r="941" spans="1:4" x14ac:dyDescent="0.2">
      <c r="A941" s="17" t="s">
        <v>1528</v>
      </c>
      <c r="B941" s="18" t="s">
        <v>1484</v>
      </c>
      <c r="C941" s="5">
        <v>35</v>
      </c>
      <c r="D941" s="5" t="s">
        <v>1485</v>
      </c>
    </row>
    <row r="942" spans="1:4" x14ac:dyDescent="0.2">
      <c r="A942" s="17" t="s">
        <v>1529</v>
      </c>
      <c r="B942" s="18" t="s">
        <v>1484</v>
      </c>
      <c r="C942" s="5">
        <v>35</v>
      </c>
      <c r="D942" s="5" t="s">
        <v>1485</v>
      </c>
    </row>
    <row r="943" spans="1:4" x14ac:dyDescent="0.2">
      <c r="A943" s="17" t="s">
        <v>1530</v>
      </c>
      <c r="B943" s="18" t="s">
        <v>1484</v>
      </c>
      <c r="C943" s="5">
        <v>35</v>
      </c>
      <c r="D943" s="5" t="s">
        <v>1485</v>
      </c>
    </row>
    <row r="944" spans="1:4" x14ac:dyDescent="0.2">
      <c r="A944" s="17" t="s">
        <v>1531</v>
      </c>
      <c r="B944" s="18" t="s">
        <v>1484</v>
      </c>
      <c r="C944" s="5">
        <v>35</v>
      </c>
      <c r="D944" s="5" t="s">
        <v>1485</v>
      </c>
    </row>
    <row r="945" spans="1:4" x14ac:dyDescent="0.2">
      <c r="A945" s="17" t="s">
        <v>1532</v>
      </c>
      <c r="B945" s="18" t="s">
        <v>1484</v>
      </c>
      <c r="C945" s="5">
        <v>35</v>
      </c>
      <c r="D945" s="5" t="s">
        <v>1485</v>
      </c>
    </row>
    <row r="946" spans="1:4" x14ac:dyDescent="0.2">
      <c r="A946" s="17" t="s">
        <v>1533</v>
      </c>
      <c r="B946" s="18" t="s">
        <v>1484</v>
      </c>
      <c r="C946" s="5">
        <v>35</v>
      </c>
      <c r="D946" s="5" t="s">
        <v>1485</v>
      </c>
    </row>
    <row r="947" spans="1:4" x14ac:dyDescent="0.2">
      <c r="A947" s="17" t="s">
        <v>1534</v>
      </c>
      <c r="B947" s="18" t="s">
        <v>1484</v>
      </c>
      <c r="C947" s="5">
        <v>35</v>
      </c>
      <c r="D947" s="5" t="s">
        <v>1485</v>
      </c>
    </row>
    <row r="948" spans="1:4" x14ac:dyDescent="0.2">
      <c r="A948" s="17" t="s">
        <v>1535</v>
      </c>
      <c r="B948" s="18" t="s">
        <v>1484</v>
      </c>
      <c r="C948" s="5">
        <v>35</v>
      </c>
      <c r="D948" s="5" t="s">
        <v>1485</v>
      </c>
    </row>
    <row r="949" spans="1:4" x14ac:dyDescent="0.2">
      <c r="A949" s="17" t="s">
        <v>1536</v>
      </c>
      <c r="B949" s="18" t="s">
        <v>1484</v>
      </c>
      <c r="C949" s="5">
        <v>35</v>
      </c>
      <c r="D949" s="5" t="s">
        <v>1485</v>
      </c>
    </row>
    <row r="950" spans="1:4" x14ac:dyDescent="0.2">
      <c r="A950" s="17" t="s">
        <v>1537</v>
      </c>
      <c r="B950" s="18" t="s">
        <v>1484</v>
      </c>
      <c r="C950" s="5">
        <v>35</v>
      </c>
      <c r="D950" s="5" t="s">
        <v>1485</v>
      </c>
    </row>
    <row r="951" spans="1:4" x14ac:dyDescent="0.2">
      <c r="A951" s="17" t="s">
        <v>1538</v>
      </c>
      <c r="B951" s="18" t="s">
        <v>1484</v>
      </c>
      <c r="C951" s="5">
        <v>35</v>
      </c>
      <c r="D951" s="5" t="s">
        <v>1485</v>
      </c>
    </row>
    <row r="952" spans="1:4" x14ac:dyDescent="0.2">
      <c r="A952" s="17" t="s">
        <v>1539</v>
      </c>
      <c r="B952" s="18" t="s">
        <v>1484</v>
      </c>
      <c r="C952" s="5">
        <v>35</v>
      </c>
      <c r="D952" s="5" t="s">
        <v>1485</v>
      </c>
    </row>
    <row r="953" spans="1:4" x14ac:dyDescent="0.2">
      <c r="A953" s="17" t="s">
        <v>1540</v>
      </c>
      <c r="B953" s="18" t="s">
        <v>1484</v>
      </c>
      <c r="C953" s="5">
        <v>35</v>
      </c>
      <c r="D953" s="5" t="s">
        <v>1485</v>
      </c>
    </row>
    <row r="954" spans="1:4" x14ac:dyDescent="0.2">
      <c r="A954" s="17" t="s">
        <v>1541</v>
      </c>
      <c r="B954" s="18" t="s">
        <v>1484</v>
      </c>
      <c r="C954" s="5">
        <v>35</v>
      </c>
      <c r="D954" s="5" t="s">
        <v>1485</v>
      </c>
    </row>
    <row r="955" spans="1:4" x14ac:dyDescent="0.2">
      <c r="A955" s="17" t="s">
        <v>1542</v>
      </c>
      <c r="B955" s="18" t="s">
        <v>1484</v>
      </c>
      <c r="C955" s="5">
        <v>35</v>
      </c>
      <c r="D955" s="5" t="s">
        <v>1485</v>
      </c>
    </row>
    <row r="956" spans="1:4" x14ac:dyDescent="0.2">
      <c r="A956" s="17" t="s">
        <v>1543</v>
      </c>
      <c r="B956" s="18" t="s">
        <v>1484</v>
      </c>
      <c r="C956" s="5">
        <v>35</v>
      </c>
      <c r="D956" s="5" t="s">
        <v>1485</v>
      </c>
    </row>
    <row r="957" spans="1:4" x14ac:dyDescent="0.2">
      <c r="A957" s="17" t="s">
        <v>1544</v>
      </c>
      <c r="B957" s="18" t="s">
        <v>1484</v>
      </c>
      <c r="C957" s="5">
        <v>35</v>
      </c>
      <c r="D957" s="5" t="s">
        <v>1485</v>
      </c>
    </row>
    <row r="958" spans="1:4" x14ac:dyDescent="0.2">
      <c r="A958" s="17" t="s">
        <v>1545</v>
      </c>
      <c r="B958" s="18" t="s">
        <v>1484</v>
      </c>
      <c r="C958" s="5">
        <v>35</v>
      </c>
      <c r="D958" s="5" t="s">
        <v>1485</v>
      </c>
    </row>
    <row r="959" spans="1:4" x14ac:dyDescent="0.2">
      <c r="A959" s="17" t="s">
        <v>1546</v>
      </c>
      <c r="B959" s="18" t="s">
        <v>1484</v>
      </c>
      <c r="C959" s="5">
        <v>35</v>
      </c>
      <c r="D959" s="5" t="s">
        <v>1485</v>
      </c>
    </row>
    <row r="960" spans="1:4" x14ac:dyDescent="0.2">
      <c r="A960" s="17" t="s">
        <v>1547</v>
      </c>
      <c r="B960" s="18" t="s">
        <v>1484</v>
      </c>
      <c r="C960" s="5">
        <v>35</v>
      </c>
      <c r="D960" s="5" t="s">
        <v>1485</v>
      </c>
    </row>
    <row r="961" spans="1:4" x14ac:dyDescent="0.2">
      <c r="A961" s="17" t="s">
        <v>1548</v>
      </c>
      <c r="B961" s="18" t="s">
        <v>1484</v>
      </c>
      <c r="C961" s="5">
        <v>35</v>
      </c>
      <c r="D961" s="5" t="s">
        <v>1485</v>
      </c>
    </row>
    <row r="962" spans="1:4" x14ac:dyDescent="0.2">
      <c r="A962" s="17" t="s">
        <v>1549</v>
      </c>
      <c r="B962" s="18" t="s">
        <v>1484</v>
      </c>
      <c r="C962" s="5">
        <v>35</v>
      </c>
      <c r="D962" s="5" t="s">
        <v>1485</v>
      </c>
    </row>
    <row r="963" spans="1:4" x14ac:dyDescent="0.2">
      <c r="A963" s="17" t="s">
        <v>1550</v>
      </c>
      <c r="B963" s="18" t="s">
        <v>1484</v>
      </c>
      <c r="C963" s="5">
        <v>35</v>
      </c>
      <c r="D963" s="5" t="s">
        <v>1485</v>
      </c>
    </row>
    <row r="964" spans="1:4" x14ac:dyDescent="0.2">
      <c r="A964" s="17" t="s">
        <v>1551</v>
      </c>
      <c r="B964" s="18" t="s">
        <v>1484</v>
      </c>
      <c r="C964" s="5">
        <v>35</v>
      </c>
      <c r="D964" s="5" t="s">
        <v>1485</v>
      </c>
    </row>
    <row r="965" spans="1:4" x14ac:dyDescent="0.2">
      <c r="A965" s="17" t="s">
        <v>1552</v>
      </c>
      <c r="B965" s="18" t="s">
        <v>1484</v>
      </c>
      <c r="C965" s="5">
        <v>35</v>
      </c>
      <c r="D965" s="5" t="s">
        <v>1485</v>
      </c>
    </row>
    <row r="966" spans="1:4" x14ac:dyDescent="0.2">
      <c r="A966" s="17" t="s">
        <v>1553</v>
      </c>
      <c r="B966" s="18" t="s">
        <v>1484</v>
      </c>
      <c r="C966" s="5">
        <v>35</v>
      </c>
      <c r="D966" s="5" t="s">
        <v>1485</v>
      </c>
    </row>
    <row r="967" spans="1:4" x14ac:dyDescent="0.2">
      <c r="A967" s="17" t="s">
        <v>1554</v>
      </c>
      <c r="B967" s="18" t="s">
        <v>1484</v>
      </c>
      <c r="C967" s="5">
        <v>35</v>
      </c>
      <c r="D967" s="5" t="s">
        <v>1485</v>
      </c>
    </row>
    <row r="968" spans="1:4" x14ac:dyDescent="0.2">
      <c r="A968" s="17" t="s">
        <v>1555</v>
      </c>
      <c r="B968" s="18" t="s">
        <v>1484</v>
      </c>
      <c r="C968" s="5">
        <v>35</v>
      </c>
      <c r="D968" s="5" t="s">
        <v>1485</v>
      </c>
    </row>
    <row r="969" spans="1:4" x14ac:dyDescent="0.2">
      <c r="A969" s="17" t="s">
        <v>1556</v>
      </c>
      <c r="B969" s="18" t="s">
        <v>1484</v>
      </c>
      <c r="C969" s="5">
        <v>35</v>
      </c>
      <c r="D969" s="5" t="s">
        <v>1485</v>
      </c>
    </row>
    <row r="970" spans="1:4" x14ac:dyDescent="0.2">
      <c r="A970" s="17" t="s">
        <v>1557</v>
      </c>
      <c r="B970" s="18" t="s">
        <v>1484</v>
      </c>
      <c r="C970" s="5">
        <v>35</v>
      </c>
      <c r="D970" s="5" t="s">
        <v>1485</v>
      </c>
    </row>
    <row r="971" spans="1:4" x14ac:dyDescent="0.2">
      <c r="A971" s="17" t="s">
        <v>1558</v>
      </c>
      <c r="B971" s="18" t="s">
        <v>1484</v>
      </c>
      <c r="C971" s="5">
        <v>35</v>
      </c>
      <c r="D971" s="5" t="s">
        <v>1485</v>
      </c>
    </row>
    <row r="972" spans="1:4" x14ac:dyDescent="0.2">
      <c r="A972" s="17" t="s">
        <v>1559</v>
      </c>
      <c r="B972" s="18" t="s">
        <v>1484</v>
      </c>
      <c r="C972" s="5">
        <v>35</v>
      </c>
      <c r="D972" s="5" t="s">
        <v>1485</v>
      </c>
    </row>
    <row r="973" spans="1:4" x14ac:dyDescent="0.2">
      <c r="A973" s="17" t="s">
        <v>1560</v>
      </c>
      <c r="B973" s="18" t="s">
        <v>1484</v>
      </c>
      <c r="C973" s="5">
        <v>35</v>
      </c>
      <c r="D973" s="5" t="s">
        <v>1485</v>
      </c>
    </row>
    <row r="974" spans="1:4" x14ac:dyDescent="0.2">
      <c r="A974" s="17" t="s">
        <v>1561</v>
      </c>
      <c r="B974" s="18" t="s">
        <v>1484</v>
      </c>
      <c r="C974" s="5">
        <v>35</v>
      </c>
      <c r="D974" s="5" t="s">
        <v>1485</v>
      </c>
    </row>
    <row r="975" spans="1:4" x14ac:dyDescent="0.2">
      <c r="A975" s="17" t="s">
        <v>1562</v>
      </c>
      <c r="B975" s="18" t="s">
        <v>1484</v>
      </c>
      <c r="C975" s="5">
        <v>35</v>
      </c>
      <c r="D975" s="5" t="s">
        <v>1485</v>
      </c>
    </row>
    <row r="976" spans="1:4" x14ac:dyDescent="0.2">
      <c r="A976" s="17" t="s">
        <v>1563</v>
      </c>
      <c r="B976" s="18" t="s">
        <v>1484</v>
      </c>
      <c r="C976" s="5">
        <v>35</v>
      </c>
      <c r="D976" s="5" t="s">
        <v>1485</v>
      </c>
    </row>
    <row r="977" spans="1:4" x14ac:dyDescent="0.2">
      <c r="A977" s="17" t="s">
        <v>1564</v>
      </c>
      <c r="B977" s="18" t="s">
        <v>1484</v>
      </c>
      <c r="C977" s="5">
        <v>35</v>
      </c>
      <c r="D977" s="5" t="s">
        <v>1485</v>
      </c>
    </row>
    <row r="978" spans="1:4" x14ac:dyDescent="0.2">
      <c r="A978" s="17" t="s">
        <v>1565</v>
      </c>
      <c r="B978" s="18" t="s">
        <v>1484</v>
      </c>
      <c r="C978" s="5">
        <v>35</v>
      </c>
      <c r="D978" s="5" t="s">
        <v>1485</v>
      </c>
    </row>
    <row r="979" spans="1:4" x14ac:dyDescent="0.2">
      <c r="A979" s="17" t="s">
        <v>1566</v>
      </c>
      <c r="B979" s="18" t="s">
        <v>1484</v>
      </c>
      <c r="C979" s="5">
        <v>35</v>
      </c>
      <c r="D979" s="5" t="s">
        <v>1485</v>
      </c>
    </row>
    <row r="980" spans="1:4" x14ac:dyDescent="0.2">
      <c r="A980" s="17" t="s">
        <v>1567</v>
      </c>
      <c r="B980" s="18" t="s">
        <v>1484</v>
      </c>
      <c r="C980" s="5">
        <v>35</v>
      </c>
      <c r="D980" s="5" t="s">
        <v>1485</v>
      </c>
    </row>
    <row r="981" spans="1:4" x14ac:dyDescent="0.2">
      <c r="A981" s="17" t="s">
        <v>1568</v>
      </c>
      <c r="B981" s="18" t="s">
        <v>1484</v>
      </c>
      <c r="C981" s="5">
        <v>35</v>
      </c>
      <c r="D981" s="5" t="s">
        <v>1485</v>
      </c>
    </row>
    <row r="982" spans="1:4" x14ac:dyDescent="0.2">
      <c r="A982" s="17" t="s">
        <v>1569</v>
      </c>
      <c r="B982" s="18" t="s">
        <v>1484</v>
      </c>
      <c r="C982" s="5">
        <v>35</v>
      </c>
      <c r="D982" s="5" t="s">
        <v>1485</v>
      </c>
    </row>
    <row r="983" spans="1:4" x14ac:dyDescent="0.2">
      <c r="A983" s="17" t="s">
        <v>1570</v>
      </c>
      <c r="B983" s="18" t="s">
        <v>1484</v>
      </c>
      <c r="C983" s="5">
        <v>35</v>
      </c>
      <c r="D983" s="5" t="s">
        <v>1485</v>
      </c>
    </row>
    <row r="984" spans="1:4" x14ac:dyDescent="0.2">
      <c r="A984" s="17" t="s">
        <v>1571</v>
      </c>
      <c r="B984" s="18" t="s">
        <v>1484</v>
      </c>
      <c r="C984" s="5">
        <v>35</v>
      </c>
      <c r="D984" s="5" t="s">
        <v>1485</v>
      </c>
    </row>
    <row r="985" spans="1:4" x14ac:dyDescent="0.2">
      <c r="A985" s="17" t="s">
        <v>1572</v>
      </c>
      <c r="B985" s="18" t="s">
        <v>1484</v>
      </c>
      <c r="C985" s="5">
        <v>35</v>
      </c>
      <c r="D985" s="5" t="s">
        <v>1485</v>
      </c>
    </row>
    <row r="986" spans="1:4" x14ac:dyDescent="0.2">
      <c r="A986" s="17" t="s">
        <v>1573</v>
      </c>
      <c r="B986" s="18" t="s">
        <v>1484</v>
      </c>
      <c r="C986" s="5">
        <v>35</v>
      </c>
      <c r="D986" s="5" t="s">
        <v>1485</v>
      </c>
    </row>
    <row r="987" spans="1:4" x14ac:dyDescent="0.2">
      <c r="A987" s="17" t="s">
        <v>1574</v>
      </c>
      <c r="B987" s="18" t="s">
        <v>1484</v>
      </c>
      <c r="C987" s="5">
        <v>35</v>
      </c>
      <c r="D987" s="5" t="s">
        <v>1485</v>
      </c>
    </row>
    <row r="988" spans="1:4" x14ac:dyDescent="0.2">
      <c r="A988" s="17" t="s">
        <v>409</v>
      </c>
      <c r="B988" s="18" t="s">
        <v>1484</v>
      </c>
      <c r="C988" s="5">
        <v>35</v>
      </c>
      <c r="D988" s="5" t="s">
        <v>1485</v>
      </c>
    </row>
    <row r="989" spans="1:4" x14ac:dyDescent="0.2">
      <c r="A989" s="17" t="s">
        <v>1575</v>
      </c>
      <c r="B989" s="18" t="s">
        <v>1484</v>
      </c>
      <c r="C989" s="5">
        <v>35</v>
      </c>
      <c r="D989" s="5" t="s">
        <v>1485</v>
      </c>
    </row>
    <row r="990" spans="1:4" x14ac:dyDescent="0.2">
      <c r="A990" s="17" t="s">
        <v>1576</v>
      </c>
      <c r="B990" s="18" t="s">
        <v>1484</v>
      </c>
      <c r="C990" s="5">
        <v>35</v>
      </c>
      <c r="D990" s="5" t="s">
        <v>1485</v>
      </c>
    </row>
    <row r="991" spans="1:4" x14ac:dyDescent="0.2">
      <c r="A991" s="17" t="s">
        <v>1577</v>
      </c>
      <c r="B991" s="18" t="s">
        <v>1484</v>
      </c>
      <c r="C991" s="5">
        <v>35</v>
      </c>
      <c r="D991" s="5" t="s">
        <v>1485</v>
      </c>
    </row>
    <row r="992" spans="1:4" x14ac:dyDescent="0.2">
      <c r="A992" s="17" t="s">
        <v>1578</v>
      </c>
      <c r="B992" s="18" t="s">
        <v>1484</v>
      </c>
      <c r="C992" s="5">
        <v>35</v>
      </c>
      <c r="D992" s="5" t="s">
        <v>1485</v>
      </c>
    </row>
    <row r="993" spans="1:4" x14ac:dyDescent="0.2">
      <c r="A993" s="17" t="s">
        <v>1579</v>
      </c>
      <c r="B993" s="18" t="s">
        <v>1484</v>
      </c>
      <c r="C993" s="5">
        <v>35</v>
      </c>
      <c r="D993" s="5" t="s">
        <v>1485</v>
      </c>
    </row>
    <row r="994" spans="1:4" x14ac:dyDescent="0.2">
      <c r="A994" s="17" t="s">
        <v>1580</v>
      </c>
      <c r="B994" s="18" t="s">
        <v>1484</v>
      </c>
      <c r="C994" s="5">
        <v>35</v>
      </c>
      <c r="D994" s="5" t="s">
        <v>1485</v>
      </c>
    </row>
    <row r="995" spans="1:4" x14ac:dyDescent="0.2">
      <c r="A995" s="17" t="s">
        <v>1581</v>
      </c>
      <c r="B995" s="18" t="s">
        <v>1484</v>
      </c>
      <c r="C995" s="5">
        <v>35</v>
      </c>
      <c r="D995" s="5" t="s">
        <v>1485</v>
      </c>
    </row>
    <row r="996" spans="1:4" x14ac:dyDescent="0.2">
      <c r="A996" s="17" t="s">
        <v>1582</v>
      </c>
      <c r="B996" s="18" t="s">
        <v>1484</v>
      </c>
      <c r="C996" s="5">
        <v>35</v>
      </c>
      <c r="D996" s="5" t="s">
        <v>1485</v>
      </c>
    </row>
    <row r="997" spans="1:4" x14ac:dyDescent="0.2">
      <c r="A997" s="17" t="s">
        <v>1583</v>
      </c>
      <c r="B997" s="18" t="s">
        <v>1484</v>
      </c>
      <c r="C997" s="5">
        <v>35</v>
      </c>
      <c r="D997" s="5" t="s">
        <v>1485</v>
      </c>
    </row>
    <row r="998" spans="1:4" x14ac:dyDescent="0.2">
      <c r="A998" s="17" t="s">
        <v>1584</v>
      </c>
      <c r="B998" s="18" t="s">
        <v>1484</v>
      </c>
      <c r="C998" s="5">
        <v>35</v>
      </c>
      <c r="D998" s="5" t="s">
        <v>1485</v>
      </c>
    </row>
    <row r="999" spans="1:4" x14ac:dyDescent="0.2">
      <c r="A999" s="17" t="s">
        <v>1585</v>
      </c>
      <c r="B999" s="18" t="s">
        <v>1484</v>
      </c>
      <c r="C999" s="5">
        <v>35</v>
      </c>
      <c r="D999" s="5" t="s">
        <v>1485</v>
      </c>
    </row>
    <row r="1000" spans="1:4" x14ac:dyDescent="0.2">
      <c r="A1000" s="17" t="s">
        <v>1586</v>
      </c>
      <c r="B1000" s="18" t="s">
        <v>1484</v>
      </c>
      <c r="C1000" s="5">
        <v>35</v>
      </c>
      <c r="D1000" s="5" t="s">
        <v>1485</v>
      </c>
    </row>
    <row r="1001" spans="1:4" x14ac:dyDescent="0.2">
      <c r="A1001" s="17" t="s">
        <v>1587</v>
      </c>
      <c r="B1001" s="18" t="s">
        <v>1484</v>
      </c>
      <c r="C1001" s="5">
        <v>35</v>
      </c>
      <c r="D1001" s="5" t="s">
        <v>1485</v>
      </c>
    </row>
    <row r="1002" spans="1:4" x14ac:dyDescent="0.2">
      <c r="A1002" s="17" t="s">
        <v>1588</v>
      </c>
      <c r="B1002" s="18" t="s">
        <v>1484</v>
      </c>
      <c r="C1002" s="5">
        <v>35</v>
      </c>
      <c r="D1002" s="5" t="s">
        <v>1485</v>
      </c>
    </row>
    <row r="1003" spans="1:4" x14ac:dyDescent="0.2">
      <c r="A1003" s="17" t="s">
        <v>1589</v>
      </c>
      <c r="B1003" s="18" t="s">
        <v>1484</v>
      </c>
      <c r="C1003" s="5">
        <v>35</v>
      </c>
      <c r="D1003" s="5" t="s">
        <v>1485</v>
      </c>
    </row>
    <row r="1004" spans="1:4" x14ac:dyDescent="0.2">
      <c r="A1004" s="17" t="s">
        <v>1590</v>
      </c>
      <c r="B1004" s="18" t="s">
        <v>1484</v>
      </c>
      <c r="C1004" s="5">
        <v>35</v>
      </c>
      <c r="D1004" s="5" t="s">
        <v>1485</v>
      </c>
    </row>
    <row r="1005" spans="1:4" x14ac:dyDescent="0.2">
      <c r="A1005" s="17" t="s">
        <v>1591</v>
      </c>
      <c r="B1005" s="18" t="s">
        <v>1484</v>
      </c>
      <c r="C1005" s="5">
        <v>35</v>
      </c>
      <c r="D1005" s="5" t="s">
        <v>1485</v>
      </c>
    </row>
    <row r="1006" spans="1:4" x14ac:dyDescent="0.2">
      <c r="A1006" s="17" t="s">
        <v>1592</v>
      </c>
      <c r="B1006" s="18" t="s">
        <v>1484</v>
      </c>
      <c r="C1006" s="5">
        <v>35</v>
      </c>
      <c r="D1006" s="5" t="s">
        <v>1485</v>
      </c>
    </row>
    <row r="1007" spans="1:4" x14ac:dyDescent="0.2">
      <c r="A1007" s="17" t="s">
        <v>1593</v>
      </c>
      <c r="B1007" s="18" t="s">
        <v>1484</v>
      </c>
      <c r="C1007" s="5">
        <v>35</v>
      </c>
      <c r="D1007" s="5" t="s">
        <v>1485</v>
      </c>
    </row>
    <row r="1008" spans="1:4" x14ac:dyDescent="0.2">
      <c r="A1008" s="17" t="s">
        <v>1594</v>
      </c>
      <c r="B1008" s="18" t="s">
        <v>1484</v>
      </c>
      <c r="C1008" s="5">
        <v>35</v>
      </c>
      <c r="D1008" s="5" t="s">
        <v>1485</v>
      </c>
    </row>
    <row r="1009" spans="1:4" x14ac:dyDescent="0.2">
      <c r="A1009" s="17" t="s">
        <v>1595</v>
      </c>
      <c r="B1009" s="18" t="s">
        <v>1484</v>
      </c>
      <c r="C1009" s="5">
        <v>35</v>
      </c>
      <c r="D1009" s="5" t="s">
        <v>1485</v>
      </c>
    </row>
    <row r="1010" spans="1:4" x14ac:dyDescent="0.2">
      <c r="A1010" s="17" t="s">
        <v>1596</v>
      </c>
      <c r="B1010" s="18" t="s">
        <v>1484</v>
      </c>
      <c r="C1010" s="5">
        <v>35</v>
      </c>
      <c r="D1010" s="5" t="s">
        <v>1485</v>
      </c>
    </row>
    <row r="1011" spans="1:4" x14ac:dyDescent="0.2">
      <c r="A1011" s="17" t="s">
        <v>1597</v>
      </c>
      <c r="B1011" s="18" t="s">
        <v>1484</v>
      </c>
      <c r="C1011" s="5">
        <v>35</v>
      </c>
      <c r="D1011" s="5" t="s">
        <v>1485</v>
      </c>
    </row>
    <row r="1012" spans="1:4" x14ac:dyDescent="0.2">
      <c r="A1012" s="17" t="s">
        <v>1598</v>
      </c>
      <c r="B1012" s="18" t="s">
        <v>1484</v>
      </c>
      <c r="C1012" s="5">
        <v>35</v>
      </c>
      <c r="D1012" s="5" t="s">
        <v>1485</v>
      </c>
    </row>
    <row r="1013" spans="1:4" x14ac:dyDescent="0.2">
      <c r="A1013" s="17" t="s">
        <v>1599</v>
      </c>
      <c r="B1013" s="18" t="s">
        <v>1484</v>
      </c>
      <c r="C1013" s="5">
        <v>35</v>
      </c>
      <c r="D1013" s="5" t="s">
        <v>1485</v>
      </c>
    </row>
    <row r="1014" spans="1:4" x14ac:dyDescent="0.2">
      <c r="A1014" s="17" t="s">
        <v>1600</v>
      </c>
      <c r="B1014" s="18" t="s">
        <v>1484</v>
      </c>
      <c r="C1014" s="5">
        <v>35</v>
      </c>
      <c r="D1014" s="5" t="s">
        <v>1485</v>
      </c>
    </row>
    <row r="1015" spans="1:4" x14ac:dyDescent="0.2">
      <c r="A1015" s="17" t="s">
        <v>1601</v>
      </c>
      <c r="B1015" s="18" t="s">
        <v>1484</v>
      </c>
      <c r="C1015" s="5">
        <v>35</v>
      </c>
      <c r="D1015" s="5" t="s">
        <v>1485</v>
      </c>
    </row>
    <row r="1016" spans="1:4" x14ac:dyDescent="0.2">
      <c r="A1016" s="17" t="s">
        <v>1602</v>
      </c>
      <c r="B1016" s="18" t="s">
        <v>1484</v>
      </c>
      <c r="C1016" s="5">
        <v>35</v>
      </c>
      <c r="D1016" s="5" t="s">
        <v>1485</v>
      </c>
    </row>
    <row r="1017" spans="1:4" x14ac:dyDescent="0.2">
      <c r="A1017" s="17" t="s">
        <v>1603</v>
      </c>
      <c r="B1017" s="18" t="s">
        <v>1484</v>
      </c>
      <c r="C1017" s="5">
        <v>35</v>
      </c>
      <c r="D1017" s="5" t="s">
        <v>1485</v>
      </c>
    </row>
    <row r="1018" spans="1:4" x14ac:dyDescent="0.2">
      <c r="A1018" s="17" t="s">
        <v>1604</v>
      </c>
      <c r="B1018" s="18" t="s">
        <v>1484</v>
      </c>
      <c r="C1018" s="5">
        <v>35</v>
      </c>
      <c r="D1018" s="5" t="s">
        <v>1485</v>
      </c>
    </row>
    <row r="1019" spans="1:4" x14ac:dyDescent="0.2">
      <c r="A1019" s="17" t="s">
        <v>1605</v>
      </c>
      <c r="B1019" s="18" t="s">
        <v>1484</v>
      </c>
      <c r="C1019" s="5">
        <v>35</v>
      </c>
      <c r="D1019" s="5" t="s">
        <v>1485</v>
      </c>
    </row>
    <row r="1020" spans="1:4" x14ac:dyDescent="0.2">
      <c r="A1020" s="17" t="s">
        <v>1606</v>
      </c>
      <c r="B1020" s="18" t="s">
        <v>1484</v>
      </c>
      <c r="C1020" s="5">
        <v>35</v>
      </c>
      <c r="D1020" s="5" t="s">
        <v>1485</v>
      </c>
    </row>
    <row r="1021" spans="1:4" x14ac:dyDescent="0.2">
      <c r="A1021" s="17" t="s">
        <v>1607</v>
      </c>
      <c r="B1021" s="18" t="s">
        <v>1484</v>
      </c>
      <c r="C1021" s="5">
        <v>35</v>
      </c>
      <c r="D1021" s="5" t="s">
        <v>1485</v>
      </c>
    </row>
    <row r="1022" spans="1:4" x14ac:dyDescent="0.2">
      <c r="A1022" s="17" t="s">
        <v>1608</v>
      </c>
      <c r="B1022" s="18" t="s">
        <v>1484</v>
      </c>
      <c r="C1022" s="5">
        <v>35</v>
      </c>
      <c r="D1022" s="5" t="s">
        <v>1485</v>
      </c>
    </row>
    <row r="1023" spans="1:4" x14ac:dyDescent="0.2">
      <c r="A1023" s="17" t="s">
        <v>1609</v>
      </c>
      <c r="B1023" s="18" t="s">
        <v>1484</v>
      </c>
      <c r="C1023" s="5">
        <v>35</v>
      </c>
      <c r="D1023" s="5" t="s">
        <v>1485</v>
      </c>
    </row>
    <row r="1024" spans="1:4" x14ac:dyDescent="0.2">
      <c r="A1024" s="17" t="s">
        <v>1610</v>
      </c>
      <c r="B1024" s="18" t="s">
        <v>1484</v>
      </c>
      <c r="C1024" s="5">
        <v>35</v>
      </c>
      <c r="D1024" s="5" t="s">
        <v>1485</v>
      </c>
    </row>
    <row r="1025" spans="1:4" x14ac:dyDescent="0.2">
      <c r="A1025" s="17" t="s">
        <v>1611</v>
      </c>
      <c r="B1025" s="18" t="s">
        <v>1484</v>
      </c>
      <c r="C1025" s="5">
        <v>35</v>
      </c>
      <c r="D1025" s="5" t="s">
        <v>1485</v>
      </c>
    </row>
    <row r="1026" spans="1:4" x14ac:dyDescent="0.2">
      <c r="A1026" s="17" t="s">
        <v>1612</v>
      </c>
      <c r="B1026" s="18" t="s">
        <v>1484</v>
      </c>
      <c r="C1026" s="5">
        <v>35</v>
      </c>
      <c r="D1026" s="5" t="s">
        <v>1485</v>
      </c>
    </row>
    <row r="1027" spans="1:4" x14ac:dyDescent="0.2">
      <c r="A1027" s="17" t="s">
        <v>1613</v>
      </c>
      <c r="B1027" s="18" t="s">
        <v>1484</v>
      </c>
      <c r="C1027" s="5">
        <v>35</v>
      </c>
      <c r="D1027" s="5" t="s">
        <v>1485</v>
      </c>
    </row>
    <row r="1028" spans="1:4" x14ac:dyDescent="0.2">
      <c r="A1028" s="17" t="s">
        <v>1614</v>
      </c>
      <c r="B1028" s="18" t="s">
        <v>1484</v>
      </c>
      <c r="C1028" s="5">
        <v>35</v>
      </c>
      <c r="D1028" s="5" t="s">
        <v>1485</v>
      </c>
    </row>
    <row r="1029" spans="1:4" x14ac:dyDescent="0.2">
      <c r="A1029" s="17" t="s">
        <v>1615</v>
      </c>
      <c r="B1029" s="18" t="s">
        <v>1484</v>
      </c>
      <c r="C1029" s="5">
        <v>35</v>
      </c>
      <c r="D1029" s="5" t="s">
        <v>1485</v>
      </c>
    </row>
    <row r="1030" spans="1:4" x14ac:dyDescent="0.2">
      <c r="A1030" s="17" t="s">
        <v>1616</v>
      </c>
      <c r="B1030" s="18" t="s">
        <v>1484</v>
      </c>
      <c r="C1030" s="5">
        <v>35</v>
      </c>
      <c r="D1030" s="5" t="s">
        <v>1485</v>
      </c>
    </row>
    <row r="1031" spans="1:4" x14ac:dyDescent="0.2">
      <c r="A1031" s="17" t="s">
        <v>1617</v>
      </c>
      <c r="B1031" s="18" t="s">
        <v>1484</v>
      </c>
      <c r="C1031" s="5">
        <v>35</v>
      </c>
      <c r="D1031" s="5" t="s">
        <v>1485</v>
      </c>
    </row>
    <row r="1032" spans="1:4" x14ac:dyDescent="0.2">
      <c r="A1032" s="17" t="s">
        <v>1618</v>
      </c>
      <c r="B1032" s="18" t="s">
        <v>1484</v>
      </c>
      <c r="C1032" s="5">
        <v>35</v>
      </c>
      <c r="D1032" s="5" t="s">
        <v>1485</v>
      </c>
    </row>
    <row r="1033" spans="1:4" x14ac:dyDescent="0.2">
      <c r="A1033" s="17" t="s">
        <v>1619</v>
      </c>
      <c r="B1033" s="18" t="s">
        <v>1484</v>
      </c>
      <c r="C1033" s="5">
        <v>35</v>
      </c>
      <c r="D1033" s="5" t="s">
        <v>1485</v>
      </c>
    </row>
    <row r="1034" spans="1:4" x14ac:dyDescent="0.2">
      <c r="A1034" s="17" t="s">
        <v>1620</v>
      </c>
      <c r="B1034" s="18" t="s">
        <v>1484</v>
      </c>
      <c r="C1034" s="5">
        <v>35</v>
      </c>
      <c r="D1034" s="5" t="s">
        <v>1485</v>
      </c>
    </row>
    <row r="1035" spans="1:4" x14ac:dyDescent="0.2">
      <c r="A1035" s="17" t="s">
        <v>1621</v>
      </c>
      <c r="B1035" s="18" t="s">
        <v>1484</v>
      </c>
      <c r="C1035" s="5">
        <v>35</v>
      </c>
      <c r="D1035" s="5" t="s">
        <v>1485</v>
      </c>
    </row>
    <row r="1036" spans="1:4" x14ac:dyDescent="0.2">
      <c r="A1036" s="17" t="s">
        <v>1622</v>
      </c>
      <c r="B1036" s="18" t="s">
        <v>1484</v>
      </c>
      <c r="C1036" s="5">
        <v>35</v>
      </c>
      <c r="D1036" s="5" t="s">
        <v>1485</v>
      </c>
    </row>
    <row r="1037" spans="1:4" x14ac:dyDescent="0.2">
      <c r="A1037" s="17" t="s">
        <v>1623</v>
      </c>
      <c r="B1037" s="18" t="s">
        <v>1484</v>
      </c>
      <c r="C1037" s="5">
        <v>35</v>
      </c>
      <c r="D1037" s="5" t="s">
        <v>1485</v>
      </c>
    </row>
    <row r="1038" spans="1:4" x14ac:dyDescent="0.2">
      <c r="A1038" s="17" t="s">
        <v>1624</v>
      </c>
      <c r="B1038" s="18" t="s">
        <v>1484</v>
      </c>
      <c r="C1038" s="5">
        <v>35</v>
      </c>
      <c r="D1038" s="5" t="s">
        <v>1485</v>
      </c>
    </row>
    <row r="1039" spans="1:4" x14ac:dyDescent="0.2">
      <c r="A1039" s="17" t="s">
        <v>1625</v>
      </c>
      <c r="B1039" s="18" t="s">
        <v>1484</v>
      </c>
      <c r="C1039" s="5">
        <v>35</v>
      </c>
      <c r="D1039" s="5" t="s">
        <v>1485</v>
      </c>
    </row>
    <row r="1040" spans="1:4" x14ac:dyDescent="0.2">
      <c r="A1040" s="17" t="s">
        <v>1626</v>
      </c>
      <c r="B1040" s="18" t="s">
        <v>1484</v>
      </c>
      <c r="C1040" s="5">
        <v>35</v>
      </c>
      <c r="D1040" s="5" t="s">
        <v>1485</v>
      </c>
    </row>
    <row r="1041" spans="1:4" x14ac:dyDescent="0.2">
      <c r="A1041" s="17" t="s">
        <v>1627</v>
      </c>
      <c r="B1041" s="18" t="s">
        <v>1484</v>
      </c>
      <c r="C1041" s="5">
        <v>35</v>
      </c>
      <c r="D1041" s="5" t="s">
        <v>1485</v>
      </c>
    </row>
    <row r="1042" spans="1:4" x14ac:dyDescent="0.2">
      <c r="A1042" s="17" t="s">
        <v>1628</v>
      </c>
      <c r="B1042" s="18" t="s">
        <v>1484</v>
      </c>
      <c r="C1042" s="5">
        <v>35</v>
      </c>
      <c r="D1042" s="5" t="s">
        <v>1485</v>
      </c>
    </row>
    <row r="1043" spans="1:4" x14ac:dyDescent="0.2">
      <c r="A1043" s="17" t="s">
        <v>1629</v>
      </c>
      <c r="B1043" s="18" t="s">
        <v>1484</v>
      </c>
      <c r="C1043" s="5">
        <v>35</v>
      </c>
      <c r="D1043" s="5" t="s">
        <v>1485</v>
      </c>
    </row>
    <row r="1044" spans="1:4" x14ac:dyDescent="0.2">
      <c r="A1044" s="17" t="s">
        <v>1630</v>
      </c>
      <c r="B1044" s="18" t="s">
        <v>1484</v>
      </c>
      <c r="C1044" s="5">
        <v>35</v>
      </c>
      <c r="D1044" s="5" t="s">
        <v>1485</v>
      </c>
    </row>
    <row r="1045" spans="1:4" x14ac:dyDescent="0.2">
      <c r="A1045" s="17" t="s">
        <v>1631</v>
      </c>
      <c r="B1045" s="18" t="s">
        <v>1484</v>
      </c>
      <c r="C1045" s="5">
        <v>35</v>
      </c>
      <c r="D1045" s="5" t="s">
        <v>1485</v>
      </c>
    </row>
    <row r="1046" spans="1:4" x14ac:dyDescent="0.2">
      <c r="A1046" s="17" t="s">
        <v>1632</v>
      </c>
      <c r="B1046" s="18" t="s">
        <v>1484</v>
      </c>
      <c r="C1046" s="5">
        <v>35</v>
      </c>
      <c r="D1046" s="5" t="s">
        <v>1485</v>
      </c>
    </row>
    <row r="1047" spans="1:4" x14ac:dyDescent="0.2">
      <c r="A1047" s="17" t="s">
        <v>1633</v>
      </c>
      <c r="B1047" s="18" t="s">
        <v>1484</v>
      </c>
      <c r="C1047" s="5">
        <v>35</v>
      </c>
      <c r="D1047" s="5" t="s">
        <v>1485</v>
      </c>
    </row>
    <row r="1048" spans="1:4" x14ac:dyDescent="0.2">
      <c r="A1048" s="17" t="s">
        <v>1634</v>
      </c>
      <c r="B1048" s="18" t="s">
        <v>1484</v>
      </c>
      <c r="C1048" s="5">
        <v>35</v>
      </c>
      <c r="D1048" s="5" t="s">
        <v>1485</v>
      </c>
    </row>
    <row r="1049" spans="1:4" x14ac:dyDescent="0.2">
      <c r="A1049" s="17" t="s">
        <v>1635</v>
      </c>
      <c r="B1049" s="18" t="s">
        <v>1484</v>
      </c>
      <c r="C1049" s="5">
        <v>35</v>
      </c>
      <c r="D1049" s="5" t="s">
        <v>1485</v>
      </c>
    </row>
    <row r="1050" spans="1:4" x14ac:dyDescent="0.2">
      <c r="A1050" s="17" t="s">
        <v>1636</v>
      </c>
      <c r="B1050" s="18" t="s">
        <v>1484</v>
      </c>
      <c r="C1050" s="5">
        <v>35</v>
      </c>
      <c r="D1050" s="5" t="s">
        <v>1485</v>
      </c>
    </row>
    <row r="1051" spans="1:4" x14ac:dyDescent="0.2">
      <c r="A1051" s="17" t="s">
        <v>1637</v>
      </c>
      <c r="B1051" s="18" t="s">
        <v>1484</v>
      </c>
      <c r="C1051" s="5">
        <v>35</v>
      </c>
      <c r="D1051" s="5" t="s">
        <v>1485</v>
      </c>
    </row>
    <row r="1052" spans="1:4" x14ac:dyDescent="0.2">
      <c r="A1052" s="17" t="s">
        <v>1638</v>
      </c>
      <c r="B1052" s="18" t="s">
        <v>1484</v>
      </c>
      <c r="C1052" s="5">
        <v>35</v>
      </c>
      <c r="D1052" s="5" t="s">
        <v>1485</v>
      </c>
    </row>
    <row r="1053" spans="1:4" x14ac:dyDescent="0.2">
      <c r="A1053" s="17" t="s">
        <v>1639</v>
      </c>
      <c r="B1053" s="18" t="s">
        <v>1484</v>
      </c>
      <c r="C1053" s="5">
        <v>35</v>
      </c>
      <c r="D1053" s="5" t="s">
        <v>1485</v>
      </c>
    </row>
    <row r="1054" spans="1:4" x14ac:dyDescent="0.2">
      <c r="A1054" s="17" t="s">
        <v>1640</v>
      </c>
      <c r="B1054" s="18" t="s">
        <v>1484</v>
      </c>
      <c r="C1054" s="5">
        <v>35</v>
      </c>
      <c r="D1054" s="5" t="s">
        <v>1485</v>
      </c>
    </row>
    <row r="1055" spans="1:4" x14ac:dyDescent="0.2">
      <c r="A1055" s="17" t="s">
        <v>1641</v>
      </c>
      <c r="B1055" s="18" t="s">
        <v>1484</v>
      </c>
      <c r="C1055" s="5">
        <v>35</v>
      </c>
      <c r="D1055" s="5" t="s">
        <v>1485</v>
      </c>
    </row>
    <row r="1056" spans="1:4" x14ac:dyDescent="0.2">
      <c r="A1056" s="17" t="s">
        <v>1642</v>
      </c>
      <c r="B1056" s="18" t="s">
        <v>1484</v>
      </c>
      <c r="C1056" s="5">
        <v>35</v>
      </c>
      <c r="D1056" s="5" t="s">
        <v>1485</v>
      </c>
    </row>
    <row r="1057" spans="1:4" x14ac:dyDescent="0.2">
      <c r="A1057" s="17" t="s">
        <v>1643</v>
      </c>
      <c r="B1057" s="18" t="s">
        <v>1484</v>
      </c>
      <c r="C1057" s="5">
        <v>35</v>
      </c>
      <c r="D1057" s="5" t="s">
        <v>1485</v>
      </c>
    </row>
    <row r="1058" spans="1:4" x14ac:dyDescent="0.2">
      <c r="A1058" s="17" t="s">
        <v>1644</v>
      </c>
      <c r="B1058" s="18" t="s">
        <v>1484</v>
      </c>
      <c r="C1058" s="5">
        <v>35</v>
      </c>
      <c r="D1058" s="5" t="s">
        <v>1485</v>
      </c>
    </row>
    <row r="1059" spans="1:4" x14ac:dyDescent="0.2">
      <c r="A1059" s="17" t="s">
        <v>1645</v>
      </c>
      <c r="B1059" s="18" t="s">
        <v>1484</v>
      </c>
      <c r="C1059" s="5">
        <v>35</v>
      </c>
      <c r="D1059" s="5" t="s">
        <v>1485</v>
      </c>
    </row>
    <row r="1060" spans="1:4" x14ac:dyDescent="0.2">
      <c r="A1060" s="17" t="s">
        <v>1646</v>
      </c>
      <c r="B1060" s="18" t="s">
        <v>1484</v>
      </c>
      <c r="C1060" s="5">
        <v>35</v>
      </c>
      <c r="D1060" s="5" t="s">
        <v>1485</v>
      </c>
    </row>
    <row r="1061" spans="1:4" x14ac:dyDescent="0.2">
      <c r="A1061" s="17" t="s">
        <v>1647</v>
      </c>
      <c r="B1061" s="18" t="s">
        <v>1484</v>
      </c>
      <c r="C1061" s="5">
        <v>35</v>
      </c>
      <c r="D1061" s="5" t="s">
        <v>1485</v>
      </c>
    </row>
    <row r="1062" spans="1:4" x14ac:dyDescent="0.2">
      <c r="A1062" s="17" t="s">
        <v>1648</v>
      </c>
      <c r="B1062" s="18" t="s">
        <v>1484</v>
      </c>
      <c r="C1062" s="5">
        <v>35</v>
      </c>
      <c r="D1062" s="5" t="s">
        <v>1485</v>
      </c>
    </row>
    <row r="1063" spans="1:4" x14ac:dyDescent="0.2">
      <c r="A1063" s="17" t="s">
        <v>1649</v>
      </c>
      <c r="B1063" s="18" t="s">
        <v>1484</v>
      </c>
      <c r="C1063" s="5">
        <v>35</v>
      </c>
      <c r="D1063" s="5" t="s">
        <v>1485</v>
      </c>
    </row>
    <row r="1064" spans="1:4" x14ac:dyDescent="0.2">
      <c r="A1064" s="17" t="s">
        <v>1650</v>
      </c>
      <c r="B1064" s="18" t="s">
        <v>1484</v>
      </c>
      <c r="C1064" s="5">
        <v>35</v>
      </c>
      <c r="D1064" s="5" t="s">
        <v>1485</v>
      </c>
    </row>
    <row r="1065" spans="1:4" x14ac:dyDescent="0.2">
      <c r="A1065" s="17" t="s">
        <v>1651</v>
      </c>
      <c r="B1065" s="18" t="s">
        <v>1484</v>
      </c>
      <c r="C1065" s="5">
        <v>35</v>
      </c>
      <c r="D1065" s="5" t="s">
        <v>1485</v>
      </c>
    </row>
    <row r="1066" spans="1:4" x14ac:dyDescent="0.2">
      <c r="A1066" s="17" t="s">
        <v>1652</v>
      </c>
      <c r="B1066" s="18" t="s">
        <v>1484</v>
      </c>
      <c r="C1066" s="5">
        <v>35</v>
      </c>
      <c r="D1066" s="5" t="s">
        <v>1485</v>
      </c>
    </row>
    <row r="1067" spans="1:4" x14ac:dyDescent="0.2">
      <c r="A1067" s="17" t="s">
        <v>1653</v>
      </c>
      <c r="B1067" s="18" t="s">
        <v>1484</v>
      </c>
      <c r="C1067" s="5">
        <v>35</v>
      </c>
      <c r="D1067" s="5" t="s">
        <v>1485</v>
      </c>
    </row>
    <row r="1068" spans="1:4" x14ac:dyDescent="0.2">
      <c r="A1068" s="17" t="s">
        <v>1654</v>
      </c>
      <c r="B1068" s="18" t="s">
        <v>1484</v>
      </c>
      <c r="C1068" s="5">
        <v>35</v>
      </c>
      <c r="D1068" s="5" t="s">
        <v>1485</v>
      </c>
    </row>
    <row r="1069" spans="1:4" x14ac:dyDescent="0.2">
      <c r="A1069" s="17" t="s">
        <v>1655</v>
      </c>
      <c r="B1069" s="18" t="s">
        <v>1484</v>
      </c>
      <c r="C1069" s="5">
        <v>35</v>
      </c>
      <c r="D1069" s="5" t="s">
        <v>1485</v>
      </c>
    </row>
    <row r="1070" spans="1:4" x14ac:dyDescent="0.2">
      <c r="A1070" s="17" t="s">
        <v>1656</v>
      </c>
      <c r="B1070" s="18" t="s">
        <v>1484</v>
      </c>
      <c r="C1070" s="5">
        <v>35</v>
      </c>
      <c r="D1070" s="5" t="s">
        <v>1485</v>
      </c>
    </row>
    <row r="1071" spans="1:4" x14ac:dyDescent="0.2">
      <c r="A1071" s="17" t="s">
        <v>1657</v>
      </c>
      <c r="B1071" s="18" t="s">
        <v>1484</v>
      </c>
      <c r="C1071" s="5">
        <v>35</v>
      </c>
      <c r="D1071" s="5" t="s">
        <v>1485</v>
      </c>
    </row>
    <row r="1072" spans="1:4" x14ac:dyDescent="0.2">
      <c r="A1072" s="17" t="s">
        <v>1658</v>
      </c>
      <c r="B1072" s="18" t="s">
        <v>1484</v>
      </c>
      <c r="C1072" s="5">
        <v>35</v>
      </c>
      <c r="D1072" s="5" t="s">
        <v>1485</v>
      </c>
    </row>
    <row r="1073" spans="1:4" x14ac:dyDescent="0.2">
      <c r="A1073" s="17" t="s">
        <v>1659</v>
      </c>
      <c r="B1073" s="18" t="s">
        <v>1484</v>
      </c>
      <c r="C1073" s="5">
        <v>35</v>
      </c>
      <c r="D1073" s="5" t="s">
        <v>1485</v>
      </c>
    </row>
    <row r="1074" spans="1:4" x14ac:dyDescent="0.2">
      <c r="A1074" s="17" t="s">
        <v>1660</v>
      </c>
      <c r="B1074" s="18" t="s">
        <v>1484</v>
      </c>
      <c r="C1074" s="5">
        <v>35</v>
      </c>
      <c r="D1074" s="5" t="s">
        <v>1485</v>
      </c>
    </row>
    <row r="1075" spans="1:4" x14ac:dyDescent="0.2">
      <c r="A1075" s="17" t="s">
        <v>1661</v>
      </c>
      <c r="B1075" s="18" t="s">
        <v>1484</v>
      </c>
      <c r="C1075" s="5">
        <v>35</v>
      </c>
      <c r="D1075" s="5" t="s">
        <v>1485</v>
      </c>
    </row>
    <row r="1076" spans="1:4" x14ac:dyDescent="0.2">
      <c r="A1076" s="17" t="s">
        <v>1662</v>
      </c>
      <c r="B1076" s="18" t="s">
        <v>1484</v>
      </c>
      <c r="C1076" s="5">
        <v>35</v>
      </c>
      <c r="D1076" s="5" t="s">
        <v>1485</v>
      </c>
    </row>
    <row r="1077" spans="1:4" x14ac:dyDescent="0.2">
      <c r="A1077" s="17" t="s">
        <v>1663</v>
      </c>
      <c r="B1077" s="18" t="s">
        <v>1484</v>
      </c>
      <c r="C1077" s="5">
        <v>35</v>
      </c>
      <c r="D1077" s="5" t="s">
        <v>1485</v>
      </c>
    </row>
    <row r="1078" spans="1:4" x14ac:dyDescent="0.2">
      <c r="A1078" s="17" t="s">
        <v>1664</v>
      </c>
      <c r="B1078" s="18" t="s">
        <v>1484</v>
      </c>
      <c r="C1078" s="5">
        <v>35</v>
      </c>
      <c r="D1078" s="5" t="s">
        <v>1485</v>
      </c>
    </row>
    <row r="1079" spans="1:4" x14ac:dyDescent="0.2">
      <c r="A1079" s="17" t="s">
        <v>1665</v>
      </c>
      <c r="B1079" s="18" t="s">
        <v>1484</v>
      </c>
      <c r="C1079" s="5">
        <v>35</v>
      </c>
      <c r="D1079" s="5" t="s">
        <v>1485</v>
      </c>
    </row>
    <row r="1080" spans="1:4" x14ac:dyDescent="0.2">
      <c r="A1080" s="17" t="s">
        <v>1666</v>
      </c>
      <c r="B1080" s="18" t="s">
        <v>1484</v>
      </c>
      <c r="C1080" s="5">
        <v>35</v>
      </c>
      <c r="D1080" s="5" t="s">
        <v>1485</v>
      </c>
    </row>
    <row r="1081" spans="1:4" x14ac:dyDescent="0.2">
      <c r="A1081" s="17" t="s">
        <v>1667</v>
      </c>
      <c r="B1081" s="18" t="s">
        <v>1484</v>
      </c>
      <c r="C1081" s="5">
        <v>35</v>
      </c>
      <c r="D1081" s="5" t="s">
        <v>1485</v>
      </c>
    </row>
    <row r="1082" spans="1:4" x14ac:dyDescent="0.2">
      <c r="A1082" s="17" t="s">
        <v>1668</v>
      </c>
      <c r="B1082" s="18" t="s">
        <v>1484</v>
      </c>
      <c r="C1082" s="5">
        <v>35</v>
      </c>
      <c r="D1082" s="5" t="s">
        <v>1485</v>
      </c>
    </row>
    <row r="1083" spans="1:4" x14ac:dyDescent="0.2">
      <c r="A1083" s="17" t="s">
        <v>1669</v>
      </c>
      <c r="B1083" s="18" t="s">
        <v>1484</v>
      </c>
      <c r="C1083" s="5">
        <v>35</v>
      </c>
      <c r="D1083" s="5" t="s">
        <v>1485</v>
      </c>
    </row>
    <row r="1084" spans="1:4" x14ac:dyDescent="0.2">
      <c r="A1084" s="17" t="s">
        <v>1670</v>
      </c>
      <c r="B1084" s="18" t="s">
        <v>1484</v>
      </c>
      <c r="C1084" s="5">
        <v>35</v>
      </c>
      <c r="D1084" s="5" t="s">
        <v>1485</v>
      </c>
    </row>
    <row r="1085" spans="1:4" x14ac:dyDescent="0.2">
      <c r="A1085" s="17" t="s">
        <v>1671</v>
      </c>
      <c r="B1085" s="18" t="s">
        <v>1484</v>
      </c>
      <c r="C1085" s="5">
        <v>35</v>
      </c>
      <c r="D1085" s="5" t="s">
        <v>1485</v>
      </c>
    </row>
    <row r="1086" spans="1:4" x14ac:dyDescent="0.2">
      <c r="A1086" s="17" t="s">
        <v>1672</v>
      </c>
      <c r="B1086" s="18" t="s">
        <v>1484</v>
      </c>
      <c r="C1086" s="5">
        <v>35</v>
      </c>
      <c r="D1086" s="5" t="s">
        <v>1485</v>
      </c>
    </row>
    <row r="1087" spans="1:4" x14ac:dyDescent="0.2">
      <c r="A1087" s="17" t="s">
        <v>1673</v>
      </c>
      <c r="B1087" s="18" t="s">
        <v>1484</v>
      </c>
      <c r="C1087" s="5">
        <v>35</v>
      </c>
      <c r="D1087" s="5" t="s">
        <v>1485</v>
      </c>
    </row>
    <row r="1088" spans="1:4" x14ac:dyDescent="0.2">
      <c r="A1088" s="17" t="s">
        <v>1674</v>
      </c>
      <c r="B1088" s="18" t="s">
        <v>1484</v>
      </c>
      <c r="C1088" s="5">
        <v>35</v>
      </c>
      <c r="D1088" s="5" t="s">
        <v>1485</v>
      </c>
    </row>
    <row r="1089" spans="1:4" x14ac:dyDescent="0.2">
      <c r="A1089" s="17" t="s">
        <v>1675</v>
      </c>
      <c r="B1089" s="18" t="s">
        <v>1484</v>
      </c>
      <c r="C1089" s="5">
        <v>35</v>
      </c>
      <c r="D1089" s="5" t="s">
        <v>1485</v>
      </c>
    </row>
    <row r="1090" spans="1:4" x14ac:dyDescent="0.2">
      <c r="A1090" s="17" t="s">
        <v>1676</v>
      </c>
      <c r="B1090" s="18" t="s">
        <v>1484</v>
      </c>
      <c r="C1090" s="5">
        <v>35</v>
      </c>
      <c r="D1090" s="5" t="s">
        <v>1485</v>
      </c>
    </row>
    <row r="1091" spans="1:4" x14ac:dyDescent="0.2">
      <c r="A1091" s="17" t="s">
        <v>1677</v>
      </c>
      <c r="B1091" s="18" t="s">
        <v>1484</v>
      </c>
      <c r="C1091" s="5">
        <v>35</v>
      </c>
      <c r="D1091" s="5" t="s">
        <v>1485</v>
      </c>
    </row>
    <row r="1092" spans="1:4" x14ac:dyDescent="0.2">
      <c r="A1092" s="17" t="s">
        <v>1678</v>
      </c>
      <c r="B1092" s="18" t="s">
        <v>1484</v>
      </c>
      <c r="C1092" s="5">
        <v>35</v>
      </c>
      <c r="D1092" s="5" t="s">
        <v>1485</v>
      </c>
    </row>
    <row r="1093" spans="1:4" x14ac:dyDescent="0.2">
      <c r="A1093" s="17" t="s">
        <v>1679</v>
      </c>
      <c r="B1093" s="18" t="s">
        <v>1484</v>
      </c>
      <c r="C1093" s="5">
        <v>35</v>
      </c>
      <c r="D1093" s="5" t="s">
        <v>1485</v>
      </c>
    </row>
    <row r="1094" spans="1:4" x14ac:dyDescent="0.2">
      <c r="A1094" s="17" t="s">
        <v>1680</v>
      </c>
      <c r="B1094" s="18" t="s">
        <v>1484</v>
      </c>
      <c r="C1094" s="5">
        <v>35</v>
      </c>
      <c r="D1094" s="5" t="s">
        <v>1485</v>
      </c>
    </row>
    <row r="1095" spans="1:4" x14ac:dyDescent="0.2">
      <c r="A1095" s="17" t="s">
        <v>1681</v>
      </c>
      <c r="B1095" s="18" t="s">
        <v>1484</v>
      </c>
      <c r="C1095" s="5">
        <v>35</v>
      </c>
      <c r="D1095" s="5" t="s">
        <v>1485</v>
      </c>
    </row>
    <row r="1096" spans="1:4" x14ac:dyDescent="0.2">
      <c r="A1096" s="17" t="s">
        <v>1682</v>
      </c>
      <c r="B1096" s="18" t="s">
        <v>1484</v>
      </c>
      <c r="C1096" s="5">
        <v>35</v>
      </c>
      <c r="D1096" s="5" t="s">
        <v>1485</v>
      </c>
    </row>
    <row r="1097" spans="1:4" x14ac:dyDescent="0.2">
      <c r="A1097" s="17" t="s">
        <v>1683</v>
      </c>
      <c r="B1097" s="18" t="s">
        <v>1484</v>
      </c>
      <c r="C1097" s="5">
        <v>35</v>
      </c>
      <c r="D1097" s="5" t="s">
        <v>1485</v>
      </c>
    </row>
    <row r="1098" spans="1:4" x14ac:dyDescent="0.2">
      <c r="A1098" s="17" t="s">
        <v>1684</v>
      </c>
      <c r="B1098" s="18" t="s">
        <v>1484</v>
      </c>
      <c r="C1098" s="5">
        <v>35</v>
      </c>
      <c r="D1098" s="5" t="s">
        <v>1485</v>
      </c>
    </row>
    <row r="1099" spans="1:4" x14ac:dyDescent="0.2">
      <c r="A1099" s="17" t="s">
        <v>1685</v>
      </c>
      <c r="B1099" s="18" t="s">
        <v>1484</v>
      </c>
      <c r="C1099" s="5">
        <v>35</v>
      </c>
      <c r="D1099" s="5" t="s">
        <v>1485</v>
      </c>
    </row>
    <row r="1100" spans="1:4" x14ac:dyDescent="0.2">
      <c r="A1100" s="17" t="s">
        <v>1686</v>
      </c>
      <c r="B1100" s="18" t="s">
        <v>1484</v>
      </c>
      <c r="C1100" s="5">
        <v>35</v>
      </c>
      <c r="D1100" s="5" t="s">
        <v>1485</v>
      </c>
    </row>
    <row r="1101" spans="1:4" x14ac:dyDescent="0.2">
      <c r="A1101" s="17" t="s">
        <v>1687</v>
      </c>
      <c r="B1101" s="18" t="s">
        <v>1484</v>
      </c>
      <c r="C1101" s="5">
        <v>35</v>
      </c>
      <c r="D1101" s="5" t="s">
        <v>1485</v>
      </c>
    </row>
    <row r="1102" spans="1:4" x14ac:dyDescent="0.2">
      <c r="A1102" s="17" t="s">
        <v>1688</v>
      </c>
      <c r="B1102" s="18" t="s">
        <v>1484</v>
      </c>
      <c r="C1102" s="5">
        <v>35</v>
      </c>
      <c r="D1102" s="5" t="s">
        <v>1485</v>
      </c>
    </row>
    <row r="1103" spans="1:4" x14ac:dyDescent="0.2">
      <c r="A1103" s="17" t="s">
        <v>1689</v>
      </c>
      <c r="B1103" s="18" t="s">
        <v>1484</v>
      </c>
      <c r="C1103" s="5">
        <v>35</v>
      </c>
      <c r="D1103" s="5" t="s">
        <v>1485</v>
      </c>
    </row>
    <row r="1104" spans="1:4" x14ac:dyDescent="0.2">
      <c r="A1104" s="17" t="s">
        <v>1690</v>
      </c>
      <c r="B1104" s="18" t="s">
        <v>1484</v>
      </c>
      <c r="C1104" s="5">
        <v>35</v>
      </c>
      <c r="D1104" s="5" t="s">
        <v>1485</v>
      </c>
    </row>
    <row r="1105" spans="1:4" x14ac:dyDescent="0.2">
      <c r="A1105" s="17" t="s">
        <v>1691</v>
      </c>
      <c r="B1105" s="18" t="s">
        <v>1484</v>
      </c>
      <c r="C1105" s="5">
        <v>35</v>
      </c>
      <c r="D1105" s="5" t="s">
        <v>1485</v>
      </c>
    </row>
    <row r="1106" spans="1:4" x14ac:dyDescent="0.2">
      <c r="A1106" s="17" t="s">
        <v>1692</v>
      </c>
      <c r="B1106" s="18" t="s">
        <v>1484</v>
      </c>
      <c r="C1106" s="5">
        <v>35</v>
      </c>
      <c r="D1106" s="5" t="s">
        <v>1485</v>
      </c>
    </row>
    <row r="1107" spans="1:4" x14ac:dyDescent="0.2">
      <c r="A1107" s="17" t="s">
        <v>1693</v>
      </c>
      <c r="B1107" s="18" t="s">
        <v>1484</v>
      </c>
      <c r="C1107" s="5">
        <v>35</v>
      </c>
      <c r="D1107" s="5" t="s">
        <v>1485</v>
      </c>
    </row>
    <row r="1108" spans="1:4" x14ac:dyDescent="0.2">
      <c r="A1108" s="17" t="s">
        <v>1694</v>
      </c>
      <c r="B1108" s="18" t="s">
        <v>1484</v>
      </c>
      <c r="C1108" s="5">
        <v>35</v>
      </c>
      <c r="D1108" s="5" t="s">
        <v>1485</v>
      </c>
    </row>
    <row r="1109" spans="1:4" x14ac:dyDescent="0.2">
      <c r="A1109" s="17" t="s">
        <v>1695</v>
      </c>
      <c r="B1109" s="18" t="s">
        <v>1484</v>
      </c>
      <c r="C1109" s="5">
        <v>35</v>
      </c>
      <c r="D1109" s="5" t="s">
        <v>1485</v>
      </c>
    </row>
    <row r="1110" spans="1:4" x14ac:dyDescent="0.2">
      <c r="A1110" s="17" t="s">
        <v>1696</v>
      </c>
      <c r="B1110" s="18" t="s">
        <v>1484</v>
      </c>
      <c r="C1110" s="5">
        <v>35</v>
      </c>
      <c r="D1110" s="5" t="s">
        <v>1485</v>
      </c>
    </row>
    <row r="1111" spans="1:4" x14ac:dyDescent="0.2">
      <c r="A1111" s="17" t="s">
        <v>1697</v>
      </c>
      <c r="B1111" s="18" t="s">
        <v>1484</v>
      </c>
      <c r="C1111" s="5">
        <v>35</v>
      </c>
      <c r="D1111" s="5" t="s">
        <v>1485</v>
      </c>
    </row>
    <row r="1112" spans="1:4" x14ac:dyDescent="0.2">
      <c r="A1112" s="17" t="s">
        <v>1698</v>
      </c>
      <c r="B1112" s="18" t="s">
        <v>1484</v>
      </c>
      <c r="C1112" s="5">
        <v>35</v>
      </c>
      <c r="D1112" s="5" t="s">
        <v>1485</v>
      </c>
    </row>
    <row r="1113" spans="1:4" x14ac:dyDescent="0.2">
      <c r="A1113" s="17" t="s">
        <v>1699</v>
      </c>
      <c r="B1113" s="18" t="s">
        <v>1484</v>
      </c>
      <c r="C1113" s="5">
        <v>35</v>
      </c>
      <c r="D1113" s="5" t="s">
        <v>1485</v>
      </c>
    </row>
    <row r="1114" spans="1:4" x14ac:dyDescent="0.2">
      <c r="A1114" s="17" t="s">
        <v>1700</v>
      </c>
      <c r="B1114" s="18" t="s">
        <v>1484</v>
      </c>
      <c r="C1114" s="5">
        <v>35</v>
      </c>
      <c r="D1114" s="5" t="s">
        <v>1485</v>
      </c>
    </row>
    <row r="1115" spans="1:4" x14ac:dyDescent="0.2">
      <c r="A1115" s="17" t="s">
        <v>1701</v>
      </c>
      <c r="B1115" s="18" t="s">
        <v>1484</v>
      </c>
      <c r="C1115" s="5">
        <v>35</v>
      </c>
      <c r="D1115" s="5" t="s">
        <v>1485</v>
      </c>
    </row>
    <row r="1116" spans="1:4" x14ac:dyDescent="0.2">
      <c r="A1116" s="17" t="s">
        <v>1702</v>
      </c>
      <c r="B1116" s="18" t="s">
        <v>1484</v>
      </c>
      <c r="C1116" s="5">
        <v>35</v>
      </c>
      <c r="D1116" s="5" t="s">
        <v>1485</v>
      </c>
    </row>
    <row r="1117" spans="1:4" x14ac:dyDescent="0.2">
      <c r="A1117" s="17" t="s">
        <v>1703</v>
      </c>
      <c r="B1117" s="18" t="s">
        <v>1484</v>
      </c>
      <c r="C1117" s="5">
        <v>35</v>
      </c>
      <c r="D1117" s="5" t="s">
        <v>1485</v>
      </c>
    </row>
    <row r="1118" spans="1:4" x14ac:dyDescent="0.2">
      <c r="A1118" s="17" t="s">
        <v>1704</v>
      </c>
      <c r="B1118" s="18" t="s">
        <v>1484</v>
      </c>
      <c r="C1118" s="5">
        <v>35</v>
      </c>
      <c r="D1118" s="5" t="s">
        <v>1485</v>
      </c>
    </row>
    <row r="1119" spans="1:4" x14ac:dyDescent="0.2">
      <c r="A1119" s="17" t="s">
        <v>1705</v>
      </c>
      <c r="B1119" s="18" t="s">
        <v>1484</v>
      </c>
      <c r="C1119" s="5">
        <v>35</v>
      </c>
      <c r="D1119" s="5" t="s">
        <v>1485</v>
      </c>
    </row>
    <row r="1120" spans="1:4" x14ac:dyDescent="0.2">
      <c r="A1120" s="17" t="s">
        <v>1706</v>
      </c>
      <c r="B1120" s="18" t="s">
        <v>1484</v>
      </c>
      <c r="C1120" s="5">
        <v>35</v>
      </c>
      <c r="D1120" s="5" t="s">
        <v>1485</v>
      </c>
    </row>
    <row r="1121" spans="1:4" x14ac:dyDescent="0.2">
      <c r="A1121" s="17" t="s">
        <v>1707</v>
      </c>
      <c r="B1121" s="18" t="s">
        <v>1484</v>
      </c>
      <c r="C1121" s="5">
        <v>35</v>
      </c>
      <c r="D1121" s="5" t="s">
        <v>1485</v>
      </c>
    </row>
    <row r="1122" spans="1:4" x14ac:dyDescent="0.2">
      <c r="A1122" s="17" t="s">
        <v>1708</v>
      </c>
      <c r="B1122" s="18" t="s">
        <v>1484</v>
      </c>
      <c r="C1122" s="5">
        <v>35</v>
      </c>
      <c r="D1122" s="5" t="s">
        <v>1485</v>
      </c>
    </row>
    <row r="1123" spans="1:4" x14ac:dyDescent="0.2">
      <c r="A1123" s="17" t="s">
        <v>1709</v>
      </c>
      <c r="B1123" s="18" t="s">
        <v>1484</v>
      </c>
      <c r="C1123" s="5">
        <v>35</v>
      </c>
      <c r="D1123" s="5" t="s">
        <v>1485</v>
      </c>
    </row>
    <row r="1124" spans="1:4" x14ac:dyDescent="0.2">
      <c r="A1124" s="17" t="s">
        <v>1710</v>
      </c>
      <c r="B1124" s="18" t="s">
        <v>1484</v>
      </c>
      <c r="C1124" s="5">
        <v>35</v>
      </c>
      <c r="D1124" s="5" t="s">
        <v>1485</v>
      </c>
    </row>
    <row r="1125" spans="1:4" x14ac:dyDescent="0.2">
      <c r="A1125" s="17" t="s">
        <v>1711</v>
      </c>
      <c r="B1125" s="18" t="s">
        <v>1484</v>
      </c>
      <c r="C1125" s="5">
        <v>35</v>
      </c>
      <c r="D1125" s="5" t="s">
        <v>1485</v>
      </c>
    </row>
    <row r="1126" spans="1:4" x14ac:dyDescent="0.2">
      <c r="A1126" s="17" t="s">
        <v>1712</v>
      </c>
      <c r="B1126" s="18" t="s">
        <v>1484</v>
      </c>
      <c r="C1126" s="5">
        <v>35</v>
      </c>
      <c r="D1126" s="5" t="s">
        <v>1485</v>
      </c>
    </row>
    <row r="1127" spans="1:4" x14ac:dyDescent="0.2">
      <c r="A1127" s="17" t="s">
        <v>1713</v>
      </c>
      <c r="B1127" s="18" t="s">
        <v>1484</v>
      </c>
      <c r="C1127" s="5">
        <v>35</v>
      </c>
      <c r="D1127" s="5" t="s">
        <v>1485</v>
      </c>
    </row>
    <row r="1128" spans="1:4" x14ac:dyDescent="0.2">
      <c r="A1128" s="17" t="s">
        <v>1714</v>
      </c>
      <c r="B1128" s="18" t="s">
        <v>1484</v>
      </c>
      <c r="C1128" s="5">
        <v>35</v>
      </c>
      <c r="D1128" s="5" t="s">
        <v>1485</v>
      </c>
    </row>
    <row r="1129" spans="1:4" x14ac:dyDescent="0.2">
      <c r="A1129" s="17" t="s">
        <v>1715</v>
      </c>
      <c r="B1129" s="18" t="s">
        <v>1484</v>
      </c>
      <c r="C1129" s="5">
        <v>35</v>
      </c>
      <c r="D1129" s="5" t="s">
        <v>1485</v>
      </c>
    </row>
    <row r="1130" spans="1:4" x14ac:dyDescent="0.2">
      <c r="A1130" s="17" t="s">
        <v>1716</v>
      </c>
      <c r="B1130" s="18" t="s">
        <v>1484</v>
      </c>
      <c r="C1130" s="5">
        <v>35</v>
      </c>
      <c r="D1130" s="5" t="s">
        <v>1485</v>
      </c>
    </row>
    <row r="1131" spans="1:4" x14ac:dyDescent="0.2">
      <c r="A1131" s="17" t="s">
        <v>1717</v>
      </c>
      <c r="B1131" s="18" t="s">
        <v>1484</v>
      </c>
      <c r="C1131" s="5">
        <v>35</v>
      </c>
      <c r="D1131" s="5" t="s">
        <v>1485</v>
      </c>
    </row>
    <row r="1132" spans="1:4" x14ac:dyDescent="0.2">
      <c r="A1132" s="17" t="s">
        <v>1718</v>
      </c>
      <c r="B1132" s="18" t="s">
        <v>1484</v>
      </c>
      <c r="C1132" s="5">
        <v>35</v>
      </c>
      <c r="D1132" s="5" t="s">
        <v>1485</v>
      </c>
    </row>
    <row r="1133" spans="1:4" x14ac:dyDescent="0.2">
      <c r="A1133" s="17" t="s">
        <v>1719</v>
      </c>
      <c r="B1133" s="18" t="s">
        <v>1484</v>
      </c>
      <c r="C1133" s="5">
        <v>35</v>
      </c>
      <c r="D1133" s="5" t="s">
        <v>1485</v>
      </c>
    </row>
    <row r="1134" spans="1:4" x14ac:dyDescent="0.2">
      <c r="A1134" s="17" t="s">
        <v>1720</v>
      </c>
      <c r="B1134" s="18" t="s">
        <v>1484</v>
      </c>
      <c r="C1134" s="5">
        <v>35</v>
      </c>
      <c r="D1134" s="5" t="s">
        <v>1485</v>
      </c>
    </row>
    <row r="1135" spans="1:4" x14ac:dyDescent="0.2">
      <c r="A1135" s="17" t="s">
        <v>1721</v>
      </c>
      <c r="B1135" s="18" t="s">
        <v>1484</v>
      </c>
      <c r="C1135" s="5">
        <v>35</v>
      </c>
      <c r="D1135" s="5" t="s">
        <v>1485</v>
      </c>
    </row>
    <row r="1136" spans="1:4" x14ac:dyDescent="0.2">
      <c r="A1136" s="17" t="s">
        <v>1722</v>
      </c>
      <c r="B1136" s="18" t="s">
        <v>1484</v>
      </c>
      <c r="C1136" s="5">
        <v>35</v>
      </c>
      <c r="D1136" s="5" t="s">
        <v>1485</v>
      </c>
    </row>
    <row r="1137" spans="1:4" x14ac:dyDescent="0.2">
      <c r="A1137" s="17" t="s">
        <v>1723</v>
      </c>
      <c r="B1137" s="18" t="s">
        <v>1484</v>
      </c>
      <c r="C1137" s="5">
        <v>35</v>
      </c>
      <c r="D1137" s="5" t="s">
        <v>1485</v>
      </c>
    </row>
    <row r="1138" spans="1:4" x14ac:dyDescent="0.2">
      <c r="A1138" s="17" t="s">
        <v>1724</v>
      </c>
      <c r="B1138" s="18" t="s">
        <v>1484</v>
      </c>
      <c r="C1138" s="5">
        <v>35</v>
      </c>
      <c r="D1138" s="5" t="s">
        <v>1485</v>
      </c>
    </row>
    <row r="1139" spans="1:4" x14ac:dyDescent="0.2">
      <c r="A1139" s="17" t="s">
        <v>1725</v>
      </c>
      <c r="B1139" s="18" t="s">
        <v>1484</v>
      </c>
      <c r="C1139" s="5">
        <v>35</v>
      </c>
      <c r="D1139" s="5" t="s">
        <v>1485</v>
      </c>
    </row>
    <row r="1140" spans="1:4" x14ac:dyDescent="0.2">
      <c r="A1140" s="17" t="s">
        <v>1726</v>
      </c>
      <c r="B1140" s="18" t="s">
        <v>1484</v>
      </c>
      <c r="C1140" s="5">
        <v>35</v>
      </c>
      <c r="D1140" s="5" t="s">
        <v>1485</v>
      </c>
    </row>
    <row r="1141" spans="1:4" x14ac:dyDescent="0.2">
      <c r="A1141" s="17" t="s">
        <v>1727</v>
      </c>
      <c r="B1141" s="18" t="s">
        <v>1484</v>
      </c>
      <c r="C1141" s="5">
        <v>35</v>
      </c>
      <c r="D1141" s="5" t="s">
        <v>1485</v>
      </c>
    </row>
    <row r="1142" spans="1:4" x14ac:dyDescent="0.2">
      <c r="A1142" s="17" t="s">
        <v>1728</v>
      </c>
      <c r="B1142" s="18" t="s">
        <v>1484</v>
      </c>
      <c r="C1142" s="5">
        <v>35</v>
      </c>
      <c r="D1142" s="5" t="s">
        <v>1485</v>
      </c>
    </row>
    <row r="1143" spans="1:4" x14ac:dyDescent="0.2">
      <c r="A1143" s="17" t="s">
        <v>1729</v>
      </c>
      <c r="B1143" s="18" t="s">
        <v>1484</v>
      </c>
      <c r="C1143" s="5">
        <v>35</v>
      </c>
      <c r="D1143" s="5" t="s">
        <v>1485</v>
      </c>
    </row>
    <row r="1144" spans="1:4" x14ac:dyDescent="0.2">
      <c r="A1144" s="17" t="s">
        <v>1730</v>
      </c>
      <c r="B1144" s="18" t="s">
        <v>1484</v>
      </c>
      <c r="C1144" s="5">
        <v>35</v>
      </c>
      <c r="D1144" s="5" t="s">
        <v>1485</v>
      </c>
    </row>
    <row r="1145" spans="1:4" x14ac:dyDescent="0.2">
      <c r="A1145" s="17" t="s">
        <v>1731</v>
      </c>
      <c r="B1145" s="18" t="s">
        <v>1484</v>
      </c>
      <c r="C1145" s="5">
        <v>35</v>
      </c>
      <c r="D1145" s="5" t="s">
        <v>1485</v>
      </c>
    </row>
    <row r="1146" spans="1:4" x14ac:dyDescent="0.2">
      <c r="A1146" s="17" t="s">
        <v>1732</v>
      </c>
      <c r="B1146" s="18" t="s">
        <v>1484</v>
      </c>
      <c r="C1146" s="5">
        <v>35</v>
      </c>
      <c r="D1146" s="5" t="s">
        <v>1485</v>
      </c>
    </row>
    <row r="1147" spans="1:4" x14ac:dyDescent="0.2">
      <c r="A1147" s="17" t="s">
        <v>1733</v>
      </c>
      <c r="B1147" s="18" t="s">
        <v>1484</v>
      </c>
      <c r="C1147" s="5">
        <v>35</v>
      </c>
      <c r="D1147" s="5" t="s">
        <v>1485</v>
      </c>
    </row>
    <row r="1148" spans="1:4" x14ac:dyDescent="0.2">
      <c r="A1148" s="17" t="s">
        <v>1734</v>
      </c>
      <c r="B1148" s="18" t="s">
        <v>1484</v>
      </c>
      <c r="C1148" s="5">
        <v>35</v>
      </c>
      <c r="D1148" s="5" t="s">
        <v>1485</v>
      </c>
    </row>
    <row r="1149" spans="1:4" x14ac:dyDescent="0.2">
      <c r="A1149" s="17" t="s">
        <v>1735</v>
      </c>
      <c r="B1149" s="18" t="s">
        <v>1484</v>
      </c>
      <c r="C1149" s="5">
        <v>35</v>
      </c>
      <c r="D1149" s="5" t="s">
        <v>1485</v>
      </c>
    </row>
    <row r="1150" spans="1:4" x14ac:dyDescent="0.2">
      <c r="A1150" s="17" t="s">
        <v>1736</v>
      </c>
      <c r="B1150" s="18" t="s">
        <v>1484</v>
      </c>
      <c r="C1150" s="5">
        <v>35</v>
      </c>
      <c r="D1150" s="5" t="s">
        <v>1485</v>
      </c>
    </row>
    <row r="1151" spans="1:4" x14ac:dyDescent="0.2">
      <c r="A1151" s="17" t="s">
        <v>1737</v>
      </c>
      <c r="B1151" s="18" t="s">
        <v>1484</v>
      </c>
      <c r="C1151" s="5">
        <v>35</v>
      </c>
      <c r="D1151" s="5" t="s">
        <v>1485</v>
      </c>
    </row>
    <row r="1152" spans="1:4" x14ac:dyDescent="0.2">
      <c r="A1152" s="17" t="s">
        <v>1738</v>
      </c>
      <c r="B1152" s="18" t="s">
        <v>1484</v>
      </c>
      <c r="C1152" s="5">
        <v>35</v>
      </c>
      <c r="D1152" s="5" t="s">
        <v>1485</v>
      </c>
    </row>
    <row r="1153" spans="1:4" x14ac:dyDescent="0.2">
      <c r="A1153" s="17" t="s">
        <v>1739</v>
      </c>
      <c r="B1153" s="18" t="s">
        <v>1484</v>
      </c>
      <c r="C1153" s="5">
        <v>35</v>
      </c>
      <c r="D1153" s="5" t="s">
        <v>1485</v>
      </c>
    </row>
    <row r="1154" spans="1:4" x14ac:dyDescent="0.2">
      <c r="A1154" s="17" t="s">
        <v>1740</v>
      </c>
      <c r="B1154" s="18" t="s">
        <v>1484</v>
      </c>
      <c r="C1154" s="5">
        <v>35</v>
      </c>
      <c r="D1154" s="5" t="s">
        <v>1485</v>
      </c>
    </row>
    <row r="1155" spans="1:4" x14ac:dyDescent="0.2">
      <c r="A1155" s="17" t="s">
        <v>1741</v>
      </c>
      <c r="B1155" s="18" t="s">
        <v>1484</v>
      </c>
      <c r="C1155" s="5">
        <v>35</v>
      </c>
      <c r="D1155" s="5" t="s">
        <v>1485</v>
      </c>
    </row>
    <row r="1156" spans="1:4" x14ac:dyDescent="0.2">
      <c r="A1156" s="17" t="s">
        <v>1742</v>
      </c>
      <c r="B1156" s="18" t="s">
        <v>1484</v>
      </c>
      <c r="C1156" s="5">
        <v>35</v>
      </c>
      <c r="D1156" s="5" t="s">
        <v>1485</v>
      </c>
    </row>
    <row r="1157" spans="1:4" x14ac:dyDescent="0.2">
      <c r="A1157" s="17" t="s">
        <v>1743</v>
      </c>
      <c r="B1157" s="18" t="s">
        <v>1484</v>
      </c>
      <c r="C1157" s="5">
        <v>35</v>
      </c>
      <c r="D1157" s="5" t="s">
        <v>1485</v>
      </c>
    </row>
    <row r="1158" spans="1:4" x14ac:dyDescent="0.2">
      <c r="A1158" s="17" t="s">
        <v>1744</v>
      </c>
      <c r="B1158" s="18" t="s">
        <v>1484</v>
      </c>
      <c r="C1158" s="5">
        <v>35</v>
      </c>
      <c r="D1158" s="5" t="s">
        <v>1485</v>
      </c>
    </row>
    <row r="1159" spans="1:4" x14ac:dyDescent="0.2">
      <c r="A1159" s="17" t="s">
        <v>1745</v>
      </c>
      <c r="B1159" s="18" t="s">
        <v>1484</v>
      </c>
      <c r="C1159" s="5">
        <v>35</v>
      </c>
      <c r="D1159" s="5" t="s">
        <v>1485</v>
      </c>
    </row>
    <row r="1160" spans="1:4" x14ac:dyDescent="0.2">
      <c r="A1160" s="17" t="s">
        <v>1746</v>
      </c>
      <c r="B1160" s="18" t="s">
        <v>1484</v>
      </c>
      <c r="C1160" s="5">
        <v>35</v>
      </c>
      <c r="D1160" s="5" t="s">
        <v>1485</v>
      </c>
    </row>
    <row r="1161" spans="1:4" x14ac:dyDescent="0.2">
      <c r="A1161" s="17" t="s">
        <v>1747</v>
      </c>
      <c r="B1161" s="18" t="s">
        <v>1484</v>
      </c>
      <c r="C1161" s="5">
        <v>35</v>
      </c>
      <c r="D1161" s="5" t="s">
        <v>1485</v>
      </c>
    </row>
    <row r="1162" spans="1:4" x14ac:dyDescent="0.2">
      <c r="A1162" s="17" t="s">
        <v>1748</v>
      </c>
      <c r="B1162" s="18" t="s">
        <v>1484</v>
      </c>
      <c r="C1162" s="5">
        <v>35</v>
      </c>
      <c r="D1162" s="5" t="s">
        <v>1485</v>
      </c>
    </row>
    <row r="1163" spans="1:4" x14ac:dyDescent="0.2">
      <c r="A1163" s="17" t="s">
        <v>1749</v>
      </c>
      <c r="B1163" s="18" t="s">
        <v>1484</v>
      </c>
      <c r="C1163" s="5">
        <v>35</v>
      </c>
      <c r="D1163" s="5" t="s">
        <v>1485</v>
      </c>
    </row>
    <row r="1164" spans="1:4" x14ac:dyDescent="0.2">
      <c r="A1164" s="17" t="s">
        <v>1750</v>
      </c>
      <c r="B1164" s="18" t="s">
        <v>1484</v>
      </c>
      <c r="C1164" s="5">
        <v>35</v>
      </c>
      <c r="D1164" s="5" t="s">
        <v>1485</v>
      </c>
    </row>
    <row r="1165" spans="1:4" x14ac:dyDescent="0.2">
      <c r="A1165" s="17" t="s">
        <v>1751</v>
      </c>
      <c r="B1165" s="18" t="s">
        <v>1484</v>
      </c>
      <c r="C1165" s="5">
        <v>35</v>
      </c>
      <c r="D1165" s="5" t="s">
        <v>1485</v>
      </c>
    </row>
    <row r="1166" spans="1:4" x14ac:dyDescent="0.2">
      <c r="A1166" s="17" t="s">
        <v>1752</v>
      </c>
      <c r="B1166" s="18" t="s">
        <v>1484</v>
      </c>
      <c r="C1166" s="5">
        <v>35</v>
      </c>
      <c r="D1166" s="5" t="s">
        <v>1485</v>
      </c>
    </row>
    <row r="1167" spans="1:4" x14ac:dyDescent="0.2">
      <c r="A1167" s="17" t="s">
        <v>1753</v>
      </c>
      <c r="B1167" s="18" t="s">
        <v>1484</v>
      </c>
      <c r="C1167" s="5">
        <v>35</v>
      </c>
      <c r="D1167" s="5" t="s">
        <v>1485</v>
      </c>
    </row>
    <row r="1168" spans="1:4" x14ac:dyDescent="0.2">
      <c r="A1168" s="17" t="s">
        <v>1754</v>
      </c>
      <c r="B1168" s="18" t="s">
        <v>1484</v>
      </c>
      <c r="C1168" s="5">
        <v>35</v>
      </c>
      <c r="D1168" s="5" t="s">
        <v>1485</v>
      </c>
    </row>
    <row r="1169" spans="1:4" x14ac:dyDescent="0.2">
      <c r="A1169" s="17" t="s">
        <v>1755</v>
      </c>
      <c r="B1169" s="18" t="s">
        <v>1484</v>
      </c>
      <c r="C1169" s="5">
        <v>35</v>
      </c>
      <c r="D1169" s="5" t="s">
        <v>1485</v>
      </c>
    </row>
    <row r="1170" spans="1:4" x14ac:dyDescent="0.2">
      <c r="A1170" s="17" t="s">
        <v>1756</v>
      </c>
      <c r="B1170" s="18" t="s">
        <v>1484</v>
      </c>
      <c r="C1170" s="5">
        <v>35</v>
      </c>
      <c r="D1170" s="5" t="s">
        <v>1485</v>
      </c>
    </row>
    <row r="1171" spans="1:4" x14ac:dyDescent="0.2">
      <c r="A1171" s="17" t="s">
        <v>1757</v>
      </c>
      <c r="B1171" s="18" t="s">
        <v>1484</v>
      </c>
      <c r="C1171" s="5">
        <v>35</v>
      </c>
      <c r="D1171" s="5" t="s">
        <v>1485</v>
      </c>
    </row>
    <row r="1172" spans="1:4" x14ac:dyDescent="0.2">
      <c r="A1172" s="17" t="s">
        <v>1758</v>
      </c>
      <c r="B1172" s="18" t="s">
        <v>1484</v>
      </c>
      <c r="C1172" s="5">
        <v>35</v>
      </c>
      <c r="D1172" s="5" t="s">
        <v>1485</v>
      </c>
    </row>
    <row r="1173" spans="1:4" x14ac:dyDescent="0.2">
      <c r="A1173" s="17" t="s">
        <v>1759</v>
      </c>
      <c r="B1173" s="18" t="s">
        <v>1484</v>
      </c>
      <c r="C1173" s="5">
        <v>35</v>
      </c>
      <c r="D1173" s="5" t="s">
        <v>1485</v>
      </c>
    </row>
    <row r="1174" spans="1:4" x14ac:dyDescent="0.2">
      <c r="A1174" s="17" t="s">
        <v>1760</v>
      </c>
      <c r="B1174" s="18" t="s">
        <v>1484</v>
      </c>
      <c r="C1174" s="5">
        <v>35</v>
      </c>
      <c r="D1174" s="5" t="s">
        <v>1485</v>
      </c>
    </row>
    <row r="1175" spans="1:4" x14ac:dyDescent="0.2">
      <c r="A1175" s="17" t="s">
        <v>1761</v>
      </c>
      <c r="B1175" s="18" t="s">
        <v>1484</v>
      </c>
      <c r="C1175" s="5">
        <v>35</v>
      </c>
      <c r="D1175" s="5" t="s">
        <v>1485</v>
      </c>
    </row>
    <row r="1176" spans="1:4" x14ac:dyDescent="0.2">
      <c r="A1176" s="17" t="s">
        <v>1762</v>
      </c>
      <c r="B1176" s="18" t="s">
        <v>1484</v>
      </c>
      <c r="C1176" s="5">
        <v>35</v>
      </c>
      <c r="D1176" s="5" t="s">
        <v>1485</v>
      </c>
    </row>
    <row r="1177" spans="1:4" x14ac:dyDescent="0.2">
      <c r="A1177" s="17" t="s">
        <v>1763</v>
      </c>
      <c r="B1177" s="18" t="s">
        <v>1484</v>
      </c>
      <c r="C1177" s="5">
        <v>35</v>
      </c>
      <c r="D1177" s="5" t="s">
        <v>1485</v>
      </c>
    </row>
    <row r="1178" spans="1:4" x14ac:dyDescent="0.2">
      <c r="A1178" s="17" t="s">
        <v>1764</v>
      </c>
      <c r="B1178" s="18" t="s">
        <v>1484</v>
      </c>
      <c r="C1178" s="5">
        <v>35</v>
      </c>
      <c r="D1178" s="5" t="s">
        <v>1485</v>
      </c>
    </row>
    <row r="1179" spans="1:4" x14ac:dyDescent="0.2">
      <c r="A1179" s="17" t="s">
        <v>1765</v>
      </c>
      <c r="B1179" s="18" t="s">
        <v>1484</v>
      </c>
      <c r="C1179" s="5">
        <v>35</v>
      </c>
      <c r="D1179" s="5" t="s">
        <v>1485</v>
      </c>
    </row>
    <row r="1180" spans="1:4" x14ac:dyDescent="0.2">
      <c r="A1180" s="17" t="s">
        <v>1766</v>
      </c>
      <c r="B1180" s="18" t="s">
        <v>1484</v>
      </c>
      <c r="C1180" s="5">
        <v>35</v>
      </c>
      <c r="D1180" s="5" t="s">
        <v>1485</v>
      </c>
    </row>
    <row r="1181" spans="1:4" x14ac:dyDescent="0.2">
      <c r="A1181" s="17" t="s">
        <v>1767</v>
      </c>
      <c r="B1181" s="18" t="s">
        <v>1484</v>
      </c>
      <c r="C1181" s="5">
        <v>35</v>
      </c>
      <c r="D1181" s="5" t="s">
        <v>1485</v>
      </c>
    </row>
    <row r="1182" spans="1:4" x14ac:dyDescent="0.2">
      <c r="A1182" s="17" t="s">
        <v>1768</v>
      </c>
      <c r="B1182" s="18" t="s">
        <v>1484</v>
      </c>
      <c r="C1182" s="5">
        <v>35</v>
      </c>
      <c r="D1182" s="5" t="s">
        <v>1485</v>
      </c>
    </row>
    <row r="1183" spans="1:4" x14ac:dyDescent="0.2">
      <c r="A1183" s="17" t="s">
        <v>1769</v>
      </c>
      <c r="B1183" s="18" t="s">
        <v>1484</v>
      </c>
      <c r="C1183" s="5">
        <v>35</v>
      </c>
      <c r="D1183" s="5" t="s">
        <v>1485</v>
      </c>
    </row>
    <row r="1184" spans="1:4" x14ac:dyDescent="0.2">
      <c r="A1184" s="17" t="s">
        <v>1770</v>
      </c>
      <c r="B1184" s="18" t="s">
        <v>1484</v>
      </c>
      <c r="C1184" s="5">
        <v>35</v>
      </c>
      <c r="D1184" s="5" t="s">
        <v>1485</v>
      </c>
    </row>
    <row r="1185" spans="1:4" x14ac:dyDescent="0.2">
      <c r="A1185" s="17" t="s">
        <v>1771</v>
      </c>
      <c r="B1185" s="18" t="s">
        <v>1484</v>
      </c>
      <c r="C1185" s="5">
        <v>35</v>
      </c>
      <c r="D1185" s="5" t="s">
        <v>1485</v>
      </c>
    </row>
    <row r="1186" spans="1:4" x14ac:dyDescent="0.2">
      <c r="A1186" s="17" t="s">
        <v>1772</v>
      </c>
      <c r="B1186" s="18" t="s">
        <v>1484</v>
      </c>
      <c r="C1186" s="5">
        <v>35</v>
      </c>
      <c r="D1186" s="5" t="s">
        <v>1485</v>
      </c>
    </row>
    <row r="1187" spans="1:4" x14ac:dyDescent="0.2">
      <c r="A1187" s="17" t="s">
        <v>1773</v>
      </c>
      <c r="B1187" s="18" t="s">
        <v>1484</v>
      </c>
      <c r="C1187" s="5">
        <v>35</v>
      </c>
      <c r="D1187" s="5" t="s">
        <v>1485</v>
      </c>
    </row>
    <row r="1188" spans="1:4" x14ac:dyDescent="0.2">
      <c r="A1188" s="17" t="s">
        <v>1774</v>
      </c>
      <c r="B1188" s="18" t="s">
        <v>1484</v>
      </c>
      <c r="C1188" s="5">
        <v>35</v>
      </c>
      <c r="D1188" s="5" t="s">
        <v>1485</v>
      </c>
    </row>
    <row r="1189" spans="1:4" x14ac:dyDescent="0.2">
      <c r="A1189" s="17" t="s">
        <v>1775</v>
      </c>
      <c r="B1189" s="18" t="s">
        <v>1484</v>
      </c>
      <c r="C1189" s="5">
        <v>35</v>
      </c>
      <c r="D1189" s="5" t="s">
        <v>1485</v>
      </c>
    </row>
    <row r="1190" spans="1:4" x14ac:dyDescent="0.2">
      <c r="A1190" s="17" t="s">
        <v>1776</v>
      </c>
      <c r="B1190" s="18" t="s">
        <v>1484</v>
      </c>
      <c r="C1190" s="5">
        <v>35</v>
      </c>
      <c r="D1190" s="5" t="s">
        <v>1485</v>
      </c>
    </row>
    <row r="1191" spans="1:4" x14ac:dyDescent="0.2">
      <c r="A1191" s="17" t="s">
        <v>1777</v>
      </c>
      <c r="B1191" s="18" t="s">
        <v>1484</v>
      </c>
      <c r="C1191" s="5">
        <v>35</v>
      </c>
      <c r="D1191" s="5" t="s">
        <v>1485</v>
      </c>
    </row>
    <row r="1192" spans="1:4" x14ac:dyDescent="0.2">
      <c r="A1192" s="17" t="s">
        <v>1778</v>
      </c>
      <c r="B1192" s="18" t="s">
        <v>1484</v>
      </c>
      <c r="C1192" s="5">
        <v>35</v>
      </c>
      <c r="D1192" s="5" t="s">
        <v>1485</v>
      </c>
    </row>
    <row r="1193" spans="1:4" x14ac:dyDescent="0.2">
      <c r="A1193" s="17" t="s">
        <v>1779</v>
      </c>
      <c r="B1193" s="18" t="s">
        <v>1484</v>
      </c>
      <c r="C1193" s="5">
        <v>35</v>
      </c>
      <c r="D1193" s="5" t="s">
        <v>1485</v>
      </c>
    </row>
    <row r="1194" spans="1:4" x14ac:dyDescent="0.2">
      <c r="A1194" s="17" t="s">
        <v>1780</v>
      </c>
      <c r="B1194" s="18" t="s">
        <v>1484</v>
      </c>
      <c r="C1194" s="5">
        <v>35</v>
      </c>
      <c r="D1194" s="5" t="s">
        <v>1485</v>
      </c>
    </row>
    <row r="1195" spans="1:4" x14ac:dyDescent="0.2">
      <c r="A1195" s="17" t="s">
        <v>1781</v>
      </c>
      <c r="B1195" s="18" t="s">
        <v>1484</v>
      </c>
      <c r="C1195" s="5">
        <v>35</v>
      </c>
      <c r="D1195" s="5" t="s">
        <v>1485</v>
      </c>
    </row>
    <row r="1196" spans="1:4" x14ac:dyDescent="0.2">
      <c r="A1196" s="17" t="s">
        <v>1782</v>
      </c>
      <c r="B1196" s="18" t="s">
        <v>1484</v>
      </c>
      <c r="C1196" s="5">
        <v>35</v>
      </c>
      <c r="D1196" s="5" t="s">
        <v>1485</v>
      </c>
    </row>
    <row r="1197" spans="1:4" x14ac:dyDescent="0.2">
      <c r="A1197" s="17" t="s">
        <v>1783</v>
      </c>
      <c r="B1197" s="18" t="s">
        <v>1484</v>
      </c>
      <c r="C1197" s="5">
        <v>35</v>
      </c>
      <c r="D1197" s="5" t="s">
        <v>1485</v>
      </c>
    </row>
    <row r="1198" spans="1:4" x14ac:dyDescent="0.2">
      <c r="A1198" s="17" t="s">
        <v>1784</v>
      </c>
      <c r="B1198" s="18" t="s">
        <v>1484</v>
      </c>
      <c r="C1198" s="5">
        <v>35</v>
      </c>
      <c r="D1198" s="5" t="s">
        <v>1485</v>
      </c>
    </row>
    <row r="1199" spans="1:4" x14ac:dyDescent="0.2">
      <c r="A1199" s="17" t="s">
        <v>1785</v>
      </c>
      <c r="B1199" s="18" t="s">
        <v>1484</v>
      </c>
      <c r="C1199" s="5">
        <v>35</v>
      </c>
      <c r="D1199" s="5" t="s">
        <v>1485</v>
      </c>
    </row>
    <row r="1200" spans="1:4" x14ac:dyDescent="0.2">
      <c r="A1200" s="17" t="s">
        <v>1786</v>
      </c>
      <c r="B1200" s="18" t="s">
        <v>1484</v>
      </c>
      <c r="C1200" s="5">
        <v>35</v>
      </c>
      <c r="D1200" s="5" t="s">
        <v>1485</v>
      </c>
    </row>
    <row r="1201" spans="1:4" x14ac:dyDescent="0.2">
      <c r="A1201" s="17" t="s">
        <v>1787</v>
      </c>
      <c r="B1201" s="18" t="s">
        <v>1484</v>
      </c>
      <c r="C1201" s="5">
        <v>35</v>
      </c>
      <c r="D1201" s="5" t="s">
        <v>1485</v>
      </c>
    </row>
    <row r="1202" spans="1:4" x14ac:dyDescent="0.2">
      <c r="A1202" s="17" t="s">
        <v>1788</v>
      </c>
      <c r="B1202" s="18" t="s">
        <v>1484</v>
      </c>
      <c r="C1202" s="5">
        <v>35</v>
      </c>
      <c r="D1202" s="5" t="s">
        <v>1485</v>
      </c>
    </row>
    <row r="1203" spans="1:4" x14ac:dyDescent="0.2">
      <c r="A1203" s="17" t="s">
        <v>1789</v>
      </c>
      <c r="B1203" s="18" t="s">
        <v>1484</v>
      </c>
      <c r="C1203" s="5">
        <v>35</v>
      </c>
      <c r="D1203" s="5" t="s">
        <v>1485</v>
      </c>
    </row>
    <row r="1204" spans="1:4" x14ac:dyDescent="0.2">
      <c r="A1204" s="17" t="s">
        <v>1790</v>
      </c>
      <c r="B1204" s="18" t="s">
        <v>1484</v>
      </c>
      <c r="C1204" s="5">
        <v>35</v>
      </c>
      <c r="D1204" s="5" t="s">
        <v>1485</v>
      </c>
    </row>
    <row r="1205" spans="1:4" x14ac:dyDescent="0.2">
      <c r="A1205" s="17" t="s">
        <v>1791</v>
      </c>
      <c r="B1205" s="18" t="s">
        <v>1484</v>
      </c>
      <c r="C1205" s="5">
        <v>35</v>
      </c>
      <c r="D1205" s="5" t="s">
        <v>1485</v>
      </c>
    </row>
    <row r="1206" spans="1:4" x14ac:dyDescent="0.2">
      <c r="A1206" s="17" t="s">
        <v>1792</v>
      </c>
      <c r="B1206" s="18" t="s">
        <v>1484</v>
      </c>
      <c r="C1206" s="5">
        <v>35</v>
      </c>
      <c r="D1206" s="5" t="s">
        <v>1485</v>
      </c>
    </row>
    <row r="1207" spans="1:4" x14ac:dyDescent="0.2">
      <c r="A1207" s="17" t="s">
        <v>1793</v>
      </c>
      <c r="B1207" s="18" t="s">
        <v>1484</v>
      </c>
      <c r="C1207" s="5">
        <v>35</v>
      </c>
      <c r="D1207" s="5" t="s">
        <v>1485</v>
      </c>
    </row>
    <row r="1208" spans="1:4" x14ac:dyDescent="0.2">
      <c r="A1208" s="17" t="s">
        <v>1794</v>
      </c>
      <c r="B1208" s="18" t="s">
        <v>1484</v>
      </c>
      <c r="C1208" s="5">
        <v>35</v>
      </c>
      <c r="D1208" s="5" t="s">
        <v>1485</v>
      </c>
    </row>
    <row r="1209" spans="1:4" x14ac:dyDescent="0.2">
      <c r="A1209" s="17" t="s">
        <v>1795</v>
      </c>
      <c r="B1209" s="18" t="s">
        <v>1484</v>
      </c>
      <c r="C1209" s="5">
        <v>35</v>
      </c>
      <c r="D1209" s="5" t="s">
        <v>1485</v>
      </c>
    </row>
    <row r="1210" spans="1:4" x14ac:dyDescent="0.2">
      <c r="A1210" s="17" t="s">
        <v>1796</v>
      </c>
      <c r="B1210" s="18" t="s">
        <v>1484</v>
      </c>
      <c r="C1210" s="5">
        <v>35</v>
      </c>
      <c r="D1210" s="5" t="s">
        <v>1485</v>
      </c>
    </row>
    <row r="1211" spans="1:4" x14ac:dyDescent="0.2">
      <c r="A1211" s="17" t="s">
        <v>1797</v>
      </c>
      <c r="B1211" s="18" t="s">
        <v>1484</v>
      </c>
      <c r="C1211" s="5">
        <v>35</v>
      </c>
      <c r="D1211" s="5" t="s">
        <v>1485</v>
      </c>
    </row>
    <row r="1212" spans="1:4" x14ac:dyDescent="0.2">
      <c r="A1212" s="17" t="s">
        <v>1798</v>
      </c>
      <c r="B1212" s="18" t="s">
        <v>1484</v>
      </c>
      <c r="C1212" s="5">
        <v>35</v>
      </c>
      <c r="D1212" s="5" t="s">
        <v>1485</v>
      </c>
    </row>
    <row r="1213" spans="1:4" x14ac:dyDescent="0.2">
      <c r="A1213" s="17" t="s">
        <v>1799</v>
      </c>
      <c r="B1213" s="18" t="s">
        <v>1484</v>
      </c>
      <c r="C1213" s="5">
        <v>35</v>
      </c>
      <c r="D1213" s="5" t="s">
        <v>1485</v>
      </c>
    </row>
    <row r="1214" spans="1:4" x14ac:dyDescent="0.2">
      <c r="A1214" s="17" t="s">
        <v>1800</v>
      </c>
      <c r="B1214" s="18" t="s">
        <v>1484</v>
      </c>
      <c r="C1214" s="5">
        <v>35</v>
      </c>
      <c r="D1214" s="5" t="s">
        <v>1485</v>
      </c>
    </row>
    <row r="1215" spans="1:4" x14ac:dyDescent="0.2">
      <c r="A1215" s="17" t="s">
        <v>1801</v>
      </c>
      <c r="B1215" s="18" t="s">
        <v>1484</v>
      </c>
      <c r="C1215" s="5">
        <v>35</v>
      </c>
      <c r="D1215" s="5" t="s">
        <v>1485</v>
      </c>
    </row>
    <row r="1216" spans="1:4" x14ac:dyDescent="0.2">
      <c r="A1216" s="17" t="s">
        <v>1802</v>
      </c>
      <c r="B1216" s="18" t="s">
        <v>1484</v>
      </c>
      <c r="C1216" s="5">
        <v>35</v>
      </c>
      <c r="D1216" s="5" t="s">
        <v>1485</v>
      </c>
    </row>
    <row r="1217" spans="1:4" x14ac:dyDescent="0.2">
      <c r="A1217" s="17" t="s">
        <v>1803</v>
      </c>
      <c r="B1217" s="18" t="s">
        <v>1484</v>
      </c>
      <c r="C1217" s="5">
        <v>35</v>
      </c>
      <c r="D1217" s="5" t="s">
        <v>1485</v>
      </c>
    </row>
    <row r="1218" spans="1:4" x14ac:dyDescent="0.2">
      <c r="A1218" s="17" t="s">
        <v>1804</v>
      </c>
      <c r="B1218" s="18" t="s">
        <v>1484</v>
      </c>
      <c r="C1218" s="5">
        <v>35</v>
      </c>
      <c r="D1218" s="5" t="s">
        <v>1485</v>
      </c>
    </row>
    <row r="1219" spans="1:4" x14ac:dyDescent="0.2">
      <c r="A1219" s="17" t="s">
        <v>1805</v>
      </c>
      <c r="B1219" s="18" t="s">
        <v>1484</v>
      </c>
      <c r="C1219" s="5">
        <v>35</v>
      </c>
      <c r="D1219" s="5" t="s">
        <v>1485</v>
      </c>
    </row>
    <row r="1220" spans="1:4" x14ac:dyDescent="0.2">
      <c r="A1220" s="17" t="s">
        <v>1806</v>
      </c>
      <c r="B1220" s="18" t="s">
        <v>1484</v>
      </c>
      <c r="C1220" s="5">
        <v>35</v>
      </c>
      <c r="D1220" s="5" t="s">
        <v>1485</v>
      </c>
    </row>
    <row r="1221" spans="1:4" x14ac:dyDescent="0.2">
      <c r="A1221" s="17" t="s">
        <v>1807</v>
      </c>
      <c r="B1221" s="18" t="s">
        <v>1484</v>
      </c>
      <c r="C1221" s="5">
        <v>35</v>
      </c>
      <c r="D1221" s="5" t="s">
        <v>1485</v>
      </c>
    </row>
    <row r="1222" spans="1:4" x14ac:dyDescent="0.2">
      <c r="A1222" s="17" t="s">
        <v>1808</v>
      </c>
      <c r="B1222" s="18" t="s">
        <v>1484</v>
      </c>
      <c r="C1222" s="5">
        <v>35</v>
      </c>
      <c r="D1222" s="5" t="s">
        <v>1485</v>
      </c>
    </row>
    <row r="1223" spans="1:4" x14ac:dyDescent="0.2">
      <c r="A1223" s="17" t="s">
        <v>1809</v>
      </c>
      <c r="B1223" s="18" t="s">
        <v>1484</v>
      </c>
      <c r="C1223" s="5">
        <v>35</v>
      </c>
      <c r="D1223" s="5" t="s">
        <v>1485</v>
      </c>
    </row>
    <row r="1224" spans="1:4" x14ac:dyDescent="0.2">
      <c r="A1224" s="17" t="s">
        <v>1810</v>
      </c>
      <c r="B1224" s="18" t="s">
        <v>1484</v>
      </c>
      <c r="C1224" s="5">
        <v>35</v>
      </c>
      <c r="D1224" s="5" t="s">
        <v>1485</v>
      </c>
    </row>
    <row r="1225" spans="1:4" x14ac:dyDescent="0.2">
      <c r="A1225" s="17" t="s">
        <v>1811</v>
      </c>
      <c r="B1225" s="18" t="s">
        <v>1484</v>
      </c>
      <c r="C1225" s="5">
        <v>35</v>
      </c>
      <c r="D1225" s="5" t="s">
        <v>1485</v>
      </c>
    </row>
    <row r="1226" spans="1:4" x14ac:dyDescent="0.2">
      <c r="A1226" s="17" t="s">
        <v>1812</v>
      </c>
      <c r="B1226" s="18" t="s">
        <v>1484</v>
      </c>
      <c r="C1226" s="5">
        <v>35</v>
      </c>
      <c r="D1226" s="5" t="s">
        <v>1485</v>
      </c>
    </row>
    <row r="1227" spans="1:4" x14ac:dyDescent="0.2">
      <c r="A1227" s="17" t="s">
        <v>1813</v>
      </c>
      <c r="B1227" s="18" t="s">
        <v>1484</v>
      </c>
      <c r="C1227" s="5">
        <v>35</v>
      </c>
      <c r="D1227" s="5" t="s">
        <v>1485</v>
      </c>
    </row>
    <row r="1228" spans="1:4" x14ac:dyDescent="0.2">
      <c r="A1228" s="17" t="s">
        <v>1814</v>
      </c>
      <c r="B1228" s="18" t="s">
        <v>1484</v>
      </c>
      <c r="C1228" s="5">
        <v>35</v>
      </c>
      <c r="D1228" s="5" t="s">
        <v>1485</v>
      </c>
    </row>
    <row r="1229" spans="1:4" x14ac:dyDescent="0.2">
      <c r="A1229" s="17" t="s">
        <v>1815</v>
      </c>
      <c r="B1229" s="18" t="s">
        <v>1484</v>
      </c>
      <c r="C1229" s="5">
        <v>35</v>
      </c>
      <c r="D1229" s="5" t="s">
        <v>1485</v>
      </c>
    </row>
    <row r="1230" spans="1:4" x14ac:dyDescent="0.2">
      <c r="A1230" s="17" t="s">
        <v>1816</v>
      </c>
      <c r="B1230" s="18" t="s">
        <v>1484</v>
      </c>
      <c r="C1230" s="5">
        <v>35</v>
      </c>
      <c r="D1230" s="5" t="s">
        <v>1485</v>
      </c>
    </row>
    <row r="1231" spans="1:4" x14ac:dyDescent="0.2">
      <c r="A1231" s="17" t="s">
        <v>1817</v>
      </c>
      <c r="B1231" s="18" t="s">
        <v>1484</v>
      </c>
      <c r="C1231" s="5">
        <v>35</v>
      </c>
      <c r="D1231" s="5" t="s">
        <v>1485</v>
      </c>
    </row>
    <row r="1232" spans="1:4" x14ac:dyDescent="0.2">
      <c r="A1232" s="17" t="s">
        <v>1818</v>
      </c>
      <c r="B1232" s="18" t="s">
        <v>1484</v>
      </c>
      <c r="C1232" s="5">
        <v>35</v>
      </c>
      <c r="D1232" s="5" t="s">
        <v>1485</v>
      </c>
    </row>
    <row r="1233" spans="1:4" x14ac:dyDescent="0.2">
      <c r="A1233" s="17" t="s">
        <v>1819</v>
      </c>
      <c r="B1233" s="18" t="s">
        <v>1484</v>
      </c>
      <c r="C1233" s="5">
        <v>35</v>
      </c>
      <c r="D1233" s="5" t="s">
        <v>1485</v>
      </c>
    </row>
    <row r="1234" spans="1:4" x14ac:dyDescent="0.2">
      <c r="A1234" s="17" t="s">
        <v>1820</v>
      </c>
      <c r="B1234" s="18" t="s">
        <v>1484</v>
      </c>
      <c r="C1234" s="5">
        <v>35</v>
      </c>
      <c r="D1234" s="5" t="s">
        <v>1485</v>
      </c>
    </row>
    <row r="1235" spans="1:4" x14ac:dyDescent="0.2">
      <c r="A1235" s="17" t="s">
        <v>1821</v>
      </c>
      <c r="B1235" s="18" t="s">
        <v>1484</v>
      </c>
      <c r="C1235" s="5">
        <v>35</v>
      </c>
      <c r="D1235" s="5" t="s">
        <v>1485</v>
      </c>
    </row>
    <row r="1236" spans="1:4" x14ac:dyDescent="0.2">
      <c r="A1236" s="17" t="s">
        <v>1822</v>
      </c>
      <c r="B1236" s="18" t="s">
        <v>1484</v>
      </c>
      <c r="C1236" s="5">
        <v>35</v>
      </c>
      <c r="D1236" s="5" t="s">
        <v>1485</v>
      </c>
    </row>
    <row r="1237" spans="1:4" x14ac:dyDescent="0.2">
      <c r="A1237" s="17" t="s">
        <v>1823</v>
      </c>
      <c r="B1237" s="18" t="s">
        <v>1484</v>
      </c>
      <c r="C1237" s="5">
        <v>35</v>
      </c>
      <c r="D1237" s="5" t="s">
        <v>1485</v>
      </c>
    </row>
    <row r="1238" spans="1:4" x14ac:dyDescent="0.2">
      <c r="A1238" s="17" t="s">
        <v>1824</v>
      </c>
      <c r="B1238" s="18" t="s">
        <v>1484</v>
      </c>
      <c r="C1238" s="5">
        <v>35</v>
      </c>
      <c r="D1238" s="5" t="s">
        <v>1485</v>
      </c>
    </row>
    <row r="1239" spans="1:4" x14ac:dyDescent="0.2">
      <c r="A1239" s="17" t="s">
        <v>1825</v>
      </c>
      <c r="B1239" s="18" t="s">
        <v>1484</v>
      </c>
      <c r="C1239" s="5">
        <v>35</v>
      </c>
      <c r="D1239" s="5" t="s">
        <v>1485</v>
      </c>
    </row>
    <row r="1240" spans="1:4" x14ac:dyDescent="0.2">
      <c r="A1240" s="17" t="s">
        <v>1826</v>
      </c>
      <c r="B1240" s="18" t="s">
        <v>1484</v>
      </c>
      <c r="C1240" s="5">
        <v>35</v>
      </c>
      <c r="D1240" s="5" t="s">
        <v>1485</v>
      </c>
    </row>
    <row r="1241" spans="1:4" x14ac:dyDescent="0.2">
      <c r="A1241" s="17" t="s">
        <v>1827</v>
      </c>
      <c r="B1241" s="18" t="s">
        <v>1484</v>
      </c>
      <c r="C1241" s="5">
        <v>35</v>
      </c>
      <c r="D1241" s="5" t="s">
        <v>1485</v>
      </c>
    </row>
    <row r="1242" spans="1:4" x14ac:dyDescent="0.2">
      <c r="A1242" s="17" t="s">
        <v>1828</v>
      </c>
      <c r="B1242" s="18" t="s">
        <v>1484</v>
      </c>
      <c r="C1242" s="5">
        <v>35</v>
      </c>
      <c r="D1242" s="5" t="s">
        <v>1485</v>
      </c>
    </row>
    <row r="1243" spans="1:4" x14ac:dyDescent="0.2">
      <c r="A1243" s="17" t="s">
        <v>1829</v>
      </c>
      <c r="B1243" s="18" t="s">
        <v>1484</v>
      </c>
      <c r="C1243" s="5">
        <v>35</v>
      </c>
      <c r="D1243" s="5" t="s">
        <v>1485</v>
      </c>
    </row>
    <row r="1244" spans="1:4" x14ac:dyDescent="0.2">
      <c r="A1244" s="17" t="s">
        <v>1830</v>
      </c>
      <c r="B1244" s="18" t="s">
        <v>1484</v>
      </c>
      <c r="C1244" s="5">
        <v>35</v>
      </c>
      <c r="D1244" s="5" t="s">
        <v>1485</v>
      </c>
    </row>
    <row r="1245" spans="1:4" x14ac:dyDescent="0.2">
      <c r="A1245" s="17" t="s">
        <v>1831</v>
      </c>
      <c r="B1245" s="18" t="s">
        <v>1484</v>
      </c>
      <c r="C1245" s="5">
        <v>35</v>
      </c>
      <c r="D1245" s="5" t="s">
        <v>1485</v>
      </c>
    </row>
    <row r="1246" spans="1:4" x14ac:dyDescent="0.2">
      <c r="A1246" s="17" t="s">
        <v>1832</v>
      </c>
      <c r="B1246" s="18" t="s">
        <v>1484</v>
      </c>
      <c r="C1246" s="5">
        <v>35</v>
      </c>
      <c r="D1246" s="5" t="s">
        <v>1485</v>
      </c>
    </row>
    <row r="1247" spans="1:4" x14ac:dyDescent="0.2">
      <c r="A1247" s="17" t="s">
        <v>1833</v>
      </c>
      <c r="B1247" s="18" t="s">
        <v>1484</v>
      </c>
      <c r="C1247" s="5">
        <v>35</v>
      </c>
      <c r="D1247" s="5" t="s">
        <v>1485</v>
      </c>
    </row>
    <row r="1248" spans="1:4" x14ac:dyDescent="0.2">
      <c r="A1248" s="17" t="s">
        <v>1834</v>
      </c>
      <c r="B1248" s="18" t="s">
        <v>1484</v>
      </c>
      <c r="C1248" s="5">
        <v>35</v>
      </c>
      <c r="D1248" s="5" t="s">
        <v>1485</v>
      </c>
    </row>
    <row r="1249" spans="1:4" x14ac:dyDescent="0.2">
      <c r="A1249" s="17" t="s">
        <v>1835</v>
      </c>
      <c r="B1249" s="18" t="s">
        <v>1484</v>
      </c>
      <c r="C1249" s="5">
        <v>35</v>
      </c>
      <c r="D1249" s="5" t="s">
        <v>1485</v>
      </c>
    </row>
    <row r="1250" spans="1:4" x14ac:dyDescent="0.2">
      <c r="A1250" s="17" t="s">
        <v>1836</v>
      </c>
      <c r="B1250" s="18" t="s">
        <v>1484</v>
      </c>
      <c r="C1250" s="5">
        <v>35</v>
      </c>
      <c r="D1250" s="5" t="s">
        <v>1485</v>
      </c>
    </row>
    <row r="1251" spans="1:4" x14ac:dyDescent="0.2">
      <c r="A1251" s="17" t="s">
        <v>1837</v>
      </c>
      <c r="B1251" s="18" t="s">
        <v>1484</v>
      </c>
      <c r="C1251" s="5">
        <v>35</v>
      </c>
      <c r="D1251" s="5" t="s">
        <v>1485</v>
      </c>
    </row>
    <row r="1252" spans="1:4" x14ac:dyDescent="0.2">
      <c r="A1252" s="17" t="s">
        <v>1838</v>
      </c>
      <c r="B1252" s="18" t="s">
        <v>1484</v>
      </c>
      <c r="C1252" s="5">
        <v>35</v>
      </c>
      <c r="D1252" s="5" t="s">
        <v>1485</v>
      </c>
    </row>
    <row r="1253" spans="1:4" x14ac:dyDescent="0.2">
      <c r="A1253" s="17" t="s">
        <v>1839</v>
      </c>
      <c r="B1253" s="18" t="s">
        <v>1484</v>
      </c>
      <c r="C1253" s="5">
        <v>35</v>
      </c>
      <c r="D1253" s="5" t="s">
        <v>1485</v>
      </c>
    </row>
    <row r="1254" spans="1:4" x14ac:dyDescent="0.2">
      <c r="A1254" s="17" t="s">
        <v>1840</v>
      </c>
      <c r="B1254" s="18" t="s">
        <v>1484</v>
      </c>
      <c r="C1254" s="5">
        <v>35</v>
      </c>
      <c r="D1254" s="5" t="s">
        <v>1485</v>
      </c>
    </row>
    <row r="1255" spans="1:4" x14ac:dyDescent="0.2">
      <c r="A1255" s="17" t="s">
        <v>1841</v>
      </c>
      <c r="B1255" s="18" t="s">
        <v>1484</v>
      </c>
      <c r="C1255" s="5">
        <v>35</v>
      </c>
      <c r="D1255" s="5" t="s">
        <v>1485</v>
      </c>
    </row>
    <row r="1256" spans="1:4" x14ac:dyDescent="0.2">
      <c r="A1256" s="17" t="s">
        <v>1842</v>
      </c>
      <c r="B1256" s="18" t="s">
        <v>1484</v>
      </c>
      <c r="C1256" s="5">
        <v>35</v>
      </c>
      <c r="D1256" s="5" t="s">
        <v>1485</v>
      </c>
    </row>
    <row r="1257" spans="1:4" x14ac:dyDescent="0.2">
      <c r="A1257" s="17" t="s">
        <v>1843</v>
      </c>
      <c r="B1257" s="18" t="s">
        <v>1484</v>
      </c>
      <c r="C1257" s="5">
        <v>35</v>
      </c>
      <c r="D1257" s="5" t="s">
        <v>1485</v>
      </c>
    </row>
    <row r="1258" spans="1:4" x14ac:dyDescent="0.2">
      <c r="A1258" s="17" t="s">
        <v>1844</v>
      </c>
      <c r="B1258" s="18" t="s">
        <v>1484</v>
      </c>
      <c r="C1258" s="5">
        <v>35</v>
      </c>
      <c r="D1258" s="5" t="s">
        <v>1485</v>
      </c>
    </row>
    <row r="1259" spans="1:4" x14ac:dyDescent="0.2">
      <c r="A1259" s="17" t="s">
        <v>1845</v>
      </c>
      <c r="B1259" s="18" t="s">
        <v>1484</v>
      </c>
      <c r="C1259" s="5">
        <v>35</v>
      </c>
      <c r="D1259" s="5" t="s">
        <v>1485</v>
      </c>
    </row>
    <row r="1260" spans="1:4" x14ac:dyDescent="0.2">
      <c r="A1260" s="17" t="s">
        <v>1846</v>
      </c>
      <c r="B1260" s="18" t="s">
        <v>1484</v>
      </c>
      <c r="C1260" s="5">
        <v>35</v>
      </c>
      <c r="D1260" s="5" t="s">
        <v>1485</v>
      </c>
    </row>
    <row r="1261" spans="1:4" x14ac:dyDescent="0.2">
      <c r="A1261" s="17" t="s">
        <v>1847</v>
      </c>
      <c r="B1261" s="18" t="s">
        <v>1484</v>
      </c>
      <c r="C1261" s="5">
        <v>35</v>
      </c>
      <c r="D1261" s="5" t="s">
        <v>1485</v>
      </c>
    </row>
    <row r="1262" spans="1:4" x14ac:dyDescent="0.2">
      <c r="A1262" s="17" t="s">
        <v>1848</v>
      </c>
      <c r="B1262" s="18" t="s">
        <v>1484</v>
      </c>
      <c r="C1262" s="5">
        <v>35</v>
      </c>
      <c r="D1262" s="5" t="s">
        <v>1485</v>
      </c>
    </row>
    <row r="1263" spans="1:4" x14ac:dyDescent="0.2">
      <c r="A1263" s="17" t="s">
        <v>1849</v>
      </c>
      <c r="B1263" s="18" t="s">
        <v>1484</v>
      </c>
      <c r="C1263" s="5">
        <v>35</v>
      </c>
      <c r="D1263" s="5" t="s">
        <v>1485</v>
      </c>
    </row>
    <row r="1264" spans="1:4" x14ac:dyDescent="0.2">
      <c r="A1264" s="17" t="s">
        <v>1850</v>
      </c>
      <c r="B1264" s="18" t="s">
        <v>1484</v>
      </c>
      <c r="C1264" s="5">
        <v>35</v>
      </c>
      <c r="D1264" s="5" t="s">
        <v>1485</v>
      </c>
    </row>
    <row r="1265" spans="1:4" x14ac:dyDescent="0.2">
      <c r="A1265" s="17" t="s">
        <v>1851</v>
      </c>
      <c r="B1265" s="18" t="s">
        <v>1484</v>
      </c>
      <c r="C1265" s="5">
        <v>35</v>
      </c>
      <c r="D1265" s="5" t="s">
        <v>1485</v>
      </c>
    </row>
    <row r="1266" spans="1:4" x14ac:dyDescent="0.2">
      <c r="A1266" s="17" t="s">
        <v>1852</v>
      </c>
      <c r="B1266" s="18" t="s">
        <v>1484</v>
      </c>
      <c r="C1266" s="5">
        <v>35</v>
      </c>
      <c r="D1266" s="5" t="s">
        <v>1485</v>
      </c>
    </row>
    <row r="1267" spans="1:4" x14ac:dyDescent="0.2">
      <c r="A1267" s="17" t="s">
        <v>1853</v>
      </c>
      <c r="B1267" s="18" t="s">
        <v>1484</v>
      </c>
      <c r="C1267" s="5">
        <v>35</v>
      </c>
      <c r="D1267" s="5" t="s">
        <v>1485</v>
      </c>
    </row>
    <row r="1268" spans="1:4" x14ac:dyDescent="0.2">
      <c r="A1268" s="17" t="s">
        <v>1854</v>
      </c>
      <c r="B1268" s="18" t="s">
        <v>1484</v>
      </c>
      <c r="C1268" s="5">
        <v>35</v>
      </c>
      <c r="D1268" s="5" t="s">
        <v>1485</v>
      </c>
    </row>
    <row r="1269" spans="1:4" x14ac:dyDescent="0.2">
      <c r="A1269" s="17" t="s">
        <v>1855</v>
      </c>
      <c r="B1269" s="18" t="s">
        <v>1484</v>
      </c>
      <c r="C1269" s="5">
        <v>35</v>
      </c>
      <c r="D1269" s="5" t="s">
        <v>1485</v>
      </c>
    </row>
    <row r="1270" spans="1:4" x14ac:dyDescent="0.2">
      <c r="A1270" s="17" t="s">
        <v>1856</v>
      </c>
      <c r="B1270" s="18" t="s">
        <v>1484</v>
      </c>
      <c r="C1270" s="5">
        <v>35</v>
      </c>
      <c r="D1270" s="5" t="s">
        <v>1485</v>
      </c>
    </row>
    <row r="1271" spans="1:4" x14ac:dyDescent="0.2">
      <c r="A1271" s="17" t="s">
        <v>266</v>
      </c>
      <c r="B1271" s="18" t="s">
        <v>1484</v>
      </c>
      <c r="C1271" s="5">
        <v>35</v>
      </c>
      <c r="D1271" s="5" t="s">
        <v>1485</v>
      </c>
    </row>
    <row r="1272" spans="1:4" x14ac:dyDescent="0.2">
      <c r="A1272" s="17" t="s">
        <v>1857</v>
      </c>
      <c r="B1272" s="18" t="s">
        <v>1484</v>
      </c>
      <c r="C1272" s="5">
        <v>35</v>
      </c>
      <c r="D1272" s="5" t="s">
        <v>1485</v>
      </c>
    </row>
    <row r="1273" spans="1:4" x14ac:dyDescent="0.2">
      <c r="A1273" s="17" t="s">
        <v>1858</v>
      </c>
      <c r="B1273" s="18" t="s">
        <v>1484</v>
      </c>
      <c r="C1273" s="5">
        <v>35</v>
      </c>
      <c r="D1273" s="5" t="s">
        <v>1485</v>
      </c>
    </row>
    <row r="1274" spans="1:4" x14ac:dyDescent="0.2">
      <c r="A1274" s="17" t="s">
        <v>1859</v>
      </c>
      <c r="B1274" s="18" t="s">
        <v>1484</v>
      </c>
      <c r="C1274" s="5">
        <v>35</v>
      </c>
      <c r="D1274" s="5" t="s">
        <v>1485</v>
      </c>
    </row>
    <row r="1275" spans="1:4" x14ac:dyDescent="0.2">
      <c r="A1275" s="17" t="s">
        <v>1860</v>
      </c>
      <c r="B1275" s="18" t="s">
        <v>1484</v>
      </c>
      <c r="C1275" s="5">
        <v>35</v>
      </c>
      <c r="D1275" s="5" t="s">
        <v>1485</v>
      </c>
    </row>
    <row r="1276" spans="1:4" x14ac:dyDescent="0.2">
      <c r="A1276" s="17" t="s">
        <v>1861</v>
      </c>
      <c r="B1276" s="18" t="s">
        <v>1484</v>
      </c>
      <c r="C1276" s="5">
        <v>35</v>
      </c>
      <c r="D1276" s="5" t="s">
        <v>1485</v>
      </c>
    </row>
    <row r="1277" spans="1:4" x14ac:dyDescent="0.2">
      <c r="A1277" s="17" t="s">
        <v>1862</v>
      </c>
      <c r="B1277" s="18" t="s">
        <v>1484</v>
      </c>
      <c r="C1277" s="5">
        <v>35</v>
      </c>
      <c r="D1277" s="5" t="s">
        <v>1485</v>
      </c>
    </row>
    <row r="1278" spans="1:4" x14ac:dyDescent="0.2">
      <c r="A1278" s="17" t="s">
        <v>1863</v>
      </c>
      <c r="B1278" s="18" t="s">
        <v>1484</v>
      </c>
      <c r="C1278" s="5">
        <v>35</v>
      </c>
      <c r="D1278" s="5" t="s">
        <v>1485</v>
      </c>
    </row>
    <row r="1279" spans="1:4" x14ac:dyDescent="0.2">
      <c r="A1279" s="17" t="s">
        <v>1864</v>
      </c>
      <c r="B1279" s="18" t="s">
        <v>1484</v>
      </c>
      <c r="C1279" s="5">
        <v>35</v>
      </c>
      <c r="D1279" s="5" t="s">
        <v>1485</v>
      </c>
    </row>
    <row r="1280" spans="1:4" x14ac:dyDescent="0.2">
      <c r="A1280" s="17" t="s">
        <v>1865</v>
      </c>
      <c r="B1280" s="18" t="s">
        <v>1484</v>
      </c>
      <c r="C1280" s="5">
        <v>35</v>
      </c>
      <c r="D1280" s="5" t="s">
        <v>1485</v>
      </c>
    </row>
    <row r="1281" spans="1:4" x14ac:dyDescent="0.2">
      <c r="A1281" s="17" t="s">
        <v>1866</v>
      </c>
      <c r="B1281" s="18" t="s">
        <v>1484</v>
      </c>
      <c r="C1281" s="5">
        <v>35</v>
      </c>
      <c r="D1281" s="5" t="s">
        <v>1485</v>
      </c>
    </row>
    <row r="1282" spans="1:4" x14ac:dyDescent="0.2">
      <c r="A1282" s="17" t="s">
        <v>1867</v>
      </c>
      <c r="B1282" s="18" t="s">
        <v>1484</v>
      </c>
      <c r="C1282" s="5">
        <v>35</v>
      </c>
      <c r="D1282" s="5" t="s">
        <v>1485</v>
      </c>
    </row>
    <row r="1283" spans="1:4" x14ac:dyDescent="0.2">
      <c r="A1283" s="17" t="s">
        <v>1868</v>
      </c>
      <c r="B1283" s="18" t="s">
        <v>1484</v>
      </c>
      <c r="C1283" s="5">
        <v>35</v>
      </c>
      <c r="D1283" s="5" t="s">
        <v>1485</v>
      </c>
    </row>
    <row r="1284" spans="1:4" x14ac:dyDescent="0.2">
      <c r="A1284" s="17" t="s">
        <v>1869</v>
      </c>
      <c r="B1284" s="18" t="s">
        <v>1484</v>
      </c>
      <c r="C1284" s="5">
        <v>35</v>
      </c>
      <c r="D1284" s="5" t="s">
        <v>1485</v>
      </c>
    </row>
    <row r="1285" spans="1:4" x14ac:dyDescent="0.2">
      <c r="A1285" s="17" t="s">
        <v>1870</v>
      </c>
      <c r="B1285" s="18" t="s">
        <v>1484</v>
      </c>
      <c r="C1285" s="5">
        <v>35</v>
      </c>
      <c r="D1285" s="5" t="s">
        <v>1485</v>
      </c>
    </row>
    <row r="1286" spans="1:4" x14ac:dyDescent="0.2">
      <c r="A1286" s="17" t="s">
        <v>1871</v>
      </c>
      <c r="B1286" s="18" t="s">
        <v>1484</v>
      </c>
      <c r="C1286" s="5">
        <v>35</v>
      </c>
      <c r="D1286" s="5" t="s">
        <v>1485</v>
      </c>
    </row>
    <row r="1287" spans="1:4" x14ac:dyDescent="0.2">
      <c r="A1287" s="17" t="s">
        <v>1872</v>
      </c>
      <c r="B1287" s="18" t="s">
        <v>1484</v>
      </c>
      <c r="C1287" s="5">
        <v>35</v>
      </c>
      <c r="D1287" s="5" t="s">
        <v>1485</v>
      </c>
    </row>
    <row r="1288" spans="1:4" x14ac:dyDescent="0.2">
      <c r="A1288" s="17" t="s">
        <v>1873</v>
      </c>
      <c r="B1288" s="18" t="s">
        <v>1484</v>
      </c>
      <c r="C1288" s="5">
        <v>35</v>
      </c>
      <c r="D1288" s="5" t="s">
        <v>1485</v>
      </c>
    </row>
    <row r="1289" spans="1:4" x14ac:dyDescent="0.2">
      <c r="A1289" s="17" t="s">
        <v>1874</v>
      </c>
      <c r="B1289" s="18" t="s">
        <v>1484</v>
      </c>
      <c r="C1289" s="5">
        <v>35</v>
      </c>
      <c r="D1289" s="5" t="s">
        <v>1485</v>
      </c>
    </row>
    <row r="1290" spans="1:4" x14ac:dyDescent="0.2">
      <c r="A1290" s="17" t="s">
        <v>1875</v>
      </c>
      <c r="B1290" s="18" t="s">
        <v>1484</v>
      </c>
      <c r="C1290" s="5">
        <v>35</v>
      </c>
      <c r="D1290" s="5" t="s">
        <v>1485</v>
      </c>
    </row>
    <row r="1291" spans="1:4" x14ac:dyDescent="0.2">
      <c r="A1291" s="17" t="s">
        <v>1876</v>
      </c>
      <c r="B1291" s="18" t="s">
        <v>1484</v>
      </c>
      <c r="C1291" s="5">
        <v>35</v>
      </c>
      <c r="D1291" s="5" t="s">
        <v>1485</v>
      </c>
    </row>
    <row r="1292" spans="1:4" x14ac:dyDescent="0.2">
      <c r="A1292" s="17" t="s">
        <v>1877</v>
      </c>
      <c r="B1292" s="18" t="s">
        <v>1484</v>
      </c>
      <c r="C1292" s="5">
        <v>35</v>
      </c>
      <c r="D1292" s="5" t="s">
        <v>1485</v>
      </c>
    </row>
    <row r="1293" spans="1:4" x14ac:dyDescent="0.2">
      <c r="A1293" s="17" t="s">
        <v>1878</v>
      </c>
      <c r="B1293" s="18" t="s">
        <v>1484</v>
      </c>
      <c r="C1293" s="5">
        <v>35</v>
      </c>
      <c r="D1293" s="5" t="s">
        <v>1485</v>
      </c>
    </row>
    <row r="1294" spans="1:4" x14ac:dyDescent="0.2">
      <c r="A1294" s="17" t="s">
        <v>1879</v>
      </c>
      <c r="B1294" s="18" t="s">
        <v>1484</v>
      </c>
      <c r="C1294" s="5">
        <v>35</v>
      </c>
      <c r="D1294" s="5" t="s">
        <v>1485</v>
      </c>
    </row>
    <row r="1295" spans="1:4" x14ac:dyDescent="0.2">
      <c r="A1295" s="17" t="s">
        <v>1880</v>
      </c>
      <c r="B1295" s="18" t="s">
        <v>1484</v>
      </c>
      <c r="C1295" s="5">
        <v>35</v>
      </c>
      <c r="D1295" s="5" t="s">
        <v>1485</v>
      </c>
    </row>
    <row r="1296" spans="1:4" x14ac:dyDescent="0.2">
      <c r="A1296" s="17" t="s">
        <v>1881</v>
      </c>
      <c r="B1296" s="18" t="s">
        <v>1484</v>
      </c>
      <c r="C1296" s="5">
        <v>35</v>
      </c>
      <c r="D1296" s="5" t="s">
        <v>1485</v>
      </c>
    </row>
    <row r="1297" spans="1:4" x14ac:dyDescent="0.2">
      <c r="A1297" s="17" t="s">
        <v>1882</v>
      </c>
      <c r="B1297" s="18" t="s">
        <v>1484</v>
      </c>
      <c r="C1297" s="5">
        <v>35</v>
      </c>
      <c r="D1297" s="5" t="s">
        <v>1485</v>
      </c>
    </row>
    <row r="1298" spans="1:4" x14ac:dyDescent="0.2">
      <c r="A1298" s="17" t="s">
        <v>1883</v>
      </c>
      <c r="B1298" s="18" t="s">
        <v>1484</v>
      </c>
      <c r="C1298" s="5">
        <v>35</v>
      </c>
      <c r="D1298" s="5" t="s">
        <v>1485</v>
      </c>
    </row>
    <row r="1299" spans="1:4" x14ac:dyDescent="0.2">
      <c r="A1299" s="17" t="s">
        <v>1884</v>
      </c>
      <c r="B1299" s="18" t="s">
        <v>1484</v>
      </c>
      <c r="C1299" s="5">
        <v>35</v>
      </c>
      <c r="D1299" s="5" t="s">
        <v>1485</v>
      </c>
    </row>
    <row r="1300" spans="1:4" x14ac:dyDescent="0.2">
      <c r="A1300" s="17" t="s">
        <v>1885</v>
      </c>
      <c r="B1300" s="18" t="s">
        <v>1484</v>
      </c>
      <c r="C1300" s="5">
        <v>35</v>
      </c>
      <c r="D1300" s="5" t="s">
        <v>1485</v>
      </c>
    </row>
    <row r="1301" spans="1:4" x14ac:dyDescent="0.2">
      <c r="A1301" s="17" t="s">
        <v>1886</v>
      </c>
      <c r="B1301" s="18" t="s">
        <v>1484</v>
      </c>
      <c r="C1301" s="5">
        <v>35</v>
      </c>
      <c r="D1301" s="5" t="s">
        <v>1485</v>
      </c>
    </row>
    <row r="1302" spans="1:4" x14ac:dyDescent="0.2">
      <c r="A1302" s="17" t="s">
        <v>1887</v>
      </c>
      <c r="B1302" s="18" t="s">
        <v>1484</v>
      </c>
      <c r="C1302" s="5">
        <v>35</v>
      </c>
      <c r="D1302" s="5" t="s">
        <v>1485</v>
      </c>
    </row>
    <row r="1303" spans="1:4" x14ac:dyDescent="0.2">
      <c r="A1303" s="17" t="s">
        <v>1888</v>
      </c>
      <c r="B1303" s="18" t="s">
        <v>1484</v>
      </c>
      <c r="C1303" s="5">
        <v>35</v>
      </c>
      <c r="D1303" s="5" t="s">
        <v>1485</v>
      </c>
    </row>
    <row r="1304" spans="1:4" x14ac:dyDescent="0.2">
      <c r="A1304" s="17" t="s">
        <v>365</v>
      </c>
      <c r="B1304" s="18" t="s">
        <v>1484</v>
      </c>
      <c r="C1304" s="5">
        <v>35</v>
      </c>
      <c r="D1304" s="5" t="s">
        <v>1485</v>
      </c>
    </row>
    <row r="1305" spans="1:4" x14ac:dyDescent="0.2">
      <c r="A1305" s="17" t="s">
        <v>1889</v>
      </c>
      <c r="B1305" s="18" t="s">
        <v>1484</v>
      </c>
      <c r="C1305" s="5">
        <v>35</v>
      </c>
      <c r="D1305" s="5" t="s">
        <v>1485</v>
      </c>
    </row>
    <row r="1306" spans="1:4" x14ac:dyDescent="0.2">
      <c r="A1306" s="17" t="s">
        <v>1890</v>
      </c>
      <c r="B1306" s="18" t="s">
        <v>1484</v>
      </c>
      <c r="C1306" s="5">
        <v>35</v>
      </c>
      <c r="D1306" s="5" t="s">
        <v>1485</v>
      </c>
    </row>
    <row r="1307" spans="1:4" x14ac:dyDescent="0.2">
      <c r="A1307" s="17" t="s">
        <v>1891</v>
      </c>
      <c r="B1307" s="18" t="s">
        <v>1484</v>
      </c>
      <c r="C1307" s="5">
        <v>35</v>
      </c>
      <c r="D1307" s="5" t="s">
        <v>1485</v>
      </c>
    </row>
    <row r="1308" spans="1:4" x14ac:dyDescent="0.2">
      <c r="A1308" s="17" t="s">
        <v>1892</v>
      </c>
      <c r="B1308" s="18" t="s">
        <v>1484</v>
      </c>
      <c r="C1308" s="5">
        <v>35</v>
      </c>
      <c r="D1308" s="5" t="s">
        <v>1485</v>
      </c>
    </row>
    <row r="1309" spans="1:4" x14ac:dyDescent="0.2">
      <c r="A1309" s="17" t="s">
        <v>1893</v>
      </c>
      <c r="B1309" s="18" t="s">
        <v>1484</v>
      </c>
      <c r="C1309" s="5">
        <v>35</v>
      </c>
      <c r="D1309" s="5" t="s">
        <v>1485</v>
      </c>
    </row>
    <row r="1310" spans="1:4" x14ac:dyDescent="0.2">
      <c r="A1310" s="17" t="s">
        <v>1894</v>
      </c>
      <c r="B1310" s="18" t="s">
        <v>1484</v>
      </c>
      <c r="C1310" s="5">
        <v>35</v>
      </c>
      <c r="D1310" s="5" t="s">
        <v>1485</v>
      </c>
    </row>
    <row r="1311" spans="1:4" x14ac:dyDescent="0.2">
      <c r="A1311" s="17" t="s">
        <v>1895</v>
      </c>
      <c r="B1311" s="18" t="s">
        <v>1484</v>
      </c>
      <c r="C1311" s="5">
        <v>35</v>
      </c>
      <c r="D1311" s="5" t="s">
        <v>1485</v>
      </c>
    </row>
    <row r="1312" spans="1:4" x14ac:dyDescent="0.2">
      <c r="A1312" s="17" t="s">
        <v>1896</v>
      </c>
      <c r="B1312" s="18" t="s">
        <v>1484</v>
      </c>
      <c r="C1312" s="5">
        <v>35</v>
      </c>
      <c r="D1312" s="5" t="s">
        <v>1485</v>
      </c>
    </row>
    <row r="1313" spans="1:4" x14ac:dyDescent="0.2">
      <c r="A1313" s="17" t="s">
        <v>1897</v>
      </c>
      <c r="B1313" s="18" t="s">
        <v>1484</v>
      </c>
      <c r="C1313" s="5">
        <v>35</v>
      </c>
      <c r="D1313" s="5" t="s">
        <v>1485</v>
      </c>
    </row>
    <row r="1314" spans="1:4" x14ac:dyDescent="0.2">
      <c r="A1314" s="17" t="s">
        <v>1898</v>
      </c>
      <c r="B1314" s="18" t="s">
        <v>1484</v>
      </c>
      <c r="C1314" s="5">
        <v>35</v>
      </c>
      <c r="D1314" s="5" t="s">
        <v>1485</v>
      </c>
    </row>
    <row r="1315" spans="1:4" x14ac:dyDescent="0.2">
      <c r="A1315" s="17" t="s">
        <v>1899</v>
      </c>
      <c r="B1315" s="18" t="s">
        <v>1484</v>
      </c>
      <c r="C1315" s="5">
        <v>35</v>
      </c>
      <c r="D1315" s="5" t="s">
        <v>1485</v>
      </c>
    </row>
    <row r="1316" spans="1:4" x14ac:dyDescent="0.2">
      <c r="A1316" s="17" t="s">
        <v>1900</v>
      </c>
      <c r="B1316" s="18" t="s">
        <v>1484</v>
      </c>
      <c r="C1316" s="5">
        <v>35</v>
      </c>
      <c r="D1316" s="5" t="s">
        <v>1485</v>
      </c>
    </row>
    <row r="1317" spans="1:4" x14ac:dyDescent="0.2">
      <c r="A1317" s="17" t="s">
        <v>201</v>
      </c>
      <c r="B1317" s="18" t="s">
        <v>1484</v>
      </c>
      <c r="C1317" s="5">
        <v>35</v>
      </c>
      <c r="D1317" s="5" t="s">
        <v>1485</v>
      </c>
    </row>
    <row r="1318" spans="1:4" x14ac:dyDescent="0.2">
      <c r="A1318" s="17" t="s">
        <v>1901</v>
      </c>
      <c r="B1318" s="18" t="s">
        <v>1902</v>
      </c>
      <c r="C1318" s="5">
        <v>35</v>
      </c>
      <c r="D1318" s="5" t="s">
        <v>1485</v>
      </c>
    </row>
    <row r="1319" spans="1:4" x14ac:dyDescent="0.2">
      <c r="A1319" s="17" t="s">
        <v>1903</v>
      </c>
      <c r="B1319" s="18" t="s">
        <v>1902</v>
      </c>
      <c r="C1319" s="5">
        <v>35</v>
      </c>
      <c r="D1319" s="5" t="s">
        <v>1485</v>
      </c>
    </row>
    <row r="1320" spans="1:4" x14ac:dyDescent="0.2">
      <c r="A1320" s="17" t="s">
        <v>1904</v>
      </c>
      <c r="B1320" s="18" t="s">
        <v>1902</v>
      </c>
      <c r="C1320" s="5">
        <v>35</v>
      </c>
      <c r="D1320" s="5" t="s">
        <v>1485</v>
      </c>
    </row>
    <row r="1321" spans="1:4" x14ac:dyDescent="0.2">
      <c r="A1321" s="17" t="s">
        <v>1905</v>
      </c>
      <c r="B1321" s="18" t="s">
        <v>1902</v>
      </c>
      <c r="C1321" s="5">
        <v>35</v>
      </c>
      <c r="D1321" s="5" t="s">
        <v>1485</v>
      </c>
    </row>
    <row r="1322" spans="1:4" x14ac:dyDescent="0.2">
      <c r="A1322" s="17" t="s">
        <v>1906</v>
      </c>
      <c r="B1322" s="18" t="s">
        <v>1902</v>
      </c>
      <c r="C1322" s="5">
        <v>35</v>
      </c>
      <c r="D1322" s="5" t="s">
        <v>1485</v>
      </c>
    </row>
    <row r="1323" spans="1:4" x14ac:dyDescent="0.2">
      <c r="A1323" s="17" t="s">
        <v>1907</v>
      </c>
      <c r="B1323" s="18" t="s">
        <v>1902</v>
      </c>
      <c r="C1323" s="5">
        <v>35</v>
      </c>
      <c r="D1323" s="5" t="s">
        <v>1485</v>
      </c>
    </row>
    <row r="1324" spans="1:4" x14ac:dyDescent="0.2">
      <c r="A1324" s="17" t="s">
        <v>1908</v>
      </c>
      <c r="B1324" s="18" t="s">
        <v>1902</v>
      </c>
      <c r="C1324" s="5">
        <v>35</v>
      </c>
      <c r="D1324" s="5" t="s">
        <v>1485</v>
      </c>
    </row>
    <row r="1325" spans="1:4" x14ac:dyDescent="0.2">
      <c r="A1325" s="17" t="s">
        <v>1909</v>
      </c>
      <c r="B1325" s="18" t="s">
        <v>1902</v>
      </c>
      <c r="C1325" s="5">
        <v>35</v>
      </c>
      <c r="D1325" s="5" t="s">
        <v>1485</v>
      </c>
    </row>
    <row r="1326" spans="1:4" x14ac:dyDescent="0.2">
      <c r="A1326" s="17" t="s">
        <v>1910</v>
      </c>
      <c r="B1326" s="18" t="s">
        <v>1902</v>
      </c>
      <c r="C1326" s="5">
        <v>35</v>
      </c>
      <c r="D1326" s="5" t="s">
        <v>1485</v>
      </c>
    </row>
    <row r="1327" spans="1:4" x14ac:dyDescent="0.2">
      <c r="A1327" s="17" t="s">
        <v>1911</v>
      </c>
      <c r="B1327" s="18" t="s">
        <v>1902</v>
      </c>
      <c r="C1327" s="5">
        <v>35</v>
      </c>
      <c r="D1327" s="5" t="s">
        <v>1485</v>
      </c>
    </row>
    <row r="1328" spans="1:4" x14ac:dyDescent="0.2">
      <c r="A1328" s="17" t="s">
        <v>1912</v>
      </c>
      <c r="B1328" s="18" t="s">
        <v>1902</v>
      </c>
      <c r="C1328" s="5">
        <v>35</v>
      </c>
      <c r="D1328" s="5" t="s">
        <v>1485</v>
      </c>
    </row>
    <row r="1329" spans="1:4" x14ac:dyDescent="0.2">
      <c r="A1329" s="17" t="s">
        <v>1913</v>
      </c>
      <c r="B1329" s="18" t="s">
        <v>1902</v>
      </c>
      <c r="C1329" s="5">
        <v>35</v>
      </c>
      <c r="D1329" s="5" t="s">
        <v>1485</v>
      </c>
    </row>
    <row r="1330" spans="1:4" x14ac:dyDescent="0.2">
      <c r="A1330" s="17" t="s">
        <v>1914</v>
      </c>
      <c r="B1330" s="18" t="s">
        <v>1902</v>
      </c>
      <c r="C1330" s="5">
        <v>35</v>
      </c>
      <c r="D1330" s="5" t="s">
        <v>1485</v>
      </c>
    </row>
    <row r="1331" spans="1:4" x14ac:dyDescent="0.2">
      <c r="A1331" s="17" t="s">
        <v>1915</v>
      </c>
      <c r="B1331" s="18" t="s">
        <v>1902</v>
      </c>
      <c r="C1331" s="5">
        <v>35</v>
      </c>
      <c r="D1331" s="5" t="s">
        <v>1485</v>
      </c>
    </row>
    <row r="1332" spans="1:4" x14ac:dyDescent="0.2">
      <c r="A1332" s="17" t="s">
        <v>1916</v>
      </c>
      <c r="B1332" s="18" t="s">
        <v>1902</v>
      </c>
      <c r="C1332" s="5">
        <v>35</v>
      </c>
      <c r="D1332" s="5" t="s">
        <v>1485</v>
      </c>
    </row>
    <row r="1333" spans="1:4" x14ac:dyDescent="0.2">
      <c r="A1333" s="17" t="s">
        <v>1917</v>
      </c>
      <c r="B1333" s="18" t="s">
        <v>1902</v>
      </c>
      <c r="C1333" s="5">
        <v>35</v>
      </c>
      <c r="D1333" s="5" t="s">
        <v>1485</v>
      </c>
    </row>
    <row r="1334" spans="1:4" x14ac:dyDescent="0.2">
      <c r="A1334" s="17" t="s">
        <v>1918</v>
      </c>
      <c r="B1334" s="18" t="s">
        <v>1902</v>
      </c>
      <c r="C1334" s="5">
        <v>35</v>
      </c>
      <c r="D1334" s="5" t="s">
        <v>1485</v>
      </c>
    </row>
    <row r="1335" spans="1:4" x14ac:dyDescent="0.2">
      <c r="A1335" s="17" t="s">
        <v>1919</v>
      </c>
      <c r="B1335" s="18" t="s">
        <v>1902</v>
      </c>
      <c r="C1335" s="5">
        <v>35</v>
      </c>
      <c r="D1335" s="5" t="s">
        <v>1485</v>
      </c>
    </row>
    <row r="1336" spans="1:4" x14ac:dyDescent="0.2">
      <c r="A1336" s="17" t="s">
        <v>1920</v>
      </c>
      <c r="B1336" s="18" t="s">
        <v>1902</v>
      </c>
      <c r="C1336" s="5">
        <v>35</v>
      </c>
      <c r="D1336" s="5" t="s">
        <v>1485</v>
      </c>
    </row>
    <row r="1337" spans="1:4" x14ac:dyDescent="0.2">
      <c r="A1337" s="17" t="s">
        <v>1921</v>
      </c>
      <c r="B1337" s="18" t="s">
        <v>1902</v>
      </c>
      <c r="C1337" s="5">
        <v>35</v>
      </c>
      <c r="D1337" s="5" t="s">
        <v>1485</v>
      </c>
    </row>
    <row r="1338" spans="1:4" x14ac:dyDescent="0.2">
      <c r="A1338" s="17" t="s">
        <v>1922</v>
      </c>
      <c r="B1338" s="18" t="s">
        <v>1902</v>
      </c>
      <c r="C1338" s="5">
        <v>35</v>
      </c>
      <c r="D1338" s="5" t="s">
        <v>1485</v>
      </c>
    </row>
    <row r="1339" spans="1:4" x14ac:dyDescent="0.2">
      <c r="A1339" s="17" t="s">
        <v>1923</v>
      </c>
      <c r="B1339" s="18" t="s">
        <v>1902</v>
      </c>
      <c r="C1339" s="5">
        <v>35</v>
      </c>
      <c r="D1339" s="5" t="s">
        <v>1485</v>
      </c>
    </row>
    <row r="1340" spans="1:4" x14ac:dyDescent="0.2">
      <c r="A1340" s="17" t="s">
        <v>1924</v>
      </c>
      <c r="B1340" s="18" t="s">
        <v>1902</v>
      </c>
      <c r="C1340" s="5">
        <v>35</v>
      </c>
      <c r="D1340" s="5" t="s">
        <v>1485</v>
      </c>
    </row>
    <row r="1341" spans="1:4" x14ac:dyDescent="0.2">
      <c r="A1341" s="17" t="s">
        <v>1925</v>
      </c>
      <c r="B1341" s="18" t="s">
        <v>1902</v>
      </c>
      <c r="C1341" s="5">
        <v>35</v>
      </c>
      <c r="D1341" s="5" t="s">
        <v>1485</v>
      </c>
    </row>
    <row r="1342" spans="1:4" x14ac:dyDescent="0.2">
      <c r="A1342" s="17" t="s">
        <v>1926</v>
      </c>
      <c r="B1342" s="18" t="s">
        <v>1902</v>
      </c>
      <c r="C1342" s="5">
        <v>35</v>
      </c>
      <c r="D1342" s="5" t="s">
        <v>1485</v>
      </c>
    </row>
    <row r="1343" spans="1:4" x14ac:dyDescent="0.2">
      <c r="A1343" s="17" t="s">
        <v>1927</v>
      </c>
      <c r="B1343" s="18" t="s">
        <v>1902</v>
      </c>
      <c r="C1343" s="5">
        <v>35</v>
      </c>
      <c r="D1343" s="5" t="s">
        <v>1485</v>
      </c>
    </row>
    <row r="1344" spans="1:4" x14ac:dyDescent="0.2">
      <c r="A1344" s="17" t="s">
        <v>1928</v>
      </c>
      <c r="B1344" s="18" t="s">
        <v>1902</v>
      </c>
      <c r="C1344" s="5">
        <v>35</v>
      </c>
      <c r="D1344" s="5" t="s">
        <v>1485</v>
      </c>
    </row>
    <row r="1345" spans="1:4" x14ac:dyDescent="0.2">
      <c r="A1345" s="17" t="s">
        <v>424</v>
      </c>
      <c r="B1345" s="18" t="s">
        <v>1902</v>
      </c>
      <c r="C1345" s="5">
        <v>35</v>
      </c>
      <c r="D1345" s="5" t="s">
        <v>1485</v>
      </c>
    </row>
    <row r="1346" spans="1:4" x14ac:dyDescent="0.2">
      <c r="A1346" s="17" t="s">
        <v>1929</v>
      </c>
      <c r="B1346" s="18" t="s">
        <v>1902</v>
      </c>
      <c r="C1346" s="5">
        <v>35</v>
      </c>
      <c r="D1346" s="5" t="s">
        <v>1485</v>
      </c>
    </row>
    <row r="1347" spans="1:4" x14ac:dyDescent="0.2">
      <c r="A1347" s="17" t="s">
        <v>1930</v>
      </c>
      <c r="B1347" s="18" t="s">
        <v>1902</v>
      </c>
      <c r="C1347" s="5">
        <v>35</v>
      </c>
      <c r="D1347" s="5" t="s">
        <v>1485</v>
      </c>
    </row>
    <row r="1348" spans="1:4" x14ac:dyDescent="0.2">
      <c r="A1348" s="17" t="s">
        <v>1931</v>
      </c>
      <c r="B1348" s="18" t="s">
        <v>1902</v>
      </c>
      <c r="C1348" s="5">
        <v>35</v>
      </c>
      <c r="D1348" s="5" t="s">
        <v>1485</v>
      </c>
    </row>
    <row r="1349" spans="1:4" x14ac:dyDescent="0.2">
      <c r="A1349" s="17" t="s">
        <v>1932</v>
      </c>
      <c r="B1349" s="18" t="s">
        <v>1902</v>
      </c>
      <c r="C1349" s="5">
        <v>35</v>
      </c>
      <c r="D1349" s="5" t="s">
        <v>1485</v>
      </c>
    </row>
    <row r="1350" spans="1:4" x14ac:dyDescent="0.2">
      <c r="A1350" s="17" t="s">
        <v>1933</v>
      </c>
      <c r="B1350" s="18" t="s">
        <v>1902</v>
      </c>
      <c r="C1350" s="5">
        <v>35</v>
      </c>
      <c r="D1350" s="5" t="s">
        <v>1485</v>
      </c>
    </row>
    <row r="1351" spans="1:4" x14ac:dyDescent="0.2">
      <c r="A1351" s="17" t="s">
        <v>1934</v>
      </c>
      <c r="B1351" s="18" t="s">
        <v>1902</v>
      </c>
      <c r="C1351" s="5">
        <v>35</v>
      </c>
      <c r="D1351" s="5" t="s">
        <v>1485</v>
      </c>
    </row>
    <row r="1352" spans="1:4" x14ac:dyDescent="0.2">
      <c r="A1352" s="17" t="s">
        <v>1935</v>
      </c>
      <c r="B1352" s="18" t="s">
        <v>1902</v>
      </c>
      <c r="C1352" s="5">
        <v>35</v>
      </c>
      <c r="D1352" s="5" t="s">
        <v>1485</v>
      </c>
    </row>
    <row r="1353" spans="1:4" x14ac:dyDescent="0.2">
      <c r="A1353" s="17" t="s">
        <v>1936</v>
      </c>
      <c r="B1353" s="18" t="s">
        <v>1902</v>
      </c>
      <c r="C1353" s="5">
        <v>35</v>
      </c>
      <c r="D1353" s="5" t="s">
        <v>1485</v>
      </c>
    </row>
    <row r="1354" spans="1:4" x14ac:dyDescent="0.2">
      <c r="A1354" s="17" t="s">
        <v>1937</v>
      </c>
      <c r="B1354" s="18" t="s">
        <v>1902</v>
      </c>
      <c r="C1354" s="5">
        <v>35</v>
      </c>
      <c r="D1354" s="5" t="s">
        <v>1485</v>
      </c>
    </row>
    <row r="1355" spans="1:4" x14ac:dyDescent="0.2">
      <c r="A1355" s="17" t="s">
        <v>1938</v>
      </c>
      <c r="B1355" s="18" t="s">
        <v>1902</v>
      </c>
      <c r="C1355" s="5">
        <v>35</v>
      </c>
      <c r="D1355" s="5" t="s">
        <v>1485</v>
      </c>
    </row>
    <row r="1356" spans="1:4" x14ac:dyDescent="0.2">
      <c r="A1356" s="17" t="s">
        <v>1939</v>
      </c>
      <c r="B1356" s="18" t="s">
        <v>1902</v>
      </c>
      <c r="C1356" s="5">
        <v>35</v>
      </c>
      <c r="D1356" s="5" t="s">
        <v>1485</v>
      </c>
    </row>
    <row r="1357" spans="1:4" x14ac:dyDescent="0.2">
      <c r="A1357" s="17" t="s">
        <v>1940</v>
      </c>
      <c r="B1357" s="18" t="s">
        <v>1902</v>
      </c>
      <c r="C1357" s="5">
        <v>35</v>
      </c>
      <c r="D1357" s="5" t="s">
        <v>1485</v>
      </c>
    </row>
    <row r="1358" spans="1:4" x14ac:dyDescent="0.2">
      <c r="A1358" s="17" t="s">
        <v>1941</v>
      </c>
      <c r="B1358" s="18" t="s">
        <v>1902</v>
      </c>
      <c r="C1358" s="5">
        <v>35</v>
      </c>
      <c r="D1358" s="5" t="s">
        <v>1485</v>
      </c>
    </row>
    <row r="1359" spans="1:4" x14ac:dyDescent="0.2">
      <c r="A1359" s="17" t="s">
        <v>1942</v>
      </c>
      <c r="B1359" s="18" t="s">
        <v>1902</v>
      </c>
      <c r="C1359" s="5">
        <v>35</v>
      </c>
      <c r="D1359" s="5" t="s">
        <v>1485</v>
      </c>
    </row>
    <row r="1360" spans="1:4" x14ac:dyDescent="0.2">
      <c r="A1360" s="17" t="s">
        <v>1943</v>
      </c>
      <c r="B1360" s="18" t="s">
        <v>1902</v>
      </c>
      <c r="C1360" s="5">
        <v>35</v>
      </c>
      <c r="D1360" s="5" t="s">
        <v>1485</v>
      </c>
    </row>
    <row r="1361" spans="1:4" x14ac:dyDescent="0.2">
      <c r="A1361" s="17" t="s">
        <v>1944</v>
      </c>
      <c r="B1361" s="18" t="s">
        <v>1902</v>
      </c>
      <c r="C1361" s="5">
        <v>35</v>
      </c>
      <c r="D1361" s="5" t="s">
        <v>1485</v>
      </c>
    </row>
    <row r="1362" spans="1:4" x14ac:dyDescent="0.2">
      <c r="A1362" s="17" t="s">
        <v>1945</v>
      </c>
      <c r="B1362" s="18" t="s">
        <v>1902</v>
      </c>
      <c r="C1362" s="5">
        <v>35</v>
      </c>
      <c r="D1362" s="5" t="s">
        <v>1485</v>
      </c>
    </row>
    <row r="1363" spans="1:4" x14ac:dyDescent="0.2">
      <c r="A1363" s="17" t="s">
        <v>1946</v>
      </c>
      <c r="B1363" s="18" t="s">
        <v>1902</v>
      </c>
      <c r="C1363" s="5">
        <v>35</v>
      </c>
      <c r="D1363" s="5" t="s">
        <v>1485</v>
      </c>
    </row>
    <row r="1364" spans="1:4" x14ac:dyDescent="0.2">
      <c r="A1364" s="17" t="s">
        <v>1947</v>
      </c>
      <c r="B1364" s="18" t="s">
        <v>1902</v>
      </c>
      <c r="C1364" s="5">
        <v>35</v>
      </c>
      <c r="D1364" s="5" t="s">
        <v>1485</v>
      </c>
    </row>
    <row r="1365" spans="1:4" x14ac:dyDescent="0.2">
      <c r="A1365" s="17" t="s">
        <v>1948</v>
      </c>
      <c r="B1365" s="18" t="s">
        <v>1902</v>
      </c>
      <c r="C1365" s="5">
        <v>35</v>
      </c>
      <c r="D1365" s="5" t="s">
        <v>1485</v>
      </c>
    </row>
    <row r="1366" spans="1:4" x14ac:dyDescent="0.2">
      <c r="A1366" s="17" t="s">
        <v>1949</v>
      </c>
      <c r="B1366" s="18" t="s">
        <v>1902</v>
      </c>
      <c r="C1366" s="5">
        <v>35</v>
      </c>
      <c r="D1366" s="5" t="s">
        <v>1485</v>
      </c>
    </row>
    <row r="1367" spans="1:4" x14ac:dyDescent="0.2">
      <c r="A1367" s="17" t="s">
        <v>1950</v>
      </c>
      <c r="B1367" s="18" t="s">
        <v>1902</v>
      </c>
      <c r="C1367" s="5">
        <v>35</v>
      </c>
      <c r="D1367" s="5" t="s">
        <v>1485</v>
      </c>
    </row>
    <row r="1368" spans="1:4" x14ac:dyDescent="0.2">
      <c r="A1368" s="17" t="s">
        <v>1951</v>
      </c>
      <c r="B1368" s="18" t="s">
        <v>1902</v>
      </c>
      <c r="C1368" s="5">
        <v>35</v>
      </c>
      <c r="D1368" s="5" t="s">
        <v>1485</v>
      </c>
    </row>
    <row r="1369" spans="1:4" x14ac:dyDescent="0.2">
      <c r="A1369" s="17" t="s">
        <v>1952</v>
      </c>
      <c r="B1369" s="18" t="s">
        <v>1902</v>
      </c>
      <c r="C1369" s="5">
        <v>35</v>
      </c>
      <c r="D1369" s="5" t="s">
        <v>1485</v>
      </c>
    </row>
    <row r="1370" spans="1:4" x14ac:dyDescent="0.2">
      <c r="A1370" s="17" t="s">
        <v>1953</v>
      </c>
      <c r="B1370" s="18" t="s">
        <v>1902</v>
      </c>
      <c r="C1370" s="5">
        <v>35</v>
      </c>
      <c r="D1370" s="5" t="s">
        <v>1485</v>
      </c>
    </row>
    <row r="1371" spans="1:4" x14ac:dyDescent="0.2">
      <c r="A1371" s="17" t="s">
        <v>1954</v>
      </c>
      <c r="B1371" s="18" t="s">
        <v>1902</v>
      </c>
      <c r="C1371" s="5">
        <v>35</v>
      </c>
      <c r="D1371" s="5" t="s">
        <v>1485</v>
      </c>
    </row>
    <row r="1372" spans="1:4" x14ac:dyDescent="0.2">
      <c r="A1372" s="19" t="s">
        <v>1955</v>
      </c>
      <c r="B1372" s="18" t="s">
        <v>1902</v>
      </c>
      <c r="C1372" s="5">
        <v>35</v>
      </c>
      <c r="D1372" s="5" t="s">
        <v>1485</v>
      </c>
    </row>
    <row r="1373" spans="1:4" x14ac:dyDescent="0.2">
      <c r="A1373" s="17" t="s">
        <v>1956</v>
      </c>
      <c r="B1373" s="18" t="s">
        <v>1902</v>
      </c>
      <c r="C1373" s="5">
        <v>35</v>
      </c>
      <c r="D1373" s="5" t="s">
        <v>1485</v>
      </c>
    </row>
    <row r="1374" spans="1:4" x14ac:dyDescent="0.2">
      <c r="A1374" s="17" t="s">
        <v>1957</v>
      </c>
      <c r="B1374" s="18" t="s">
        <v>1902</v>
      </c>
      <c r="C1374" s="5">
        <v>35</v>
      </c>
      <c r="D1374" s="5" t="s">
        <v>1485</v>
      </c>
    </row>
    <row r="1375" spans="1:4" x14ac:dyDescent="0.2">
      <c r="A1375" s="17" t="s">
        <v>1958</v>
      </c>
      <c r="B1375" s="18" t="s">
        <v>1902</v>
      </c>
      <c r="C1375" s="5">
        <v>35</v>
      </c>
      <c r="D1375" s="5" t="s">
        <v>1485</v>
      </c>
    </row>
    <row r="1376" spans="1:4" x14ac:dyDescent="0.2">
      <c r="A1376" s="17" t="s">
        <v>1959</v>
      </c>
      <c r="B1376" s="18" t="s">
        <v>1902</v>
      </c>
      <c r="C1376" s="5">
        <v>35</v>
      </c>
      <c r="D1376" s="5" t="s">
        <v>1485</v>
      </c>
    </row>
    <row r="1377" spans="1:4" x14ac:dyDescent="0.2">
      <c r="A1377" s="17" t="s">
        <v>1960</v>
      </c>
      <c r="B1377" s="18" t="s">
        <v>1902</v>
      </c>
      <c r="C1377" s="5">
        <v>35</v>
      </c>
      <c r="D1377" s="5" t="s">
        <v>1485</v>
      </c>
    </row>
    <row r="1378" spans="1:4" x14ac:dyDescent="0.2">
      <c r="A1378" s="17" t="s">
        <v>1961</v>
      </c>
      <c r="B1378" s="18" t="s">
        <v>1902</v>
      </c>
      <c r="C1378" s="5">
        <v>35</v>
      </c>
      <c r="D1378" s="5" t="s">
        <v>1485</v>
      </c>
    </row>
    <row r="1379" spans="1:4" x14ac:dyDescent="0.2">
      <c r="A1379" s="17" t="s">
        <v>1962</v>
      </c>
      <c r="B1379" s="18" t="s">
        <v>1902</v>
      </c>
      <c r="C1379" s="5">
        <v>35</v>
      </c>
      <c r="D1379" s="5" t="s">
        <v>1485</v>
      </c>
    </row>
    <row r="1380" spans="1:4" x14ac:dyDescent="0.2">
      <c r="A1380" s="17" t="s">
        <v>1963</v>
      </c>
      <c r="B1380" s="18" t="s">
        <v>1902</v>
      </c>
      <c r="C1380" s="5">
        <v>35</v>
      </c>
      <c r="D1380" s="5" t="s">
        <v>1485</v>
      </c>
    </row>
    <row r="1381" spans="1:4" x14ac:dyDescent="0.2">
      <c r="A1381" s="17" t="s">
        <v>1964</v>
      </c>
      <c r="B1381" s="18" t="s">
        <v>1902</v>
      </c>
      <c r="C1381" s="5">
        <v>35</v>
      </c>
      <c r="D1381" s="5" t="s">
        <v>1485</v>
      </c>
    </row>
    <row r="1382" spans="1:4" x14ac:dyDescent="0.2">
      <c r="A1382" s="17" t="s">
        <v>1965</v>
      </c>
      <c r="B1382" s="18" t="s">
        <v>1902</v>
      </c>
      <c r="C1382" s="5">
        <v>35</v>
      </c>
      <c r="D1382" s="5" t="s">
        <v>1485</v>
      </c>
    </row>
    <row r="1383" spans="1:4" x14ac:dyDescent="0.2">
      <c r="A1383" s="17" t="s">
        <v>1966</v>
      </c>
      <c r="B1383" s="18" t="s">
        <v>1902</v>
      </c>
      <c r="C1383" s="5">
        <v>35</v>
      </c>
      <c r="D1383" s="5" t="s">
        <v>1485</v>
      </c>
    </row>
    <row r="1384" spans="1:4" x14ac:dyDescent="0.2">
      <c r="A1384" s="17" t="s">
        <v>1967</v>
      </c>
      <c r="B1384" s="18" t="s">
        <v>1902</v>
      </c>
      <c r="C1384" s="5">
        <v>35</v>
      </c>
      <c r="D1384" s="5" t="s">
        <v>1485</v>
      </c>
    </row>
    <row r="1385" spans="1:4" x14ac:dyDescent="0.2">
      <c r="A1385" s="17" t="s">
        <v>1968</v>
      </c>
      <c r="B1385" s="18" t="s">
        <v>1902</v>
      </c>
      <c r="C1385" s="5">
        <v>35</v>
      </c>
      <c r="D1385" s="5" t="s">
        <v>1485</v>
      </c>
    </row>
    <row r="1386" spans="1:4" x14ac:dyDescent="0.2">
      <c r="A1386" s="17" t="s">
        <v>1969</v>
      </c>
      <c r="B1386" s="18" t="s">
        <v>1902</v>
      </c>
      <c r="C1386" s="5">
        <v>35</v>
      </c>
      <c r="D1386" s="5" t="s">
        <v>1485</v>
      </c>
    </row>
    <row r="1387" spans="1:4" x14ac:dyDescent="0.2">
      <c r="A1387" s="17" t="s">
        <v>1970</v>
      </c>
      <c r="B1387" s="18" t="s">
        <v>1902</v>
      </c>
      <c r="C1387" s="5">
        <v>35</v>
      </c>
      <c r="D1387" s="5" t="s">
        <v>1485</v>
      </c>
    </row>
    <row r="1388" spans="1:4" x14ac:dyDescent="0.2">
      <c r="A1388" s="17" t="s">
        <v>1971</v>
      </c>
      <c r="B1388" s="18" t="s">
        <v>1902</v>
      </c>
      <c r="C1388" s="5">
        <v>35</v>
      </c>
      <c r="D1388" s="5" t="s">
        <v>1485</v>
      </c>
    </row>
    <row r="1389" spans="1:4" x14ac:dyDescent="0.2">
      <c r="A1389" s="17" t="s">
        <v>1972</v>
      </c>
      <c r="B1389" s="18" t="s">
        <v>1902</v>
      </c>
      <c r="C1389" s="5">
        <v>35</v>
      </c>
      <c r="D1389" s="5" t="s">
        <v>1485</v>
      </c>
    </row>
    <row r="1390" spans="1:4" x14ac:dyDescent="0.2">
      <c r="A1390" s="17" t="s">
        <v>1973</v>
      </c>
      <c r="B1390" s="18" t="s">
        <v>1902</v>
      </c>
      <c r="C1390" s="5">
        <v>35</v>
      </c>
      <c r="D1390" s="5" t="s">
        <v>1485</v>
      </c>
    </row>
    <row r="1391" spans="1:4" x14ac:dyDescent="0.2">
      <c r="A1391" s="17" t="s">
        <v>1974</v>
      </c>
      <c r="B1391" s="18" t="s">
        <v>1902</v>
      </c>
      <c r="C1391" s="5">
        <v>35</v>
      </c>
      <c r="D1391" s="5" t="s">
        <v>1485</v>
      </c>
    </row>
    <row r="1392" spans="1:4" x14ac:dyDescent="0.2">
      <c r="A1392" s="17" t="s">
        <v>1975</v>
      </c>
      <c r="B1392" s="18" t="s">
        <v>1902</v>
      </c>
      <c r="C1392" s="5">
        <v>35</v>
      </c>
      <c r="D1392" s="5" t="s">
        <v>1485</v>
      </c>
    </row>
    <row r="1393" spans="1:4" x14ac:dyDescent="0.2">
      <c r="A1393" s="17" t="s">
        <v>1976</v>
      </c>
      <c r="B1393" s="18" t="s">
        <v>1902</v>
      </c>
      <c r="C1393" s="5">
        <v>35</v>
      </c>
      <c r="D1393" s="5" t="s">
        <v>1485</v>
      </c>
    </row>
    <row r="1394" spans="1:4" x14ac:dyDescent="0.2">
      <c r="A1394" s="17" t="s">
        <v>1977</v>
      </c>
      <c r="B1394" s="18" t="s">
        <v>1902</v>
      </c>
      <c r="C1394" s="5">
        <v>35</v>
      </c>
      <c r="D1394" s="5" t="s">
        <v>1485</v>
      </c>
    </row>
    <row r="1395" spans="1:4" x14ac:dyDescent="0.2">
      <c r="A1395" s="17" t="s">
        <v>1978</v>
      </c>
      <c r="B1395" s="18" t="s">
        <v>1902</v>
      </c>
      <c r="C1395" s="5">
        <v>35</v>
      </c>
      <c r="D1395" s="5" t="s">
        <v>1485</v>
      </c>
    </row>
    <row r="1396" spans="1:4" x14ac:dyDescent="0.2">
      <c r="A1396" s="17" t="s">
        <v>1979</v>
      </c>
      <c r="B1396" s="18" t="s">
        <v>1902</v>
      </c>
      <c r="C1396" s="5">
        <v>35</v>
      </c>
      <c r="D1396" s="5" t="s">
        <v>1485</v>
      </c>
    </row>
    <row r="1397" spans="1:4" x14ac:dyDescent="0.2">
      <c r="A1397" s="17" t="s">
        <v>1980</v>
      </c>
      <c r="B1397" s="18" t="s">
        <v>1902</v>
      </c>
      <c r="C1397" s="5">
        <v>35</v>
      </c>
      <c r="D1397" s="5" t="s">
        <v>1485</v>
      </c>
    </row>
    <row r="1398" spans="1:4" x14ac:dyDescent="0.2">
      <c r="A1398" s="17" t="s">
        <v>1981</v>
      </c>
      <c r="B1398" s="18" t="s">
        <v>1902</v>
      </c>
      <c r="C1398" s="5">
        <v>35</v>
      </c>
      <c r="D1398" s="5" t="s">
        <v>1485</v>
      </c>
    </row>
    <row r="1399" spans="1:4" x14ac:dyDescent="0.2">
      <c r="A1399" s="17" t="s">
        <v>1982</v>
      </c>
      <c r="B1399" s="18" t="s">
        <v>1902</v>
      </c>
      <c r="C1399" s="5">
        <v>35</v>
      </c>
      <c r="D1399" s="5" t="s">
        <v>1485</v>
      </c>
    </row>
    <row r="1400" spans="1:4" x14ac:dyDescent="0.2">
      <c r="A1400" s="17" t="s">
        <v>1983</v>
      </c>
      <c r="B1400" s="18" t="s">
        <v>1902</v>
      </c>
      <c r="C1400" s="5">
        <v>35</v>
      </c>
      <c r="D1400" s="5" t="s">
        <v>1485</v>
      </c>
    </row>
    <row r="1401" spans="1:4" x14ac:dyDescent="0.2">
      <c r="A1401" s="17" t="s">
        <v>1984</v>
      </c>
      <c r="B1401" s="18" t="s">
        <v>1902</v>
      </c>
      <c r="C1401" s="5">
        <v>35</v>
      </c>
      <c r="D1401" s="5" t="s">
        <v>1485</v>
      </c>
    </row>
    <row r="1402" spans="1:4" x14ac:dyDescent="0.2">
      <c r="A1402" s="17" t="s">
        <v>1985</v>
      </c>
      <c r="B1402" s="18" t="s">
        <v>1902</v>
      </c>
      <c r="C1402" s="5">
        <v>35</v>
      </c>
      <c r="D1402" s="5" t="s">
        <v>1485</v>
      </c>
    </row>
    <row r="1403" spans="1:4" x14ac:dyDescent="0.2">
      <c r="A1403" s="17" t="s">
        <v>1986</v>
      </c>
      <c r="B1403" s="18" t="s">
        <v>1902</v>
      </c>
      <c r="C1403" s="5">
        <v>35</v>
      </c>
      <c r="D1403" s="5" t="s">
        <v>1485</v>
      </c>
    </row>
    <row r="1404" spans="1:4" x14ac:dyDescent="0.2">
      <c r="A1404" s="17" t="s">
        <v>1987</v>
      </c>
      <c r="B1404" s="18" t="s">
        <v>1902</v>
      </c>
      <c r="C1404" s="5">
        <v>35</v>
      </c>
      <c r="D1404" s="5" t="s">
        <v>1485</v>
      </c>
    </row>
    <row r="1405" spans="1:4" x14ac:dyDescent="0.2">
      <c r="A1405" s="17" t="s">
        <v>1988</v>
      </c>
      <c r="B1405" s="18" t="s">
        <v>1902</v>
      </c>
      <c r="C1405" s="5">
        <v>35</v>
      </c>
      <c r="D1405" s="5" t="s">
        <v>1485</v>
      </c>
    </row>
    <row r="1406" spans="1:4" x14ac:dyDescent="0.2">
      <c r="A1406" s="17" t="s">
        <v>1989</v>
      </c>
      <c r="B1406" s="18" t="s">
        <v>1902</v>
      </c>
      <c r="C1406" s="5">
        <v>35</v>
      </c>
      <c r="D1406" s="5" t="s">
        <v>1485</v>
      </c>
    </row>
    <row r="1407" spans="1:4" x14ac:dyDescent="0.2">
      <c r="A1407" s="17" t="s">
        <v>1990</v>
      </c>
      <c r="B1407" s="18" t="s">
        <v>1902</v>
      </c>
      <c r="C1407" s="5">
        <v>35</v>
      </c>
      <c r="D1407" s="5" t="s">
        <v>1485</v>
      </c>
    </row>
    <row r="1408" spans="1:4" x14ac:dyDescent="0.2">
      <c r="A1408" s="17" t="s">
        <v>1991</v>
      </c>
      <c r="B1408" s="18" t="s">
        <v>1902</v>
      </c>
      <c r="C1408" s="5">
        <v>35</v>
      </c>
      <c r="D1408" s="5" t="s">
        <v>1485</v>
      </c>
    </row>
    <row r="1409" spans="1:4" x14ac:dyDescent="0.2">
      <c r="A1409" s="17" t="s">
        <v>1992</v>
      </c>
      <c r="B1409" s="18" t="s">
        <v>1902</v>
      </c>
      <c r="C1409" s="5">
        <v>35</v>
      </c>
      <c r="D1409" s="5" t="s">
        <v>1485</v>
      </c>
    </row>
    <row r="1410" spans="1:4" x14ac:dyDescent="0.2">
      <c r="A1410" s="17" t="s">
        <v>1993</v>
      </c>
      <c r="B1410" s="18" t="s">
        <v>1902</v>
      </c>
      <c r="C1410" s="5">
        <v>35</v>
      </c>
      <c r="D1410" s="5" t="s">
        <v>1485</v>
      </c>
    </row>
    <row r="1411" spans="1:4" x14ac:dyDescent="0.2">
      <c r="A1411" s="17" t="s">
        <v>1994</v>
      </c>
      <c r="B1411" s="18" t="s">
        <v>1902</v>
      </c>
      <c r="C1411" s="5">
        <v>35</v>
      </c>
      <c r="D1411" s="5" t="s">
        <v>1485</v>
      </c>
    </row>
    <row r="1412" spans="1:4" x14ac:dyDescent="0.2">
      <c r="A1412" s="17" t="s">
        <v>1995</v>
      </c>
      <c r="B1412" s="18" t="s">
        <v>1902</v>
      </c>
      <c r="C1412" s="5">
        <v>35</v>
      </c>
      <c r="D1412" s="5" t="s">
        <v>1485</v>
      </c>
    </row>
    <row r="1413" spans="1:4" x14ac:dyDescent="0.2">
      <c r="A1413" s="17" t="s">
        <v>1996</v>
      </c>
      <c r="B1413" s="18" t="s">
        <v>1902</v>
      </c>
      <c r="C1413" s="5">
        <v>35</v>
      </c>
      <c r="D1413" s="5" t="s">
        <v>1485</v>
      </c>
    </row>
    <row r="1414" spans="1:4" x14ac:dyDescent="0.2">
      <c r="A1414" s="17" t="s">
        <v>1997</v>
      </c>
      <c r="B1414" s="18" t="s">
        <v>1902</v>
      </c>
      <c r="C1414" s="5">
        <v>35</v>
      </c>
      <c r="D1414" s="5" t="s">
        <v>1485</v>
      </c>
    </row>
    <row r="1415" spans="1:4" x14ac:dyDescent="0.2">
      <c r="A1415" s="17" t="s">
        <v>1998</v>
      </c>
      <c r="B1415" s="18" t="s">
        <v>1902</v>
      </c>
      <c r="C1415" s="5">
        <v>35</v>
      </c>
      <c r="D1415" s="5" t="s">
        <v>1485</v>
      </c>
    </row>
    <row r="1416" spans="1:4" x14ac:dyDescent="0.2">
      <c r="A1416" s="17" t="s">
        <v>1999</v>
      </c>
      <c r="B1416" s="18" t="s">
        <v>1902</v>
      </c>
      <c r="C1416" s="5">
        <v>35</v>
      </c>
      <c r="D1416" s="5" t="s">
        <v>1485</v>
      </c>
    </row>
    <row r="1417" spans="1:4" x14ac:dyDescent="0.2">
      <c r="A1417" s="17" t="s">
        <v>2000</v>
      </c>
      <c r="B1417" s="18" t="s">
        <v>1902</v>
      </c>
      <c r="C1417" s="5">
        <v>35</v>
      </c>
      <c r="D1417" s="5" t="s">
        <v>1485</v>
      </c>
    </row>
    <row r="1418" spans="1:4" x14ac:dyDescent="0.2">
      <c r="A1418" s="17" t="s">
        <v>2001</v>
      </c>
      <c r="B1418" s="18" t="s">
        <v>1902</v>
      </c>
      <c r="C1418" s="5">
        <v>35</v>
      </c>
      <c r="D1418" s="5" t="s">
        <v>1485</v>
      </c>
    </row>
    <row r="1419" spans="1:4" x14ac:dyDescent="0.2">
      <c r="A1419" s="17" t="s">
        <v>2002</v>
      </c>
      <c r="B1419" s="18" t="s">
        <v>1902</v>
      </c>
      <c r="C1419" s="5">
        <v>35</v>
      </c>
      <c r="D1419" s="5" t="s">
        <v>1485</v>
      </c>
    </row>
    <row r="1420" spans="1:4" x14ac:dyDescent="0.2">
      <c r="A1420" s="17" t="s">
        <v>2003</v>
      </c>
      <c r="B1420" s="18" t="s">
        <v>1902</v>
      </c>
      <c r="C1420" s="5">
        <v>35</v>
      </c>
      <c r="D1420" s="5" t="s">
        <v>1485</v>
      </c>
    </row>
    <row r="1421" spans="1:4" x14ac:dyDescent="0.2">
      <c r="A1421" s="17" t="s">
        <v>2004</v>
      </c>
      <c r="B1421" s="18" t="s">
        <v>1902</v>
      </c>
      <c r="C1421" s="5">
        <v>35</v>
      </c>
      <c r="D1421" s="5" t="s">
        <v>1485</v>
      </c>
    </row>
    <row r="1422" spans="1:4" x14ac:dyDescent="0.2">
      <c r="A1422" s="17" t="s">
        <v>2005</v>
      </c>
      <c r="B1422" s="18" t="s">
        <v>1902</v>
      </c>
      <c r="C1422" s="5">
        <v>35</v>
      </c>
      <c r="D1422" s="5" t="s">
        <v>1485</v>
      </c>
    </row>
    <row r="1423" spans="1:4" x14ac:dyDescent="0.2">
      <c r="A1423" s="17" t="s">
        <v>2006</v>
      </c>
      <c r="B1423" s="18" t="s">
        <v>1902</v>
      </c>
      <c r="C1423" s="5">
        <v>35</v>
      </c>
      <c r="D1423" s="5" t="s">
        <v>1485</v>
      </c>
    </row>
    <row r="1424" spans="1:4" x14ac:dyDescent="0.2">
      <c r="A1424" s="17" t="s">
        <v>2007</v>
      </c>
      <c r="B1424" s="18" t="s">
        <v>1902</v>
      </c>
      <c r="C1424" s="5">
        <v>35</v>
      </c>
      <c r="D1424" s="5" t="s">
        <v>1485</v>
      </c>
    </row>
    <row r="1425" spans="1:4" x14ac:dyDescent="0.2">
      <c r="A1425" s="17" t="s">
        <v>2008</v>
      </c>
      <c r="B1425" s="18" t="s">
        <v>1902</v>
      </c>
      <c r="C1425" s="5">
        <v>35</v>
      </c>
      <c r="D1425" s="5" t="s">
        <v>1485</v>
      </c>
    </row>
    <row r="1426" spans="1:4" x14ac:dyDescent="0.2">
      <c r="A1426" s="17" t="s">
        <v>2009</v>
      </c>
      <c r="B1426" s="18" t="s">
        <v>1902</v>
      </c>
      <c r="C1426" s="5">
        <v>35</v>
      </c>
      <c r="D1426" s="5" t="s">
        <v>1485</v>
      </c>
    </row>
    <row r="1427" spans="1:4" x14ac:dyDescent="0.2">
      <c r="A1427" s="17" t="s">
        <v>2010</v>
      </c>
      <c r="B1427" s="18" t="s">
        <v>1902</v>
      </c>
      <c r="C1427" s="5">
        <v>35</v>
      </c>
      <c r="D1427" s="5" t="s">
        <v>1485</v>
      </c>
    </row>
    <row r="1428" spans="1:4" x14ac:dyDescent="0.2">
      <c r="A1428" s="17" t="s">
        <v>2011</v>
      </c>
      <c r="B1428" s="18" t="s">
        <v>1902</v>
      </c>
      <c r="C1428" s="5">
        <v>35</v>
      </c>
      <c r="D1428" s="5" t="s">
        <v>1485</v>
      </c>
    </row>
    <row r="1429" spans="1:4" x14ac:dyDescent="0.2">
      <c r="A1429" s="17" t="s">
        <v>2012</v>
      </c>
      <c r="B1429" s="18" t="s">
        <v>1902</v>
      </c>
      <c r="C1429" s="5">
        <v>35</v>
      </c>
      <c r="D1429" s="5" t="s">
        <v>1485</v>
      </c>
    </row>
    <row r="1430" spans="1:4" x14ac:dyDescent="0.2">
      <c r="A1430" s="17" t="s">
        <v>2013</v>
      </c>
      <c r="B1430" s="18" t="s">
        <v>1902</v>
      </c>
      <c r="C1430" s="5">
        <v>35</v>
      </c>
      <c r="D1430" s="5" t="s">
        <v>1485</v>
      </c>
    </row>
    <row r="1431" spans="1:4" x14ac:dyDescent="0.2">
      <c r="A1431" s="17" t="s">
        <v>2014</v>
      </c>
      <c r="B1431" s="18" t="s">
        <v>1902</v>
      </c>
      <c r="C1431" s="5">
        <v>35</v>
      </c>
      <c r="D1431" s="5" t="s">
        <v>1485</v>
      </c>
    </row>
    <row r="1432" spans="1:4" x14ac:dyDescent="0.2">
      <c r="A1432" s="17" t="s">
        <v>2015</v>
      </c>
      <c r="B1432" s="18" t="s">
        <v>1902</v>
      </c>
      <c r="C1432" s="5">
        <v>35</v>
      </c>
      <c r="D1432" s="5" t="s">
        <v>1485</v>
      </c>
    </row>
    <row r="1433" spans="1:4" x14ac:dyDescent="0.2">
      <c r="A1433" s="17" t="s">
        <v>2016</v>
      </c>
      <c r="B1433" s="18" t="s">
        <v>1902</v>
      </c>
      <c r="C1433" s="5">
        <v>35</v>
      </c>
      <c r="D1433" s="5" t="s">
        <v>1485</v>
      </c>
    </row>
    <row r="1434" spans="1:4" x14ac:dyDescent="0.2">
      <c r="A1434" s="17" t="s">
        <v>2017</v>
      </c>
      <c r="B1434" s="18" t="s">
        <v>1902</v>
      </c>
      <c r="C1434" s="5">
        <v>35</v>
      </c>
      <c r="D1434" s="5" t="s">
        <v>1485</v>
      </c>
    </row>
    <row r="1435" spans="1:4" x14ac:dyDescent="0.2">
      <c r="A1435" s="17" t="s">
        <v>2018</v>
      </c>
      <c r="B1435" s="18" t="s">
        <v>1902</v>
      </c>
      <c r="C1435" s="5">
        <v>35</v>
      </c>
      <c r="D1435" s="5" t="s">
        <v>1485</v>
      </c>
    </row>
    <row r="1436" spans="1:4" x14ac:dyDescent="0.2">
      <c r="A1436" s="17" t="s">
        <v>2019</v>
      </c>
      <c r="B1436" s="18" t="s">
        <v>1902</v>
      </c>
      <c r="C1436" s="5">
        <v>35</v>
      </c>
      <c r="D1436" s="5" t="s">
        <v>1485</v>
      </c>
    </row>
    <row r="1437" spans="1:4" x14ac:dyDescent="0.2">
      <c r="A1437" s="17" t="s">
        <v>2020</v>
      </c>
      <c r="B1437" s="18" t="s">
        <v>1902</v>
      </c>
      <c r="C1437" s="5">
        <v>35</v>
      </c>
      <c r="D1437" s="5" t="s">
        <v>1485</v>
      </c>
    </row>
    <row r="1438" spans="1:4" x14ac:dyDescent="0.2">
      <c r="A1438" s="17" t="s">
        <v>2021</v>
      </c>
      <c r="B1438" s="18" t="s">
        <v>1902</v>
      </c>
      <c r="C1438" s="5">
        <v>35</v>
      </c>
      <c r="D1438" s="5" t="s">
        <v>1485</v>
      </c>
    </row>
    <row r="1439" spans="1:4" x14ac:dyDescent="0.2">
      <c r="A1439" s="17" t="s">
        <v>2022</v>
      </c>
      <c r="B1439" s="18" t="s">
        <v>1902</v>
      </c>
      <c r="C1439" s="5">
        <v>35</v>
      </c>
      <c r="D1439" s="5" t="s">
        <v>1485</v>
      </c>
    </row>
    <row r="1440" spans="1:4" x14ac:dyDescent="0.2">
      <c r="A1440" s="17" t="s">
        <v>2023</v>
      </c>
      <c r="B1440" s="18" t="s">
        <v>1902</v>
      </c>
      <c r="C1440" s="5">
        <v>35</v>
      </c>
      <c r="D1440" s="5" t="s">
        <v>1485</v>
      </c>
    </row>
    <row r="1441" spans="1:4" x14ac:dyDescent="0.2">
      <c r="A1441" s="17" t="s">
        <v>2024</v>
      </c>
      <c r="B1441" s="18" t="s">
        <v>1902</v>
      </c>
      <c r="C1441" s="5">
        <v>35</v>
      </c>
      <c r="D1441" s="5" t="s">
        <v>1485</v>
      </c>
    </row>
    <row r="1442" spans="1:4" x14ac:dyDescent="0.2">
      <c r="A1442" s="17" t="s">
        <v>160</v>
      </c>
      <c r="B1442" s="18" t="s">
        <v>1902</v>
      </c>
      <c r="C1442" s="5">
        <v>35</v>
      </c>
      <c r="D1442" s="5" t="s">
        <v>1485</v>
      </c>
    </row>
    <row r="1443" spans="1:4" x14ac:dyDescent="0.2">
      <c r="A1443" s="17" t="s">
        <v>2025</v>
      </c>
      <c r="B1443" s="18" t="s">
        <v>1902</v>
      </c>
      <c r="C1443" s="5">
        <v>35</v>
      </c>
      <c r="D1443" s="5" t="s">
        <v>1485</v>
      </c>
    </row>
    <row r="1444" spans="1:4" x14ac:dyDescent="0.2">
      <c r="A1444" s="17" t="s">
        <v>2026</v>
      </c>
      <c r="B1444" s="18" t="s">
        <v>1902</v>
      </c>
      <c r="C1444" s="5">
        <v>35</v>
      </c>
      <c r="D1444" s="5" t="s">
        <v>1485</v>
      </c>
    </row>
    <row r="1445" spans="1:4" x14ac:dyDescent="0.2">
      <c r="A1445" s="17" t="s">
        <v>2027</v>
      </c>
      <c r="B1445" s="18" t="s">
        <v>1902</v>
      </c>
      <c r="C1445" s="5">
        <v>35</v>
      </c>
      <c r="D1445" s="5" t="s">
        <v>1485</v>
      </c>
    </row>
    <row r="1446" spans="1:4" x14ac:dyDescent="0.2">
      <c r="A1446" s="17" t="s">
        <v>2028</v>
      </c>
      <c r="B1446" s="18" t="s">
        <v>1902</v>
      </c>
      <c r="C1446" s="5">
        <v>35</v>
      </c>
      <c r="D1446" s="5" t="s">
        <v>1485</v>
      </c>
    </row>
    <row r="1447" spans="1:4" x14ac:dyDescent="0.2">
      <c r="A1447" s="17" t="s">
        <v>2029</v>
      </c>
      <c r="B1447" s="18" t="s">
        <v>1902</v>
      </c>
      <c r="C1447" s="5">
        <v>35</v>
      </c>
      <c r="D1447" s="5" t="s">
        <v>1485</v>
      </c>
    </row>
    <row r="1448" spans="1:4" x14ac:dyDescent="0.2">
      <c r="A1448" s="17" t="s">
        <v>2030</v>
      </c>
      <c r="B1448" s="18" t="s">
        <v>1902</v>
      </c>
      <c r="C1448" s="5">
        <v>35</v>
      </c>
      <c r="D1448" s="5" t="s">
        <v>1485</v>
      </c>
    </row>
    <row r="1449" spans="1:4" x14ac:dyDescent="0.2">
      <c r="A1449" s="17" t="s">
        <v>2031</v>
      </c>
      <c r="B1449" s="18" t="s">
        <v>1902</v>
      </c>
      <c r="C1449" s="5">
        <v>35</v>
      </c>
      <c r="D1449" s="5" t="s">
        <v>1485</v>
      </c>
    </row>
    <row r="1450" spans="1:4" x14ac:dyDescent="0.2">
      <c r="A1450" s="17" t="s">
        <v>2032</v>
      </c>
      <c r="B1450" s="18" t="s">
        <v>1902</v>
      </c>
      <c r="C1450" s="5">
        <v>35</v>
      </c>
      <c r="D1450" s="5" t="s">
        <v>1485</v>
      </c>
    </row>
    <row r="1451" spans="1:4" x14ac:dyDescent="0.2">
      <c r="A1451" s="17" t="s">
        <v>2033</v>
      </c>
      <c r="B1451" s="18" t="s">
        <v>1902</v>
      </c>
      <c r="C1451" s="5">
        <v>35</v>
      </c>
      <c r="D1451" s="5" t="s">
        <v>1485</v>
      </c>
    </row>
    <row r="1452" spans="1:4" x14ac:dyDescent="0.2">
      <c r="A1452" s="17" t="s">
        <v>2034</v>
      </c>
      <c r="B1452" s="18" t="s">
        <v>1902</v>
      </c>
      <c r="C1452" s="5">
        <v>35</v>
      </c>
      <c r="D1452" s="5" t="s">
        <v>1485</v>
      </c>
    </row>
    <row r="1453" spans="1:4" x14ac:dyDescent="0.2">
      <c r="A1453" s="17" t="s">
        <v>2035</v>
      </c>
      <c r="B1453" s="18" t="s">
        <v>1902</v>
      </c>
      <c r="C1453" s="5">
        <v>35</v>
      </c>
      <c r="D1453" s="5" t="s">
        <v>1485</v>
      </c>
    </row>
    <row r="1454" spans="1:4" x14ac:dyDescent="0.2">
      <c r="A1454" s="17" t="s">
        <v>2036</v>
      </c>
      <c r="B1454" s="18" t="s">
        <v>1902</v>
      </c>
      <c r="C1454" s="5">
        <v>35</v>
      </c>
      <c r="D1454" s="5" t="s">
        <v>1485</v>
      </c>
    </row>
    <row r="1455" spans="1:4" x14ac:dyDescent="0.2">
      <c r="A1455" s="17" t="s">
        <v>2037</v>
      </c>
      <c r="B1455" s="18" t="s">
        <v>1902</v>
      </c>
      <c r="C1455" s="5">
        <v>35</v>
      </c>
      <c r="D1455" s="5" t="s">
        <v>1485</v>
      </c>
    </row>
    <row r="1456" spans="1:4" x14ac:dyDescent="0.2">
      <c r="A1456" s="17" t="s">
        <v>2038</v>
      </c>
      <c r="B1456" s="18" t="s">
        <v>1902</v>
      </c>
      <c r="C1456" s="5">
        <v>35</v>
      </c>
      <c r="D1456" s="5" t="s">
        <v>1485</v>
      </c>
    </row>
    <row r="1457" spans="1:4" x14ac:dyDescent="0.2">
      <c r="A1457" s="17" t="s">
        <v>2039</v>
      </c>
      <c r="B1457" s="18" t="s">
        <v>1902</v>
      </c>
      <c r="C1457" s="5">
        <v>35</v>
      </c>
      <c r="D1457" s="5" t="s">
        <v>1485</v>
      </c>
    </row>
    <row r="1458" spans="1:4" x14ac:dyDescent="0.2">
      <c r="A1458" s="17" t="s">
        <v>2040</v>
      </c>
      <c r="B1458" s="18" t="s">
        <v>1902</v>
      </c>
      <c r="C1458" s="5">
        <v>35</v>
      </c>
      <c r="D1458" s="5" t="s">
        <v>1485</v>
      </c>
    </row>
    <row r="1459" spans="1:4" x14ac:dyDescent="0.2">
      <c r="A1459" s="17" t="s">
        <v>2041</v>
      </c>
      <c r="B1459" s="18" t="s">
        <v>1902</v>
      </c>
      <c r="C1459" s="5">
        <v>35</v>
      </c>
      <c r="D1459" s="5" t="s">
        <v>1485</v>
      </c>
    </row>
    <row r="1460" spans="1:4" x14ac:dyDescent="0.2">
      <c r="A1460" s="17" t="s">
        <v>2042</v>
      </c>
      <c r="B1460" s="18" t="s">
        <v>1902</v>
      </c>
      <c r="C1460" s="5">
        <v>35</v>
      </c>
      <c r="D1460" s="5" t="s">
        <v>1485</v>
      </c>
    </row>
    <row r="1461" spans="1:4" x14ac:dyDescent="0.2">
      <c r="A1461" s="17" t="s">
        <v>2043</v>
      </c>
      <c r="B1461" s="18" t="s">
        <v>1902</v>
      </c>
      <c r="C1461" s="5">
        <v>35</v>
      </c>
      <c r="D1461" s="5" t="s">
        <v>1485</v>
      </c>
    </row>
    <row r="1462" spans="1:4" x14ac:dyDescent="0.2">
      <c r="A1462" s="17" t="s">
        <v>2044</v>
      </c>
      <c r="B1462" s="18" t="s">
        <v>1902</v>
      </c>
      <c r="C1462" s="5">
        <v>35</v>
      </c>
      <c r="D1462" s="5" t="s">
        <v>1485</v>
      </c>
    </row>
    <row r="1463" spans="1:4" x14ac:dyDescent="0.2">
      <c r="A1463" s="17" t="s">
        <v>2045</v>
      </c>
      <c r="B1463" s="18" t="s">
        <v>1902</v>
      </c>
      <c r="C1463" s="5">
        <v>35</v>
      </c>
      <c r="D1463" s="5" t="s">
        <v>1485</v>
      </c>
    </row>
    <row r="1464" spans="1:4" x14ac:dyDescent="0.2">
      <c r="A1464" s="17" t="s">
        <v>2046</v>
      </c>
      <c r="B1464" s="18" t="s">
        <v>1902</v>
      </c>
      <c r="C1464" s="5">
        <v>35</v>
      </c>
      <c r="D1464" s="5" t="s">
        <v>1485</v>
      </c>
    </row>
    <row r="1465" spans="1:4" x14ac:dyDescent="0.2">
      <c r="A1465" s="17" t="s">
        <v>2047</v>
      </c>
      <c r="B1465" s="18" t="s">
        <v>1902</v>
      </c>
      <c r="C1465" s="5">
        <v>35</v>
      </c>
      <c r="D1465" s="5" t="s">
        <v>1485</v>
      </c>
    </row>
    <row r="1466" spans="1:4" x14ac:dyDescent="0.2">
      <c r="A1466" s="17" t="s">
        <v>2048</v>
      </c>
      <c r="B1466" s="18" t="s">
        <v>1902</v>
      </c>
      <c r="C1466" s="5">
        <v>35</v>
      </c>
      <c r="D1466" s="5" t="s">
        <v>1485</v>
      </c>
    </row>
    <row r="1467" spans="1:4" x14ac:dyDescent="0.2">
      <c r="A1467" s="17" t="s">
        <v>2049</v>
      </c>
      <c r="B1467" s="18" t="s">
        <v>1902</v>
      </c>
      <c r="C1467" s="5">
        <v>35</v>
      </c>
      <c r="D1467" s="5" t="s">
        <v>1485</v>
      </c>
    </row>
    <row r="1468" spans="1:4" x14ac:dyDescent="0.2">
      <c r="A1468" s="17" t="s">
        <v>2050</v>
      </c>
      <c r="B1468" s="18" t="s">
        <v>1902</v>
      </c>
      <c r="C1468" s="5">
        <v>35</v>
      </c>
      <c r="D1468" s="5" t="s">
        <v>1485</v>
      </c>
    </row>
    <row r="1469" spans="1:4" x14ac:dyDescent="0.2">
      <c r="A1469" s="17" t="s">
        <v>2051</v>
      </c>
      <c r="B1469" s="18" t="s">
        <v>1902</v>
      </c>
      <c r="C1469" s="5">
        <v>35</v>
      </c>
      <c r="D1469" s="5" t="s">
        <v>1485</v>
      </c>
    </row>
    <row r="1470" spans="1:4" x14ac:dyDescent="0.2">
      <c r="A1470" s="17" t="s">
        <v>2052</v>
      </c>
      <c r="B1470" s="18" t="s">
        <v>1902</v>
      </c>
      <c r="C1470" s="5">
        <v>35</v>
      </c>
      <c r="D1470" s="5" t="s">
        <v>1485</v>
      </c>
    </row>
    <row r="1471" spans="1:4" x14ac:dyDescent="0.2">
      <c r="A1471" s="17" t="s">
        <v>2053</v>
      </c>
      <c r="B1471" s="18" t="s">
        <v>1902</v>
      </c>
      <c r="C1471" s="5">
        <v>35</v>
      </c>
      <c r="D1471" s="5" t="s">
        <v>1485</v>
      </c>
    </row>
    <row r="1472" spans="1:4" x14ac:dyDescent="0.2">
      <c r="A1472" s="17" t="s">
        <v>2054</v>
      </c>
      <c r="B1472" s="18" t="s">
        <v>1902</v>
      </c>
      <c r="C1472" s="5">
        <v>35</v>
      </c>
      <c r="D1472" s="5" t="s">
        <v>1485</v>
      </c>
    </row>
    <row r="1473" spans="1:4" x14ac:dyDescent="0.2">
      <c r="A1473" s="17" t="s">
        <v>2055</v>
      </c>
      <c r="B1473" s="18" t="s">
        <v>1902</v>
      </c>
      <c r="C1473" s="5">
        <v>35</v>
      </c>
      <c r="D1473" s="5" t="s">
        <v>1485</v>
      </c>
    </row>
    <row r="1474" spans="1:4" x14ac:dyDescent="0.2">
      <c r="A1474" s="17" t="s">
        <v>2056</v>
      </c>
      <c r="B1474" s="18" t="s">
        <v>1902</v>
      </c>
      <c r="C1474" s="5">
        <v>35</v>
      </c>
      <c r="D1474" s="5" t="s">
        <v>1485</v>
      </c>
    </row>
    <row r="1475" spans="1:4" x14ac:dyDescent="0.2">
      <c r="A1475" s="17" t="s">
        <v>2057</v>
      </c>
      <c r="B1475" s="18" t="s">
        <v>1902</v>
      </c>
      <c r="C1475" s="5">
        <v>35</v>
      </c>
      <c r="D1475" s="5" t="s">
        <v>1485</v>
      </c>
    </row>
    <row r="1476" spans="1:4" x14ac:dyDescent="0.2">
      <c r="A1476" s="17" t="s">
        <v>2058</v>
      </c>
      <c r="B1476" s="18" t="s">
        <v>1902</v>
      </c>
      <c r="C1476" s="5">
        <v>35</v>
      </c>
      <c r="D1476" s="5" t="s">
        <v>1485</v>
      </c>
    </row>
    <row r="1477" spans="1:4" x14ac:dyDescent="0.2">
      <c r="A1477" s="17" t="s">
        <v>2059</v>
      </c>
      <c r="B1477" s="18" t="s">
        <v>1902</v>
      </c>
      <c r="C1477" s="5">
        <v>35</v>
      </c>
      <c r="D1477" s="5" t="s">
        <v>1485</v>
      </c>
    </row>
    <row r="1478" spans="1:4" x14ac:dyDescent="0.2">
      <c r="A1478" s="17" t="s">
        <v>2060</v>
      </c>
      <c r="B1478" s="18" t="s">
        <v>1902</v>
      </c>
      <c r="C1478" s="5">
        <v>35</v>
      </c>
      <c r="D1478" s="5" t="s">
        <v>1485</v>
      </c>
    </row>
    <row r="1479" spans="1:4" x14ac:dyDescent="0.2">
      <c r="A1479" s="17" t="s">
        <v>2061</v>
      </c>
      <c r="B1479" s="18" t="s">
        <v>1902</v>
      </c>
      <c r="C1479" s="5">
        <v>35</v>
      </c>
      <c r="D1479" s="5" t="s">
        <v>1485</v>
      </c>
    </row>
    <row r="1480" spans="1:4" x14ac:dyDescent="0.2">
      <c r="A1480" s="17" t="s">
        <v>2062</v>
      </c>
      <c r="B1480" s="18" t="s">
        <v>1902</v>
      </c>
      <c r="C1480" s="5">
        <v>35</v>
      </c>
      <c r="D1480" s="5" t="s">
        <v>1485</v>
      </c>
    </row>
    <row r="1481" spans="1:4" x14ac:dyDescent="0.2">
      <c r="A1481" s="17" t="s">
        <v>2063</v>
      </c>
      <c r="B1481" s="18" t="s">
        <v>1902</v>
      </c>
      <c r="C1481" s="5">
        <v>35</v>
      </c>
      <c r="D1481" s="5" t="s">
        <v>1485</v>
      </c>
    </row>
    <row r="1482" spans="1:4" x14ac:dyDescent="0.2">
      <c r="A1482" s="17" t="s">
        <v>2064</v>
      </c>
      <c r="B1482" s="18" t="s">
        <v>1902</v>
      </c>
      <c r="C1482" s="5">
        <v>35</v>
      </c>
      <c r="D1482" s="5" t="s">
        <v>1485</v>
      </c>
    </row>
    <row r="1483" spans="1:4" x14ac:dyDescent="0.2">
      <c r="A1483" s="17" t="s">
        <v>2065</v>
      </c>
      <c r="B1483" s="18" t="s">
        <v>1902</v>
      </c>
      <c r="C1483" s="5">
        <v>35</v>
      </c>
      <c r="D1483" s="5" t="s">
        <v>1485</v>
      </c>
    </row>
    <row r="1484" spans="1:4" x14ac:dyDescent="0.2">
      <c r="A1484" s="17" t="s">
        <v>2066</v>
      </c>
      <c r="B1484" s="18" t="s">
        <v>1902</v>
      </c>
      <c r="C1484" s="5">
        <v>35</v>
      </c>
      <c r="D1484" s="5" t="s">
        <v>1485</v>
      </c>
    </row>
    <row r="1485" spans="1:4" x14ac:dyDescent="0.2">
      <c r="A1485" s="17" t="s">
        <v>2067</v>
      </c>
      <c r="B1485" s="18" t="s">
        <v>1902</v>
      </c>
      <c r="C1485" s="5">
        <v>35</v>
      </c>
      <c r="D1485" s="5" t="s">
        <v>1485</v>
      </c>
    </row>
    <row r="1486" spans="1:4" x14ac:dyDescent="0.2">
      <c r="A1486" s="17" t="s">
        <v>2068</v>
      </c>
      <c r="B1486" s="18" t="s">
        <v>1902</v>
      </c>
      <c r="C1486" s="5">
        <v>35</v>
      </c>
      <c r="D1486" s="5" t="s">
        <v>1485</v>
      </c>
    </row>
    <row r="1487" spans="1:4" x14ac:dyDescent="0.2">
      <c r="A1487" s="17" t="s">
        <v>2069</v>
      </c>
      <c r="B1487" s="18" t="s">
        <v>1902</v>
      </c>
      <c r="C1487" s="5">
        <v>35</v>
      </c>
      <c r="D1487" s="5" t="s">
        <v>1485</v>
      </c>
    </row>
    <row r="1488" spans="1:4" x14ac:dyDescent="0.2">
      <c r="A1488" s="17" t="s">
        <v>2070</v>
      </c>
      <c r="B1488" s="18" t="s">
        <v>1902</v>
      </c>
      <c r="C1488" s="5">
        <v>35</v>
      </c>
      <c r="D1488" s="5" t="s">
        <v>1485</v>
      </c>
    </row>
    <row r="1489" spans="1:4" x14ac:dyDescent="0.2">
      <c r="A1489" s="17" t="s">
        <v>2071</v>
      </c>
      <c r="B1489" s="18" t="s">
        <v>1902</v>
      </c>
      <c r="C1489" s="5">
        <v>35</v>
      </c>
      <c r="D1489" s="5" t="s">
        <v>1485</v>
      </c>
    </row>
    <row r="1490" spans="1:4" x14ac:dyDescent="0.2">
      <c r="A1490" s="17" t="s">
        <v>2072</v>
      </c>
      <c r="B1490" s="18" t="s">
        <v>1902</v>
      </c>
      <c r="C1490" s="5">
        <v>35</v>
      </c>
      <c r="D1490" s="5" t="s">
        <v>1485</v>
      </c>
    </row>
    <row r="1491" spans="1:4" x14ac:dyDescent="0.2">
      <c r="A1491" s="17" t="s">
        <v>2073</v>
      </c>
      <c r="B1491" s="18" t="s">
        <v>1902</v>
      </c>
      <c r="C1491" s="5">
        <v>35</v>
      </c>
      <c r="D1491" s="5" t="s">
        <v>1485</v>
      </c>
    </row>
    <row r="1492" spans="1:4" x14ac:dyDescent="0.2">
      <c r="A1492" s="17" t="s">
        <v>2074</v>
      </c>
      <c r="B1492" s="18" t="s">
        <v>1902</v>
      </c>
      <c r="C1492" s="5">
        <v>35</v>
      </c>
      <c r="D1492" s="5" t="s">
        <v>1485</v>
      </c>
    </row>
    <row r="1493" spans="1:4" x14ac:dyDescent="0.2">
      <c r="A1493" s="17" t="s">
        <v>2075</v>
      </c>
      <c r="B1493" s="18" t="s">
        <v>1902</v>
      </c>
      <c r="C1493" s="5">
        <v>35</v>
      </c>
      <c r="D1493" s="5" t="s">
        <v>1485</v>
      </c>
    </row>
    <row r="1494" spans="1:4" x14ac:dyDescent="0.2">
      <c r="A1494" s="17" t="s">
        <v>2076</v>
      </c>
      <c r="B1494" s="18" t="s">
        <v>1902</v>
      </c>
      <c r="C1494" s="5">
        <v>35</v>
      </c>
      <c r="D1494" s="5" t="s">
        <v>1485</v>
      </c>
    </row>
    <row r="1495" spans="1:4" x14ac:dyDescent="0.2">
      <c r="A1495" s="17" t="s">
        <v>2077</v>
      </c>
      <c r="B1495" s="18" t="s">
        <v>1902</v>
      </c>
      <c r="C1495" s="5">
        <v>35</v>
      </c>
      <c r="D1495" s="5" t="s">
        <v>1485</v>
      </c>
    </row>
    <row r="1496" spans="1:4" x14ac:dyDescent="0.2">
      <c r="A1496" s="17" t="s">
        <v>2078</v>
      </c>
      <c r="B1496" s="18" t="s">
        <v>1902</v>
      </c>
      <c r="C1496" s="5">
        <v>35</v>
      </c>
      <c r="D1496" s="5" t="s">
        <v>1485</v>
      </c>
    </row>
    <row r="1497" spans="1:4" x14ac:dyDescent="0.2">
      <c r="A1497" s="17" t="s">
        <v>2079</v>
      </c>
      <c r="B1497" s="18" t="s">
        <v>1902</v>
      </c>
      <c r="C1497" s="5">
        <v>35</v>
      </c>
      <c r="D1497" s="5" t="s">
        <v>1485</v>
      </c>
    </row>
    <row r="1498" spans="1:4" x14ac:dyDescent="0.2">
      <c r="A1498" s="17" t="s">
        <v>2080</v>
      </c>
      <c r="B1498" s="18" t="s">
        <v>1902</v>
      </c>
      <c r="C1498" s="5">
        <v>35</v>
      </c>
      <c r="D1498" s="5" t="s">
        <v>1485</v>
      </c>
    </row>
    <row r="1499" spans="1:4" x14ac:dyDescent="0.2">
      <c r="A1499" s="17" t="s">
        <v>2081</v>
      </c>
      <c r="B1499" s="18" t="s">
        <v>1902</v>
      </c>
      <c r="C1499" s="5">
        <v>35</v>
      </c>
      <c r="D1499" s="5" t="s">
        <v>1485</v>
      </c>
    </row>
    <row r="1500" spans="1:4" x14ac:dyDescent="0.2">
      <c r="A1500" s="17" t="s">
        <v>2082</v>
      </c>
      <c r="B1500" s="18" t="s">
        <v>1902</v>
      </c>
      <c r="C1500" s="5">
        <v>35</v>
      </c>
      <c r="D1500" s="5" t="s">
        <v>1485</v>
      </c>
    </row>
    <row r="1501" spans="1:4" x14ac:dyDescent="0.2">
      <c r="A1501" s="17" t="s">
        <v>2083</v>
      </c>
      <c r="B1501" s="18" t="s">
        <v>1902</v>
      </c>
      <c r="C1501" s="5">
        <v>35</v>
      </c>
      <c r="D1501" s="5" t="s">
        <v>1485</v>
      </c>
    </row>
    <row r="1502" spans="1:4" x14ac:dyDescent="0.2">
      <c r="A1502" s="17" t="s">
        <v>2084</v>
      </c>
      <c r="B1502" s="18" t="s">
        <v>1902</v>
      </c>
      <c r="C1502" s="5">
        <v>35</v>
      </c>
      <c r="D1502" s="5" t="s">
        <v>1485</v>
      </c>
    </row>
    <row r="1503" spans="1:4" x14ac:dyDescent="0.2">
      <c r="A1503" s="17" t="s">
        <v>2085</v>
      </c>
      <c r="B1503" s="18" t="s">
        <v>1902</v>
      </c>
      <c r="C1503" s="5">
        <v>35</v>
      </c>
      <c r="D1503" s="5" t="s">
        <v>1485</v>
      </c>
    </row>
    <row r="1504" spans="1:4" x14ac:dyDescent="0.2">
      <c r="A1504" s="17" t="s">
        <v>2086</v>
      </c>
      <c r="B1504" s="18" t="s">
        <v>1902</v>
      </c>
      <c r="C1504" s="5">
        <v>35</v>
      </c>
      <c r="D1504" s="5" t="s">
        <v>1485</v>
      </c>
    </row>
    <row r="1505" spans="1:4" x14ac:dyDescent="0.2">
      <c r="A1505" s="17" t="s">
        <v>2087</v>
      </c>
      <c r="B1505" s="18" t="s">
        <v>1902</v>
      </c>
      <c r="C1505" s="5">
        <v>35</v>
      </c>
      <c r="D1505" s="5" t="s">
        <v>1485</v>
      </c>
    </row>
    <row r="1506" spans="1:4" x14ac:dyDescent="0.2">
      <c r="A1506" s="17" t="s">
        <v>2088</v>
      </c>
      <c r="B1506" s="18" t="s">
        <v>1902</v>
      </c>
      <c r="C1506" s="5">
        <v>35</v>
      </c>
      <c r="D1506" s="5" t="s">
        <v>1485</v>
      </c>
    </row>
    <row r="1507" spans="1:4" x14ac:dyDescent="0.2">
      <c r="A1507" s="17" t="s">
        <v>2089</v>
      </c>
      <c r="B1507" s="18" t="s">
        <v>1902</v>
      </c>
      <c r="C1507" s="5">
        <v>35</v>
      </c>
      <c r="D1507" s="5" t="s">
        <v>1485</v>
      </c>
    </row>
    <row r="1508" spans="1:4" x14ac:dyDescent="0.2">
      <c r="A1508" s="17" t="s">
        <v>2012</v>
      </c>
      <c r="B1508" s="18" t="s">
        <v>1902</v>
      </c>
      <c r="C1508" s="5">
        <v>35</v>
      </c>
      <c r="D1508" s="5" t="s">
        <v>1485</v>
      </c>
    </row>
    <row r="1509" spans="1:4" x14ac:dyDescent="0.2">
      <c r="A1509" s="17" t="s">
        <v>2090</v>
      </c>
      <c r="B1509" s="18" t="s">
        <v>1902</v>
      </c>
      <c r="C1509" s="5">
        <v>35</v>
      </c>
      <c r="D1509" s="5" t="s">
        <v>1485</v>
      </c>
    </row>
    <row r="1510" spans="1:4" x14ac:dyDescent="0.2">
      <c r="A1510" s="17" t="s">
        <v>2091</v>
      </c>
      <c r="B1510" s="18" t="s">
        <v>1902</v>
      </c>
      <c r="C1510" s="5">
        <v>35</v>
      </c>
      <c r="D1510" s="5" t="s">
        <v>1485</v>
      </c>
    </row>
    <row r="1511" spans="1:4" x14ac:dyDescent="0.2">
      <c r="A1511" s="17" t="s">
        <v>2016</v>
      </c>
      <c r="B1511" s="18" t="s">
        <v>1902</v>
      </c>
      <c r="C1511" s="5">
        <v>35</v>
      </c>
      <c r="D1511" s="5" t="s">
        <v>1485</v>
      </c>
    </row>
    <row r="1512" spans="1:4" x14ac:dyDescent="0.2">
      <c r="A1512" s="17" t="s">
        <v>2023</v>
      </c>
      <c r="B1512" s="18" t="s">
        <v>1902</v>
      </c>
      <c r="C1512" s="5">
        <v>35</v>
      </c>
      <c r="D1512" s="5" t="s">
        <v>1485</v>
      </c>
    </row>
    <row r="1513" spans="1:4" x14ac:dyDescent="0.2">
      <c r="A1513" s="17" t="s">
        <v>2030</v>
      </c>
      <c r="B1513" s="18" t="s">
        <v>1902</v>
      </c>
      <c r="C1513" s="5">
        <v>35</v>
      </c>
      <c r="D1513" s="5" t="s">
        <v>1485</v>
      </c>
    </row>
    <row r="1514" spans="1:4" x14ac:dyDescent="0.2">
      <c r="A1514" s="17" t="s">
        <v>2034</v>
      </c>
      <c r="B1514" s="18" t="s">
        <v>1902</v>
      </c>
      <c r="C1514" s="5">
        <v>35</v>
      </c>
      <c r="D1514" s="5" t="s">
        <v>1485</v>
      </c>
    </row>
    <row r="1515" spans="1:4" x14ac:dyDescent="0.2">
      <c r="A1515" s="17" t="s">
        <v>2037</v>
      </c>
      <c r="B1515" s="18" t="s">
        <v>1902</v>
      </c>
      <c r="C1515" s="5">
        <v>35</v>
      </c>
      <c r="D1515" s="5" t="s">
        <v>1485</v>
      </c>
    </row>
    <row r="1516" spans="1:4" x14ac:dyDescent="0.2">
      <c r="A1516" s="17" t="s">
        <v>2092</v>
      </c>
      <c r="B1516" s="18" t="s">
        <v>1902</v>
      </c>
      <c r="C1516" s="5">
        <v>35</v>
      </c>
      <c r="D1516" s="5" t="s">
        <v>1485</v>
      </c>
    </row>
    <row r="1517" spans="1:4" x14ac:dyDescent="0.2">
      <c r="A1517" s="17" t="s">
        <v>2093</v>
      </c>
      <c r="B1517" s="18" t="s">
        <v>1902</v>
      </c>
      <c r="C1517" s="5">
        <v>35</v>
      </c>
      <c r="D1517" s="5" t="s">
        <v>1485</v>
      </c>
    </row>
    <row r="1518" spans="1:4" x14ac:dyDescent="0.2">
      <c r="A1518" s="17" t="s">
        <v>2094</v>
      </c>
      <c r="B1518" s="18" t="s">
        <v>1902</v>
      </c>
      <c r="C1518" s="5">
        <v>35</v>
      </c>
      <c r="D1518" s="5" t="s">
        <v>1485</v>
      </c>
    </row>
    <row r="1519" spans="1:4" x14ac:dyDescent="0.2">
      <c r="A1519" s="17" t="s">
        <v>2095</v>
      </c>
      <c r="B1519" s="18" t="s">
        <v>1902</v>
      </c>
      <c r="C1519" s="5">
        <v>35</v>
      </c>
      <c r="D1519" s="5" t="s">
        <v>1485</v>
      </c>
    </row>
    <row r="1520" spans="1:4" x14ac:dyDescent="0.2">
      <c r="A1520" s="17" t="s">
        <v>2096</v>
      </c>
      <c r="B1520" s="18" t="s">
        <v>1902</v>
      </c>
      <c r="C1520" s="5">
        <v>35</v>
      </c>
      <c r="D1520" s="5" t="s">
        <v>1485</v>
      </c>
    </row>
    <row r="1521" spans="1:4" x14ac:dyDescent="0.2">
      <c r="A1521" s="17" t="s">
        <v>2097</v>
      </c>
      <c r="B1521" s="18" t="s">
        <v>1902</v>
      </c>
      <c r="C1521" s="5">
        <v>35</v>
      </c>
      <c r="D1521" s="5" t="s">
        <v>1485</v>
      </c>
    </row>
    <row r="1522" spans="1:4" x14ac:dyDescent="0.2">
      <c r="A1522" s="17" t="s">
        <v>2098</v>
      </c>
      <c r="B1522" s="18" t="s">
        <v>1902</v>
      </c>
      <c r="C1522" s="5">
        <v>35</v>
      </c>
      <c r="D1522" s="5" t="s">
        <v>1485</v>
      </c>
    </row>
    <row r="1523" spans="1:4" x14ac:dyDescent="0.2">
      <c r="A1523" s="17" t="s">
        <v>2099</v>
      </c>
      <c r="B1523" s="18" t="s">
        <v>1902</v>
      </c>
      <c r="C1523" s="5">
        <v>35</v>
      </c>
      <c r="D1523" s="5" t="s">
        <v>1485</v>
      </c>
    </row>
    <row r="1524" spans="1:4" x14ac:dyDescent="0.2">
      <c r="A1524" s="17" t="s">
        <v>2100</v>
      </c>
      <c r="B1524" s="18" t="s">
        <v>1902</v>
      </c>
      <c r="C1524" s="5">
        <v>35</v>
      </c>
      <c r="D1524" s="5" t="s">
        <v>1485</v>
      </c>
    </row>
    <row r="1525" spans="1:4" x14ac:dyDescent="0.2">
      <c r="A1525" s="17" t="s">
        <v>2101</v>
      </c>
      <c r="B1525" s="18" t="s">
        <v>1902</v>
      </c>
      <c r="C1525" s="5">
        <v>35</v>
      </c>
      <c r="D1525" s="5" t="s">
        <v>1485</v>
      </c>
    </row>
    <row r="1526" spans="1:4" x14ac:dyDescent="0.2">
      <c r="A1526" s="17" t="s">
        <v>2102</v>
      </c>
      <c r="B1526" s="18" t="s">
        <v>1902</v>
      </c>
      <c r="C1526" s="5">
        <v>35</v>
      </c>
      <c r="D1526" s="5" t="s">
        <v>1485</v>
      </c>
    </row>
    <row r="1527" spans="1:4" x14ac:dyDescent="0.2">
      <c r="A1527" s="17" t="s">
        <v>2103</v>
      </c>
      <c r="B1527" s="18" t="s">
        <v>1902</v>
      </c>
      <c r="C1527" s="5">
        <v>35</v>
      </c>
      <c r="D1527" s="5" t="s">
        <v>1485</v>
      </c>
    </row>
    <row r="1528" spans="1:4" x14ac:dyDescent="0.2">
      <c r="A1528" s="17" t="s">
        <v>2104</v>
      </c>
      <c r="B1528" s="18" t="s">
        <v>1902</v>
      </c>
      <c r="C1528" s="5">
        <v>35</v>
      </c>
      <c r="D1528" s="5" t="s">
        <v>1485</v>
      </c>
    </row>
    <row r="1529" spans="1:4" x14ac:dyDescent="0.2">
      <c r="A1529" s="17" t="s">
        <v>2105</v>
      </c>
      <c r="B1529" s="18" t="s">
        <v>1902</v>
      </c>
      <c r="C1529" s="5">
        <v>35</v>
      </c>
      <c r="D1529" s="5" t="s">
        <v>1485</v>
      </c>
    </row>
    <row r="1530" spans="1:4" x14ac:dyDescent="0.2">
      <c r="A1530" s="17" t="s">
        <v>2106</v>
      </c>
      <c r="B1530" s="18" t="s">
        <v>1902</v>
      </c>
      <c r="C1530" s="5">
        <v>35</v>
      </c>
      <c r="D1530" s="5" t="s">
        <v>1485</v>
      </c>
    </row>
    <row r="1531" spans="1:4" x14ac:dyDescent="0.2">
      <c r="A1531" s="17" t="s">
        <v>2107</v>
      </c>
      <c r="B1531" s="18" t="s">
        <v>1902</v>
      </c>
      <c r="C1531" s="5">
        <v>35</v>
      </c>
      <c r="D1531" s="5" t="s">
        <v>1485</v>
      </c>
    </row>
    <row r="1532" spans="1:4" x14ac:dyDescent="0.2">
      <c r="A1532" s="17" t="s">
        <v>2108</v>
      </c>
      <c r="B1532" s="18" t="s">
        <v>1902</v>
      </c>
      <c r="C1532" s="5">
        <v>35</v>
      </c>
      <c r="D1532" s="5" t="s">
        <v>1485</v>
      </c>
    </row>
    <row r="1533" spans="1:4" x14ac:dyDescent="0.2">
      <c r="A1533" s="17" t="s">
        <v>2109</v>
      </c>
      <c r="B1533" s="18" t="s">
        <v>1902</v>
      </c>
      <c r="C1533" s="5">
        <v>35</v>
      </c>
      <c r="D1533" s="5" t="s">
        <v>1485</v>
      </c>
    </row>
    <row r="1534" spans="1:4" x14ac:dyDescent="0.2">
      <c r="A1534" s="17" t="s">
        <v>2110</v>
      </c>
      <c r="B1534" s="18" t="s">
        <v>1902</v>
      </c>
      <c r="C1534" s="5">
        <v>35</v>
      </c>
      <c r="D1534" s="5" t="s">
        <v>1485</v>
      </c>
    </row>
    <row r="1535" spans="1:4" x14ac:dyDescent="0.2">
      <c r="A1535" s="17" t="s">
        <v>2111</v>
      </c>
      <c r="B1535" s="18" t="s">
        <v>1902</v>
      </c>
      <c r="C1535" s="5">
        <v>35</v>
      </c>
      <c r="D1535" s="5" t="s">
        <v>1485</v>
      </c>
    </row>
    <row r="1536" spans="1:4" x14ac:dyDescent="0.2">
      <c r="A1536" s="17" t="s">
        <v>2112</v>
      </c>
      <c r="B1536" s="18" t="s">
        <v>1902</v>
      </c>
      <c r="C1536" s="5">
        <v>35</v>
      </c>
      <c r="D1536" s="5" t="s">
        <v>1485</v>
      </c>
    </row>
    <row r="1537" spans="1:4" x14ac:dyDescent="0.2">
      <c r="A1537" s="17" t="s">
        <v>2113</v>
      </c>
      <c r="B1537" s="18" t="s">
        <v>1902</v>
      </c>
      <c r="C1537" s="5">
        <v>35</v>
      </c>
      <c r="D1537" s="5" t="s">
        <v>1485</v>
      </c>
    </row>
    <row r="1538" spans="1:4" x14ac:dyDescent="0.2">
      <c r="A1538" s="17" t="s">
        <v>2114</v>
      </c>
      <c r="B1538" s="18" t="s">
        <v>1902</v>
      </c>
      <c r="C1538" s="5">
        <v>35</v>
      </c>
      <c r="D1538" s="5" t="s">
        <v>1485</v>
      </c>
    </row>
    <row r="1539" spans="1:4" x14ac:dyDescent="0.2">
      <c r="A1539" s="17" t="s">
        <v>2115</v>
      </c>
      <c r="B1539" s="18" t="s">
        <v>1902</v>
      </c>
      <c r="C1539" s="5">
        <v>35</v>
      </c>
      <c r="D1539" s="5" t="s">
        <v>1485</v>
      </c>
    </row>
    <row r="1540" spans="1:4" x14ac:dyDescent="0.2">
      <c r="A1540" s="17" t="s">
        <v>2116</v>
      </c>
      <c r="B1540" s="18" t="s">
        <v>1902</v>
      </c>
      <c r="C1540" s="5">
        <v>35</v>
      </c>
      <c r="D1540" s="5" t="s">
        <v>1485</v>
      </c>
    </row>
    <row r="1541" spans="1:4" x14ac:dyDescent="0.2">
      <c r="A1541" s="17" t="s">
        <v>2117</v>
      </c>
      <c r="B1541" s="18" t="s">
        <v>1902</v>
      </c>
      <c r="C1541" s="5">
        <v>35</v>
      </c>
      <c r="D1541" s="5" t="s">
        <v>1485</v>
      </c>
    </row>
    <row r="1542" spans="1:4" x14ac:dyDescent="0.2">
      <c r="A1542" s="17" t="s">
        <v>2118</v>
      </c>
      <c r="B1542" s="18" t="s">
        <v>1902</v>
      </c>
      <c r="C1542" s="5">
        <v>35</v>
      </c>
      <c r="D1542" s="5" t="s">
        <v>1485</v>
      </c>
    </row>
    <row r="1543" spans="1:4" x14ac:dyDescent="0.2">
      <c r="A1543" s="17" t="s">
        <v>2119</v>
      </c>
      <c r="B1543" s="18" t="s">
        <v>1902</v>
      </c>
      <c r="C1543" s="5">
        <v>35</v>
      </c>
      <c r="D1543" s="5" t="s">
        <v>1485</v>
      </c>
    </row>
    <row r="1544" spans="1:4" x14ac:dyDescent="0.2">
      <c r="A1544" s="17" t="s">
        <v>2120</v>
      </c>
      <c r="B1544" s="18" t="s">
        <v>1902</v>
      </c>
      <c r="C1544" s="5">
        <v>35</v>
      </c>
      <c r="D1544" s="5" t="s">
        <v>1485</v>
      </c>
    </row>
    <row r="1545" spans="1:4" x14ac:dyDescent="0.2">
      <c r="A1545" s="17" t="s">
        <v>2121</v>
      </c>
      <c r="B1545" s="18" t="s">
        <v>1902</v>
      </c>
      <c r="C1545" s="5">
        <v>35</v>
      </c>
      <c r="D1545" s="5" t="s">
        <v>1485</v>
      </c>
    </row>
    <row r="1546" spans="1:4" x14ac:dyDescent="0.2">
      <c r="A1546" s="17" t="s">
        <v>2122</v>
      </c>
      <c r="B1546" s="18" t="s">
        <v>1902</v>
      </c>
      <c r="C1546" s="5">
        <v>35</v>
      </c>
      <c r="D1546" s="5" t="s">
        <v>1485</v>
      </c>
    </row>
    <row r="1547" spans="1:4" x14ac:dyDescent="0.2">
      <c r="A1547" s="17" t="s">
        <v>2123</v>
      </c>
      <c r="B1547" s="18" t="s">
        <v>1902</v>
      </c>
      <c r="C1547" s="5">
        <v>35</v>
      </c>
      <c r="D1547" s="5" t="s">
        <v>1485</v>
      </c>
    </row>
    <row r="1548" spans="1:4" x14ac:dyDescent="0.2">
      <c r="A1548" s="17" t="s">
        <v>2124</v>
      </c>
      <c r="B1548" s="18" t="s">
        <v>1902</v>
      </c>
      <c r="C1548" s="5">
        <v>35</v>
      </c>
      <c r="D1548" s="5" t="s">
        <v>1485</v>
      </c>
    </row>
    <row r="1549" spans="1:4" x14ac:dyDescent="0.2">
      <c r="A1549" s="17" t="s">
        <v>2125</v>
      </c>
      <c r="B1549" s="18" t="s">
        <v>1902</v>
      </c>
      <c r="C1549" s="5">
        <v>35</v>
      </c>
      <c r="D1549" s="5" t="s">
        <v>1485</v>
      </c>
    </row>
    <row r="1550" spans="1:4" x14ac:dyDescent="0.2">
      <c r="A1550" s="17" t="s">
        <v>2126</v>
      </c>
      <c r="B1550" s="18" t="s">
        <v>1902</v>
      </c>
      <c r="C1550" s="5">
        <v>35</v>
      </c>
      <c r="D1550" s="5" t="s">
        <v>1485</v>
      </c>
    </row>
    <row r="1551" spans="1:4" x14ac:dyDescent="0.2">
      <c r="A1551" s="17" t="s">
        <v>2127</v>
      </c>
      <c r="B1551" s="18" t="s">
        <v>1902</v>
      </c>
      <c r="C1551" s="5">
        <v>35</v>
      </c>
      <c r="D1551" s="5" t="s">
        <v>1485</v>
      </c>
    </row>
    <row r="1552" spans="1:4" x14ac:dyDescent="0.2">
      <c r="A1552" s="17" t="s">
        <v>2128</v>
      </c>
      <c r="B1552" s="18" t="s">
        <v>1902</v>
      </c>
      <c r="C1552" s="5">
        <v>35</v>
      </c>
      <c r="D1552" s="5" t="s">
        <v>1485</v>
      </c>
    </row>
    <row r="1553" spans="1:4" x14ac:dyDescent="0.2">
      <c r="A1553" s="17" t="s">
        <v>2129</v>
      </c>
      <c r="B1553" s="18" t="s">
        <v>1902</v>
      </c>
      <c r="C1553" s="5">
        <v>35</v>
      </c>
      <c r="D1553" s="5" t="s">
        <v>1485</v>
      </c>
    </row>
    <row r="1554" spans="1:4" x14ac:dyDescent="0.2">
      <c r="A1554" s="17" t="s">
        <v>2130</v>
      </c>
      <c r="B1554" s="18" t="s">
        <v>1902</v>
      </c>
      <c r="C1554" s="5">
        <v>35</v>
      </c>
      <c r="D1554" s="5" t="s">
        <v>1485</v>
      </c>
    </row>
    <row r="1555" spans="1:4" x14ac:dyDescent="0.2">
      <c r="A1555" s="17" t="s">
        <v>2131</v>
      </c>
      <c r="B1555" s="18" t="s">
        <v>1902</v>
      </c>
      <c r="C1555" s="5">
        <v>35</v>
      </c>
      <c r="D1555" s="5" t="s">
        <v>1485</v>
      </c>
    </row>
    <row r="1556" spans="1:4" x14ac:dyDescent="0.2">
      <c r="A1556" s="17" t="s">
        <v>2132</v>
      </c>
      <c r="B1556" s="18" t="s">
        <v>1902</v>
      </c>
      <c r="C1556" s="5">
        <v>35</v>
      </c>
      <c r="D1556" s="5" t="s">
        <v>1485</v>
      </c>
    </row>
    <row r="1557" spans="1:4" x14ac:dyDescent="0.2">
      <c r="A1557" s="17" t="s">
        <v>2133</v>
      </c>
      <c r="B1557" s="18" t="s">
        <v>1902</v>
      </c>
      <c r="C1557" s="5">
        <v>35</v>
      </c>
      <c r="D1557" s="5" t="s">
        <v>1485</v>
      </c>
    </row>
    <row r="1558" spans="1:4" x14ac:dyDescent="0.2">
      <c r="A1558" s="17" t="s">
        <v>2134</v>
      </c>
      <c r="B1558" s="18" t="s">
        <v>1902</v>
      </c>
      <c r="C1558" s="5">
        <v>35</v>
      </c>
      <c r="D1558" s="5" t="s">
        <v>1485</v>
      </c>
    </row>
    <row r="1559" spans="1:4" x14ac:dyDescent="0.2">
      <c r="A1559" s="17" t="s">
        <v>2135</v>
      </c>
      <c r="B1559" s="18" t="s">
        <v>1902</v>
      </c>
      <c r="C1559" s="5">
        <v>35</v>
      </c>
      <c r="D1559" s="5" t="s">
        <v>1485</v>
      </c>
    </row>
    <row r="1560" spans="1:4" x14ac:dyDescent="0.2">
      <c r="A1560" s="17" t="s">
        <v>2136</v>
      </c>
      <c r="B1560" s="18" t="s">
        <v>1902</v>
      </c>
      <c r="C1560" s="5">
        <v>35</v>
      </c>
      <c r="D1560" s="5" t="s">
        <v>1485</v>
      </c>
    </row>
    <row r="1561" spans="1:4" x14ac:dyDescent="0.2">
      <c r="A1561" s="17" t="s">
        <v>2137</v>
      </c>
      <c r="B1561" s="18" t="s">
        <v>1902</v>
      </c>
      <c r="C1561" s="5">
        <v>35</v>
      </c>
      <c r="D1561" s="5" t="s">
        <v>1485</v>
      </c>
    </row>
    <row r="1562" spans="1:4" x14ac:dyDescent="0.2">
      <c r="A1562" s="17" t="s">
        <v>248</v>
      </c>
      <c r="B1562" s="18" t="s">
        <v>1902</v>
      </c>
      <c r="C1562" s="5">
        <v>35</v>
      </c>
      <c r="D1562" s="5" t="s">
        <v>1485</v>
      </c>
    </row>
    <row r="1563" spans="1:4" x14ac:dyDescent="0.2">
      <c r="A1563" s="17" t="s">
        <v>2138</v>
      </c>
      <c r="B1563" s="18" t="s">
        <v>1902</v>
      </c>
      <c r="C1563" s="5">
        <v>35</v>
      </c>
      <c r="D1563" s="5" t="s">
        <v>1485</v>
      </c>
    </row>
    <row r="1564" spans="1:4" x14ac:dyDescent="0.2">
      <c r="A1564" s="17" t="s">
        <v>2139</v>
      </c>
      <c r="B1564" s="18" t="s">
        <v>1902</v>
      </c>
      <c r="C1564" s="5">
        <v>35</v>
      </c>
      <c r="D1564" s="5" t="s">
        <v>1485</v>
      </c>
    </row>
    <row r="1565" spans="1:4" x14ac:dyDescent="0.2">
      <c r="A1565" s="17" t="s">
        <v>2140</v>
      </c>
      <c r="B1565" s="18" t="s">
        <v>1902</v>
      </c>
      <c r="C1565" s="5">
        <v>35</v>
      </c>
      <c r="D1565" s="5" t="s">
        <v>1485</v>
      </c>
    </row>
    <row r="1566" spans="1:4" x14ac:dyDescent="0.2">
      <c r="A1566" s="17" t="s">
        <v>2141</v>
      </c>
      <c r="B1566" s="18" t="s">
        <v>1902</v>
      </c>
      <c r="C1566" s="5">
        <v>35</v>
      </c>
      <c r="D1566" s="5" t="s">
        <v>1485</v>
      </c>
    </row>
    <row r="1567" spans="1:4" x14ac:dyDescent="0.2">
      <c r="A1567" s="17" t="s">
        <v>2142</v>
      </c>
      <c r="B1567" s="18" t="s">
        <v>1902</v>
      </c>
      <c r="C1567" s="5">
        <v>35</v>
      </c>
      <c r="D1567" s="5" t="s">
        <v>1485</v>
      </c>
    </row>
    <row r="1568" spans="1:4" x14ac:dyDescent="0.2">
      <c r="A1568" s="17" t="s">
        <v>2143</v>
      </c>
      <c r="B1568" s="18" t="s">
        <v>1902</v>
      </c>
      <c r="C1568" s="5">
        <v>35</v>
      </c>
      <c r="D1568" s="5" t="s">
        <v>1485</v>
      </c>
    </row>
    <row r="1569" spans="1:4" x14ac:dyDescent="0.2">
      <c r="A1569" s="17" t="s">
        <v>2144</v>
      </c>
      <c r="B1569" s="18" t="s">
        <v>1902</v>
      </c>
      <c r="C1569" s="5">
        <v>35</v>
      </c>
      <c r="D1569" s="5" t="s">
        <v>1485</v>
      </c>
    </row>
    <row r="1570" spans="1:4" x14ac:dyDescent="0.2">
      <c r="A1570" s="17" t="s">
        <v>2145</v>
      </c>
      <c r="B1570" s="18" t="s">
        <v>1902</v>
      </c>
      <c r="C1570" s="5">
        <v>35</v>
      </c>
      <c r="D1570" s="5" t="s">
        <v>1485</v>
      </c>
    </row>
    <row r="1571" spans="1:4" x14ac:dyDescent="0.2">
      <c r="A1571" s="17" t="s">
        <v>2146</v>
      </c>
      <c r="B1571" s="18" t="s">
        <v>1902</v>
      </c>
      <c r="C1571" s="5">
        <v>35</v>
      </c>
      <c r="D1571" s="5" t="s">
        <v>1485</v>
      </c>
    </row>
    <row r="1572" spans="1:4" x14ac:dyDescent="0.2">
      <c r="A1572" s="17" t="s">
        <v>2147</v>
      </c>
      <c r="B1572" s="18" t="s">
        <v>1902</v>
      </c>
      <c r="C1572" s="5">
        <v>35</v>
      </c>
      <c r="D1572" s="5" t="s">
        <v>1485</v>
      </c>
    </row>
    <row r="1573" spans="1:4" x14ac:dyDescent="0.2">
      <c r="A1573" s="17" t="s">
        <v>2148</v>
      </c>
      <c r="B1573" s="18" t="s">
        <v>1902</v>
      </c>
      <c r="C1573" s="5">
        <v>35</v>
      </c>
      <c r="D1573" s="5" t="s">
        <v>1485</v>
      </c>
    </row>
    <row r="1574" spans="1:4" x14ac:dyDescent="0.2">
      <c r="A1574" s="17" t="s">
        <v>2149</v>
      </c>
      <c r="B1574" s="18" t="s">
        <v>1902</v>
      </c>
      <c r="C1574" s="5">
        <v>35</v>
      </c>
      <c r="D1574" s="5" t="s">
        <v>1485</v>
      </c>
    </row>
    <row r="1575" spans="1:4" x14ac:dyDescent="0.2">
      <c r="A1575" s="17" t="s">
        <v>2150</v>
      </c>
      <c r="B1575" s="18" t="s">
        <v>1902</v>
      </c>
      <c r="C1575" s="5">
        <v>35</v>
      </c>
      <c r="D1575" s="5" t="s">
        <v>1485</v>
      </c>
    </row>
    <row r="1576" spans="1:4" x14ac:dyDescent="0.2">
      <c r="A1576" s="17" t="s">
        <v>2151</v>
      </c>
      <c r="B1576" s="18" t="s">
        <v>1902</v>
      </c>
      <c r="C1576" s="5">
        <v>35</v>
      </c>
      <c r="D1576" s="5" t="s">
        <v>1485</v>
      </c>
    </row>
    <row r="1577" spans="1:4" x14ac:dyDescent="0.2">
      <c r="A1577" s="17" t="s">
        <v>2152</v>
      </c>
      <c r="B1577" s="18" t="s">
        <v>1902</v>
      </c>
      <c r="C1577" s="5">
        <v>35</v>
      </c>
      <c r="D1577" s="5" t="s">
        <v>1485</v>
      </c>
    </row>
    <row r="1578" spans="1:4" x14ac:dyDescent="0.2">
      <c r="A1578" s="17" t="s">
        <v>2153</v>
      </c>
      <c r="B1578" s="18" t="s">
        <v>1902</v>
      </c>
      <c r="C1578" s="5">
        <v>35</v>
      </c>
      <c r="D1578" s="5" t="s">
        <v>1485</v>
      </c>
    </row>
    <row r="1579" spans="1:4" x14ac:dyDescent="0.2">
      <c r="A1579" s="17" t="s">
        <v>2154</v>
      </c>
      <c r="B1579" s="18" t="s">
        <v>1902</v>
      </c>
      <c r="C1579" s="5">
        <v>35</v>
      </c>
      <c r="D1579" s="5" t="s">
        <v>1485</v>
      </c>
    </row>
    <row r="1580" spans="1:4" x14ac:dyDescent="0.2">
      <c r="A1580" s="17" t="s">
        <v>2155</v>
      </c>
      <c r="B1580" s="18" t="s">
        <v>1902</v>
      </c>
      <c r="C1580" s="5">
        <v>35</v>
      </c>
      <c r="D1580" s="5" t="s">
        <v>1485</v>
      </c>
    </row>
    <row r="1581" spans="1:4" x14ac:dyDescent="0.2">
      <c r="A1581" s="17" t="s">
        <v>2156</v>
      </c>
      <c r="B1581" s="18" t="s">
        <v>1902</v>
      </c>
      <c r="C1581" s="5">
        <v>35</v>
      </c>
      <c r="D1581" s="5" t="s">
        <v>1485</v>
      </c>
    </row>
    <row r="1582" spans="1:4" x14ac:dyDescent="0.2">
      <c r="A1582" s="17" t="s">
        <v>2157</v>
      </c>
      <c r="B1582" s="18" t="s">
        <v>1902</v>
      </c>
      <c r="C1582" s="5">
        <v>35</v>
      </c>
      <c r="D1582" s="5" t="s">
        <v>1485</v>
      </c>
    </row>
    <row r="1583" spans="1:4" x14ac:dyDescent="0.2">
      <c r="A1583" s="17" t="s">
        <v>2158</v>
      </c>
      <c r="B1583" s="18" t="s">
        <v>1902</v>
      </c>
      <c r="C1583" s="5">
        <v>35</v>
      </c>
      <c r="D1583" s="5" t="s">
        <v>1485</v>
      </c>
    </row>
    <row r="1584" spans="1:4" x14ac:dyDescent="0.2">
      <c r="A1584" s="17" t="s">
        <v>2159</v>
      </c>
      <c r="B1584" s="18" t="s">
        <v>1902</v>
      </c>
      <c r="C1584" s="5">
        <v>35</v>
      </c>
      <c r="D1584" s="5" t="s">
        <v>1485</v>
      </c>
    </row>
    <row r="1585" spans="1:4" x14ac:dyDescent="0.2">
      <c r="A1585" s="17" t="s">
        <v>2160</v>
      </c>
      <c r="B1585" s="18" t="s">
        <v>1902</v>
      </c>
      <c r="C1585" s="5">
        <v>35</v>
      </c>
      <c r="D1585" s="5" t="s">
        <v>1485</v>
      </c>
    </row>
    <row r="1586" spans="1:4" x14ac:dyDescent="0.2">
      <c r="A1586" s="17" t="s">
        <v>2161</v>
      </c>
      <c r="B1586" s="18" t="s">
        <v>1902</v>
      </c>
      <c r="C1586" s="5">
        <v>35</v>
      </c>
      <c r="D1586" s="5" t="s">
        <v>1485</v>
      </c>
    </row>
    <row r="1587" spans="1:4" x14ac:dyDescent="0.2">
      <c r="A1587" s="17" t="s">
        <v>2162</v>
      </c>
      <c r="B1587" s="18" t="s">
        <v>1902</v>
      </c>
      <c r="C1587" s="5">
        <v>35</v>
      </c>
      <c r="D1587" s="5" t="s">
        <v>1485</v>
      </c>
    </row>
    <row r="1588" spans="1:4" x14ac:dyDescent="0.2">
      <c r="A1588" s="17" t="s">
        <v>2163</v>
      </c>
      <c r="B1588" s="18" t="s">
        <v>1902</v>
      </c>
      <c r="C1588" s="5">
        <v>35</v>
      </c>
      <c r="D1588" s="5" t="s">
        <v>1485</v>
      </c>
    </row>
    <row r="1589" spans="1:4" x14ac:dyDescent="0.2">
      <c r="A1589" s="17" t="s">
        <v>2164</v>
      </c>
      <c r="B1589" s="18" t="s">
        <v>1902</v>
      </c>
      <c r="C1589" s="5">
        <v>35</v>
      </c>
      <c r="D1589" s="5" t="s">
        <v>1485</v>
      </c>
    </row>
    <row r="1590" spans="1:4" x14ac:dyDescent="0.2">
      <c r="A1590" s="17" t="s">
        <v>2165</v>
      </c>
      <c r="B1590" s="18" t="s">
        <v>1902</v>
      </c>
      <c r="C1590" s="5">
        <v>35</v>
      </c>
      <c r="D1590" s="5" t="s">
        <v>1485</v>
      </c>
    </row>
    <row r="1591" spans="1:4" x14ac:dyDescent="0.2">
      <c r="A1591" s="17" t="s">
        <v>2166</v>
      </c>
      <c r="B1591" s="18" t="s">
        <v>1902</v>
      </c>
      <c r="C1591" s="5">
        <v>35</v>
      </c>
      <c r="D1591" s="5" t="s">
        <v>1485</v>
      </c>
    </row>
    <row r="1592" spans="1:4" x14ac:dyDescent="0.2">
      <c r="A1592" s="17" t="s">
        <v>2167</v>
      </c>
      <c r="B1592" s="18" t="s">
        <v>1902</v>
      </c>
      <c r="C1592" s="5">
        <v>35</v>
      </c>
      <c r="D1592" s="5" t="s">
        <v>1485</v>
      </c>
    </row>
    <row r="1593" spans="1:4" x14ac:dyDescent="0.2">
      <c r="A1593" s="17" t="s">
        <v>2168</v>
      </c>
      <c r="B1593" s="18" t="s">
        <v>1902</v>
      </c>
      <c r="C1593" s="5">
        <v>35</v>
      </c>
      <c r="D1593" s="5" t="s">
        <v>1485</v>
      </c>
    </row>
    <row r="1594" spans="1:4" x14ac:dyDescent="0.2">
      <c r="A1594" s="17" t="s">
        <v>2169</v>
      </c>
      <c r="B1594" s="18" t="s">
        <v>1902</v>
      </c>
      <c r="C1594" s="5">
        <v>35</v>
      </c>
      <c r="D1594" s="5" t="s">
        <v>1485</v>
      </c>
    </row>
    <row r="1595" spans="1:4" x14ac:dyDescent="0.2">
      <c r="A1595" s="17" t="s">
        <v>2170</v>
      </c>
      <c r="B1595" s="18" t="s">
        <v>1902</v>
      </c>
      <c r="C1595" s="5">
        <v>35</v>
      </c>
      <c r="D1595" s="5" t="s">
        <v>1485</v>
      </c>
    </row>
    <row r="1596" spans="1:4" x14ac:dyDescent="0.2">
      <c r="A1596" s="17" t="s">
        <v>2171</v>
      </c>
      <c r="B1596" s="18" t="s">
        <v>1902</v>
      </c>
      <c r="C1596" s="5">
        <v>35</v>
      </c>
      <c r="D1596" s="5" t="s">
        <v>1485</v>
      </c>
    </row>
    <row r="1597" spans="1:4" x14ac:dyDescent="0.2">
      <c r="A1597" s="17" t="s">
        <v>2172</v>
      </c>
      <c r="B1597" s="18" t="s">
        <v>1902</v>
      </c>
      <c r="C1597" s="5">
        <v>35</v>
      </c>
      <c r="D1597" s="5" t="s">
        <v>1485</v>
      </c>
    </row>
    <row r="1598" spans="1:4" x14ac:dyDescent="0.2">
      <c r="A1598" s="17" t="s">
        <v>2173</v>
      </c>
      <c r="B1598" s="18" t="s">
        <v>1902</v>
      </c>
      <c r="C1598" s="5">
        <v>35</v>
      </c>
      <c r="D1598" s="5" t="s">
        <v>1485</v>
      </c>
    </row>
    <row r="1599" spans="1:4" x14ac:dyDescent="0.2">
      <c r="A1599" s="17" t="s">
        <v>2174</v>
      </c>
      <c r="B1599" s="18" t="s">
        <v>1902</v>
      </c>
      <c r="C1599" s="5">
        <v>35</v>
      </c>
      <c r="D1599" s="5" t="s">
        <v>1485</v>
      </c>
    </row>
    <row r="1600" spans="1:4" x14ac:dyDescent="0.2">
      <c r="A1600" s="17" t="s">
        <v>2175</v>
      </c>
      <c r="B1600" s="18" t="s">
        <v>1902</v>
      </c>
      <c r="C1600" s="5">
        <v>35</v>
      </c>
      <c r="D1600" s="5" t="s">
        <v>1485</v>
      </c>
    </row>
    <row r="1601" spans="1:4" x14ac:dyDescent="0.2">
      <c r="A1601" s="17" t="s">
        <v>2176</v>
      </c>
      <c r="B1601" s="18" t="s">
        <v>1902</v>
      </c>
      <c r="C1601" s="5">
        <v>35</v>
      </c>
      <c r="D1601" s="5" t="s">
        <v>1485</v>
      </c>
    </row>
    <row r="1602" spans="1:4" x14ac:dyDescent="0.2">
      <c r="A1602" s="17" t="s">
        <v>2177</v>
      </c>
      <c r="B1602" s="18" t="s">
        <v>1902</v>
      </c>
      <c r="C1602" s="5">
        <v>35</v>
      </c>
      <c r="D1602" s="5" t="s">
        <v>1485</v>
      </c>
    </row>
    <row r="1603" spans="1:4" x14ac:dyDescent="0.2">
      <c r="A1603" s="17" t="s">
        <v>2178</v>
      </c>
      <c r="B1603" s="18" t="s">
        <v>1902</v>
      </c>
      <c r="C1603" s="5">
        <v>35</v>
      </c>
      <c r="D1603" s="5" t="s">
        <v>1485</v>
      </c>
    </row>
    <row r="1604" spans="1:4" x14ac:dyDescent="0.2">
      <c r="A1604" s="17" t="s">
        <v>2179</v>
      </c>
      <c r="B1604" s="18" t="s">
        <v>1902</v>
      </c>
      <c r="C1604" s="5">
        <v>35</v>
      </c>
      <c r="D1604" s="5" t="s">
        <v>1485</v>
      </c>
    </row>
    <row r="1605" spans="1:4" x14ac:dyDescent="0.2">
      <c r="A1605" s="17" t="s">
        <v>2180</v>
      </c>
      <c r="B1605" s="18" t="s">
        <v>1902</v>
      </c>
      <c r="C1605" s="5">
        <v>35</v>
      </c>
      <c r="D1605" s="5" t="s">
        <v>1485</v>
      </c>
    </row>
    <row r="1606" spans="1:4" x14ac:dyDescent="0.2">
      <c r="A1606" s="17" t="s">
        <v>2181</v>
      </c>
      <c r="B1606" s="18" t="s">
        <v>1902</v>
      </c>
      <c r="C1606" s="5">
        <v>35</v>
      </c>
      <c r="D1606" s="5" t="s">
        <v>1485</v>
      </c>
    </row>
    <row r="1607" spans="1:4" x14ac:dyDescent="0.2">
      <c r="A1607" s="17" t="s">
        <v>2182</v>
      </c>
      <c r="B1607" s="18" t="s">
        <v>1902</v>
      </c>
      <c r="C1607" s="5">
        <v>35</v>
      </c>
      <c r="D1607" s="5" t="s">
        <v>1485</v>
      </c>
    </row>
    <row r="1608" spans="1:4" x14ac:dyDescent="0.2">
      <c r="A1608" s="17" t="s">
        <v>2183</v>
      </c>
      <c r="B1608" s="18" t="s">
        <v>1902</v>
      </c>
      <c r="C1608" s="5">
        <v>35</v>
      </c>
      <c r="D1608" s="5" t="s">
        <v>1485</v>
      </c>
    </row>
    <row r="1609" spans="1:4" x14ac:dyDescent="0.2">
      <c r="A1609" s="17" t="s">
        <v>2184</v>
      </c>
      <c r="B1609" s="18" t="s">
        <v>1902</v>
      </c>
      <c r="C1609" s="5">
        <v>35</v>
      </c>
      <c r="D1609" s="5" t="s">
        <v>1485</v>
      </c>
    </row>
    <row r="1610" spans="1:4" x14ac:dyDescent="0.2">
      <c r="A1610" s="17" t="s">
        <v>2185</v>
      </c>
      <c r="B1610" s="18" t="s">
        <v>1902</v>
      </c>
      <c r="C1610" s="5">
        <v>35</v>
      </c>
      <c r="D1610" s="5" t="s">
        <v>1485</v>
      </c>
    </row>
    <row r="1611" spans="1:4" x14ac:dyDescent="0.2">
      <c r="A1611" s="17" t="s">
        <v>2186</v>
      </c>
      <c r="B1611" s="18" t="s">
        <v>1902</v>
      </c>
      <c r="C1611" s="5">
        <v>35</v>
      </c>
      <c r="D1611" s="5" t="s">
        <v>1485</v>
      </c>
    </row>
    <row r="1612" spans="1:4" x14ac:dyDescent="0.2">
      <c r="A1612" s="17" t="s">
        <v>2187</v>
      </c>
      <c r="B1612" s="18" t="s">
        <v>1902</v>
      </c>
      <c r="C1612" s="5">
        <v>35</v>
      </c>
      <c r="D1612" s="5" t="s">
        <v>1485</v>
      </c>
    </row>
    <row r="1613" spans="1:4" x14ac:dyDescent="0.2">
      <c r="A1613" s="17" t="s">
        <v>220</v>
      </c>
      <c r="B1613" s="18" t="s">
        <v>1902</v>
      </c>
      <c r="C1613" s="5">
        <v>35</v>
      </c>
      <c r="D1613" s="5" t="s">
        <v>1485</v>
      </c>
    </row>
    <row r="1614" spans="1:4" x14ac:dyDescent="0.2">
      <c r="A1614" s="17" t="s">
        <v>2188</v>
      </c>
      <c r="B1614" s="18" t="s">
        <v>1902</v>
      </c>
      <c r="C1614" s="5">
        <v>35</v>
      </c>
      <c r="D1614" s="5" t="s">
        <v>1485</v>
      </c>
    </row>
    <row r="1615" spans="1:4" x14ac:dyDescent="0.2">
      <c r="A1615" s="17" t="s">
        <v>2189</v>
      </c>
      <c r="B1615" s="18" t="s">
        <v>1902</v>
      </c>
      <c r="C1615" s="5">
        <v>35</v>
      </c>
      <c r="D1615" s="5" t="s">
        <v>1485</v>
      </c>
    </row>
    <row r="1616" spans="1:4" x14ac:dyDescent="0.2">
      <c r="A1616" s="17" t="s">
        <v>2190</v>
      </c>
      <c r="B1616" s="18" t="s">
        <v>1902</v>
      </c>
      <c r="C1616" s="5">
        <v>35</v>
      </c>
      <c r="D1616" s="5" t="s">
        <v>1485</v>
      </c>
    </row>
    <row r="1617" spans="1:4" x14ac:dyDescent="0.2">
      <c r="A1617" s="17" t="s">
        <v>2191</v>
      </c>
      <c r="B1617" s="18" t="s">
        <v>1902</v>
      </c>
      <c r="C1617" s="5">
        <v>35</v>
      </c>
      <c r="D1617" s="5" t="s">
        <v>1485</v>
      </c>
    </row>
    <row r="1618" spans="1:4" x14ac:dyDescent="0.2">
      <c r="A1618" s="17" t="s">
        <v>2192</v>
      </c>
      <c r="B1618" s="18" t="s">
        <v>1902</v>
      </c>
      <c r="C1618" s="5">
        <v>35</v>
      </c>
      <c r="D1618" s="5" t="s">
        <v>1485</v>
      </c>
    </row>
    <row r="1619" spans="1:4" x14ac:dyDescent="0.2">
      <c r="A1619" s="17" t="s">
        <v>2193</v>
      </c>
      <c r="B1619" s="18" t="s">
        <v>1902</v>
      </c>
      <c r="C1619" s="5">
        <v>35</v>
      </c>
      <c r="D1619" s="5" t="s">
        <v>1485</v>
      </c>
    </row>
    <row r="1620" spans="1:4" x14ac:dyDescent="0.2">
      <c r="A1620" s="17" t="s">
        <v>2194</v>
      </c>
      <c r="B1620" s="18" t="s">
        <v>1902</v>
      </c>
      <c r="C1620" s="5">
        <v>35</v>
      </c>
      <c r="D1620" s="5" t="s">
        <v>1485</v>
      </c>
    </row>
    <row r="1621" spans="1:4" x14ac:dyDescent="0.2">
      <c r="A1621" s="17" t="s">
        <v>2195</v>
      </c>
      <c r="B1621" s="18" t="s">
        <v>1902</v>
      </c>
      <c r="C1621" s="5">
        <v>35</v>
      </c>
      <c r="D1621" s="5" t="s">
        <v>1485</v>
      </c>
    </row>
    <row r="1622" spans="1:4" x14ac:dyDescent="0.2">
      <c r="A1622" s="17" t="s">
        <v>2196</v>
      </c>
      <c r="B1622" s="18" t="s">
        <v>1902</v>
      </c>
      <c r="C1622" s="5">
        <v>35</v>
      </c>
      <c r="D1622" s="5" t="s">
        <v>1485</v>
      </c>
    </row>
    <row r="1623" spans="1:4" x14ac:dyDescent="0.2">
      <c r="A1623" s="17" t="s">
        <v>2197</v>
      </c>
      <c r="B1623" s="18" t="s">
        <v>1902</v>
      </c>
      <c r="C1623" s="5">
        <v>35</v>
      </c>
      <c r="D1623" s="5" t="s">
        <v>1485</v>
      </c>
    </row>
    <row r="1624" spans="1:4" x14ac:dyDescent="0.2">
      <c r="A1624" s="17" t="s">
        <v>2198</v>
      </c>
      <c r="B1624" s="18" t="s">
        <v>1902</v>
      </c>
      <c r="C1624" s="5">
        <v>35</v>
      </c>
      <c r="D1624" s="5" t="s">
        <v>1485</v>
      </c>
    </row>
    <row r="1625" spans="1:4" x14ac:dyDescent="0.2">
      <c r="A1625" s="17" t="s">
        <v>2199</v>
      </c>
      <c r="B1625" s="18" t="s">
        <v>1902</v>
      </c>
      <c r="C1625" s="5">
        <v>35</v>
      </c>
      <c r="D1625" s="5" t="s">
        <v>1485</v>
      </c>
    </row>
    <row r="1626" spans="1:4" x14ac:dyDescent="0.2">
      <c r="A1626" s="17" t="s">
        <v>2200</v>
      </c>
      <c r="B1626" s="18" t="s">
        <v>1902</v>
      </c>
      <c r="C1626" s="5">
        <v>35</v>
      </c>
      <c r="D1626" s="5" t="s">
        <v>1485</v>
      </c>
    </row>
    <row r="1627" spans="1:4" x14ac:dyDescent="0.2">
      <c r="A1627" s="17" t="s">
        <v>2201</v>
      </c>
      <c r="B1627" s="18" t="s">
        <v>1902</v>
      </c>
      <c r="C1627" s="5">
        <v>35</v>
      </c>
      <c r="D1627" s="5" t="s">
        <v>1485</v>
      </c>
    </row>
    <row r="1628" spans="1:4" x14ac:dyDescent="0.2">
      <c r="A1628" s="17" t="s">
        <v>2202</v>
      </c>
      <c r="B1628" s="18" t="s">
        <v>1902</v>
      </c>
      <c r="C1628" s="5">
        <v>35</v>
      </c>
      <c r="D1628" s="5" t="s">
        <v>1485</v>
      </c>
    </row>
    <row r="1629" spans="1:4" x14ac:dyDescent="0.2">
      <c r="A1629" s="17" t="s">
        <v>2203</v>
      </c>
      <c r="B1629" s="18" t="s">
        <v>1902</v>
      </c>
      <c r="C1629" s="5">
        <v>35</v>
      </c>
      <c r="D1629" s="5" t="s">
        <v>1485</v>
      </c>
    </row>
    <row r="1630" spans="1:4" x14ac:dyDescent="0.2">
      <c r="A1630" s="17" t="s">
        <v>2204</v>
      </c>
      <c r="B1630" s="18" t="s">
        <v>1902</v>
      </c>
      <c r="C1630" s="5">
        <v>35</v>
      </c>
      <c r="D1630" s="5" t="s">
        <v>1485</v>
      </c>
    </row>
    <row r="1631" spans="1:4" x14ac:dyDescent="0.2">
      <c r="A1631" s="17" t="s">
        <v>2205</v>
      </c>
      <c r="B1631" s="18" t="s">
        <v>1902</v>
      </c>
      <c r="C1631" s="5">
        <v>35</v>
      </c>
      <c r="D1631" s="5" t="s">
        <v>1485</v>
      </c>
    </row>
    <row r="1632" spans="1:4" x14ac:dyDescent="0.2">
      <c r="A1632" s="17" t="s">
        <v>2206</v>
      </c>
      <c r="B1632" s="18" t="s">
        <v>1902</v>
      </c>
      <c r="C1632" s="5">
        <v>35</v>
      </c>
      <c r="D1632" s="5" t="s">
        <v>1485</v>
      </c>
    </row>
    <row r="1633" spans="1:4" x14ac:dyDescent="0.2">
      <c r="A1633" s="17" t="s">
        <v>2207</v>
      </c>
      <c r="B1633" s="18" t="s">
        <v>1902</v>
      </c>
      <c r="C1633" s="5">
        <v>35</v>
      </c>
      <c r="D1633" s="5" t="s">
        <v>1485</v>
      </c>
    </row>
    <row r="1634" spans="1:4" x14ac:dyDescent="0.2">
      <c r="A1634" s="17" t="s">
        <v>2208</v>
      </c>
      <c r="B1634" s="18" t="s">
        <v>1902</v>
      </c>
      <c r="C1634" s="5">
        <v>35</v>
      </c>
      <c r="D1634" s="5" t="s">
        <v>1485</v>
      </c>
    </row>
    <row r="1635" spans="1:4" x14ac:dyDescent="0.2">
      <c r="A1635" s="17" t="s">
        <v>2209</v>
      </c>
      <c r="B1635" s="18" t="s">
        <v>1902</v>
      </c>
      <c r="C1635" s="5">
        <v>35</v>
      </c>
      <c r="D1635" s="5" t="s">
        <v>1485</v>
      </c>
    </row>
    <row r="1636" spans="1:4" x14ac:dyDescent="0.2">
      <c r="A1636" s="17" t="s">
        <v>2210</v>
      </c>
      <c r="B1636" s="18" t="s">
        <v>1902</v>
      </c>
      <c r="C1636" s="5">
        <v>35</v>
      </c>
      <c r="D1636" s="5" t="s">
        <v>1485</v>
      </c>
    </row>
    <row r="1637" spans="1:4" x14ac:dyDescent="0.2">
      <c r="A1637" s="17" t="s">
        <v>2211</v>
      </c>
      <c r="B1637" s="18" t="s">
        <v>1902</v>
      </c>
      <c r="C1637" s="5">
        <v>35</v>
      </c>
      <c r="D1637" s="5" t="s">
        <v>1485</v>
      </c>
    </row>
    <row r="1638" spans="1:4" x14ac:dyDescent="0.2">
      <c r="A1638" s="17" t="s">
        <v>2212</v>
      </c>
      <c r="B1638" s="18" t="s">
        <v>1902</v>
      </c>
      <c r="C1638" s="5">
        <v>35</v>
      </c>
      <c r="D1638" s="5" t="s">
        <v>1485</v>
      </c>
    </row>
    <row r="1639" spans="1:4" x14ac:dyDescent="0.2">
      <c r="A1639" s="17" t="s">
        <v>2213</v>
      </c>
      <c r="B1639" s="18" t="s">
        <v>1902</v>
      </c>
      <c r="C1639" s="5">
        <v>35</v>
      </c>
      <c r="D1639" s="5" t="s">
        <v>1485</v>
      </c>
    </row>
    <row r="1640" spans="1:4" x14ac:dyDescent="0.2">
      <c r="A1640" s="17" t="s">
        <v>2214</v>
      </c>
      <c r="B1640" s="18" t="s">
        <v>1902</v>
      </c>
      <c r="C1640" s="5">
        <v>35</v>
      </c>
      <c r="D1640" s="5" t="s">
        <v>1485</v>
      </c>
    </row>
    <row r="1641" spans="1:4" x14ac:dyDescent="0.2">
      <c r="A1641" s="17" t="s">
        <v>2215</v>
      </c>
      <c r="B1641" s="18" t="s">
        <v>1902</v>
      </c>
      <c r="C1641" s="5">
        <v>35</v>
      </c>
      <c r="D1641" s="5" t="s">
        <v>1485</v>
      </c>
    </row>
    <row r="1642" spans="1:4" x14ac:dyDescent="0.2">
      <c r="A1642" s="17" t="s">
        <v>2216</v>
      </c>
      <c r="B1642" s="18" t="s">
        <v>1902</v>
      </c>
      <c r="C1642" s="5">
        <v>35</v>
      </c>
      <c r="D1642" s="5" t="s">
        <v>1485</v>
      </c>
    </row>
    <row r="1643" spans="1:4" x14ac:dyDescent="0.2">
      <c r="A1643" s="17" t="s">
        <v>2217</v>
      </c>
      <c r="B1643" s="18" t="s">
        <v>1902</v>
      </c>
      <c r="C1643" s="5">
        <v>35</v>
      </c>
      <c r="D1643" s="5" t="s">
        <v>1485</v>
      </c>
    </row>
    <row r="1644" spans="1:4" x14ac:dyDescent="0.2">
      <c r="A1644" s="17" t="s">
        <v>2218</v>
      </c>
      <c r="B1644" s="18" t="s">
        <v>1902</v>
      </c>
      <c r="C1644" s="5">
        <v>35</v>
      </c>
      <c r="D1644" s="5" t="s">
        <v>1485</v>
      </c>
    </row>
    <row r="1645" spans="1:4" x14ac:dyDescent="0.2">
      <c r="A1645" s="17" t="s">
        <v>2219</v>
      </c>
      <c r="B1645" s="18" t="s">
        <v>1902</v>
      </c>
      <c r="C1645" s="5">
        <v>35</v>
      </c>
      <c r="D1645" s="5" t="s">
        <v>1485</v>
      </c>
    </row>
    <row r="1646" spans="1:4" x14ac:dyDescent="0.2">
      <c r="A1646" s="17" t="s">
        <v>2220</v>
      </c>
      <c r="B1646" s="18" t="s">
        <v>1902</v>
      </c>
      <c r="C1646" s="5">
        <v>35</v>
      </c>
      <c r="D1646" s="5" t="s">
        <v>1485</v>
      </c>
    </row>
    <row r="1647" spans="1:4" x14ac:dyDescent="0.2">
      <c r="A1647" s="17" t="s">
        <v>2221</v>
      </c>
      <c r="B1647" s="18" t="s">
        <v>1902</v>
      </c>
      <c r="C1647" s="5">
        <v>35</v>
      </c>
      <c r="D1647" s="5" t="s">
        <v>1485</v>
      </c>
    </row>
    <row r="1648" spans="1:4" x14ac:dyDescent="0.2">
      <c r="A1648" s="17" t="s">
        <v>2222</v>
      </c>
      <c r="B1648" s="18" t="s">
        <v>1902</v>
      </c>
      <c r="C1648" s="5">
        <v>35</v>
      </c>
      <c r="D1648" s="5" t="s">
        <v>1485</v>
      </c>
    </row>
    <row r="1649" spans="1:4" x14ac:dyDescent="0.2">
      <c r="A1649" s="17" t="s">
        <v>2223</v>
      </c>
      <c r="B1649" s="18" t="s">
        <v>1902</v>
      </c>
      <c r="C1649" s="5">
        <v>35</v>
      </c>
      <c r="D1649" s="5" t="s">
        <v>1485</v>
      </c>
    </row>
    <row r="1650" spans="1:4" x14ac:dyDescent="0.2">
      <c r="A1650" s="17" t="s">
        <v>2224</v>
      </c>
      <c r="B1650" s="18" t="s">
        <v>1902</v>
      </c>
      <c r="C1650" s="5">
        <v>35</v>
      </c>
      <c r="D1650" s="5" t="s">
        <v>1485</v>
      </c>
    </row>
    <row r="1651" spans="1:4" x14ac:dyDescent="0.2">
      <c r="A1651" s="17" t="s">
        <v>2225</v>
      </c>
      <c r="B1651" s="18" t="s">
        <v>1902</v>
      </c>
      <c r="C1651" s="5">
        <v>35</v>
      </c>
      <c r="D1651" s="5" t="s">
        <v>1485</v>
      </c>
    </row>
    <row r="1652" spans="1:4" x14ac:dyDescent="0.2">
      <c r="A1652" s="17" t="s">
        <v>2226</v>
      </c>
      <c r="B1652" s="18" t="s">
        <v>1902</v>
      </c>
      <c r="C1652" s="5">
        <v>35</v>
      </c>
      <c r="D1652" s="5" t="s">
        <v>1485</v>
      </c>
    </row>
    <row r="1653" spans="1:4" x14ac:dyDescent="0.2">
      <c r="A1653" s="17" t="s">
        <v>2227</v>
      </c>
      <c r="B1653" s="18" t="s">
        <v>1902</v>
      </c>
      <c r="C1653" s="5">
        <v>35</v>
      </c>
      <c r="D1653" s="5" t="s">
        <v>1485</v>
      </c>
    </row>
    <row r="1654" spans="1:4" x14ac:dyDescent="0.2">
      <c r="A1654" s="17" t="s">
        <v>2228</v>
      </c>
      <c r="B1654" s="18" t="s">
        <v>1902</v>
      </c>
      <c r="C1654" s="5">
        <v>35</v>
      </c>
      <c r="D1654" s="5" t="s">
        <v>1485</v>
      </c>
    </row>
    <row r="1655" spans="1:4" x14ac:dyDescent="0.2">
      <c r="A1655" s="17" t="s">
        <v>2229</v>
      </c>
      <c r="B1655" s="18" t="s">
        <v>1902</v>
      </c>
      <c r="C1655" s="5">
        <v>35</v>
      </c>
      <c r="D1655" s="5" t="s">
        <v>1485</v>
      </c>
    </row>
    <row r="1656" spans="1:4" x14ac:dyDescent="0.2">
      <c r="A1656" s="17" t="s">
        <v>2230</v>
      </c>
      <c r="B1656" s="18" t="s">
        <v>1902</v>
      </c>
      <c r="C1656" s="5">
        <v>35</v>
      </c>
      <c r="D1656" s="5" t="s">
        <v>1485</v>
      </c>
    </row>
    <row r="1657" spans="1:4" x14ac:dyDescent="0.2">
      <c r="A1657" s="17" t="s">
        <v>2231</v>
      </c>
      <c r="B1657" s="18" t="s">
        <v>1902</v>
      </c>
      <c r="C1657" s="5">
        <v>35</v>
      </c>
      <c r="D1657" s="5" t="s">
        <v>1485</v>
      </c>
    </row>
    <row r="1658" spans="1:4" x14ac:dyDescent="0.2">
      <c r="A1658" s="17" t="s">
        <v>2232</v>
      </c>
      <c r="B1658" s="18" t="s">
        <v>1902</v>
      </c>
      <c r="C1658" s="5">
        <v>35</v>
      </c>
      <c r="D1658" s="5" t="s">
        <v>1485</v>
      </c>
    </row>
    <row r="1659" spans="1:4" x14ac:dyDescent="0.2">
      <c r="A1659" s="17" t="s">
        <v>2233</v>
      </c>
      <c r="B1659" s="18" t="s">
        <v>1902</v>
      </c>
      <c r="C1659" s="5">
        <v>35</v>
      </c>
      <c r="D1659" s="5" t="s">
        <v>1485</v>
      </c>
    </row>
    <row r="1660" spans="1:4" x14ac:dyDescent="0.2">
      <c r="A1660" s="17" t="s">
        <v>2234</v>
      </c>
      <c r="B1660" s="18" t="s">
        <v>1902</v>
      </c>
      <c r="C1660" s="5">
        <v>35</v>
      </c>
      <c r="D1660" s="5" t="s">
        <v>1485</v>
      </c>
    </row>
    <row r="1661" spans="1:4" x14ac:dyDescent="0.2">
      <c r="A1661" s="17" t="s">
        <v>2235</v>
      </c>
      <c r="B1661" s="18" t="s">
        <v>1902</v>
      </c>
      <c r="C1661" s="5">
        <v>35</v>
      </c>
      <c r="D1661" s="5" t="s">
        <v>1485</v>
      </c>
    </row>
    <row r="1662" spans="1:4" x14ac:dyDescent="0.2">
      <c r="A1662" s="17" t="s">
        <v>2236</v>
      </c>
      <c r="B1662" s="18" t="s">
        <v>1902</v>
      </c>
      <c r="C1662" s="5">
        <v>35</v>
      </c>
      <c r="D1662" s="5" t="s">
        <v>1485</v>
      </c>
    </row>
    <row r="1663" spans="1:4" x14ac:dyDescent="0.2">
      <c r="A1663" s="17" t="s">
        <v>2237</v>
      </c>
      <c r="B1663" s="18" t="s">
        <v>1902</v>
      </c>
      <c r="C1663" s="5">
        <v>35</v>
      </c>
      <c r="D1663" s="5" t="s">
        <v>1485</v>
      </c>
    </row>
    <row r="1664" spans="1:4" x14ac:dyDescent="0.2">
      <c r="A1664" s="17" t="s">
        <v>2238</v>
      </c>
      <c r="B1664" s="18" t="s">
        <v>1902</v>
      </c>
      <c r="C1664" s="5">
        <v>35</v>
      </c>
      <c r="D1664" s="5" t="s">
        <v>1485</v>
      </c>
    </row>
    <row r="1665" spans="1:4" x14ac:dyDescent="0.2">
      <c r="A1665" s="17" t="s">
        <v>2239</v>
      </c>
      <c r="B1665" s="18" t="s">
        <v>1902</v>
      </c>
      <c r="C1665" s="5">
        <v>35</v>
      </c>
      <c r="D1665" s="5" t="s">
        <v>1485</v>
      </c>
    </row>
    <row r="1666" spans="1:4" x14ac:dyDescent="0.2">
      <c r="A1666" s="17" t="s">
        <v>2240</v>
      </c>
      <c r="B1666" s="18" t="s">
        <v>1902</v>
      </c>
      <c r="C1666" s="5">
        <v>35</v>
      </c>
      <c r="D1666" s="5" t="s">
        <v>1485</v>
      </c>
    </row>
    <row r="1667" spans="1:4" x14ac:dyDescent="0.2">
      <c r="A1667" s="17" t="s">
        <v>2241</v>
      </c>
      <c r="B1667" s="18" t="s">
        <v>1902</v>
      </c>
      <c r="C1667" s="5">
        <v>35</v>
      </c>
      <c r="D1667" s="5" t="s">
        <v>1485</v>
      </c>
    </row>
    <row r="1668" spans="1:4" x14ac:dyDescent="0.2">
      <c r="A1668" s="17" t="s">
        <v>2242</v>
      </c>
      <c r="B1668" s="18" t="s">
        <v>1902</v>
      </c>
      <c r="C1668" s="5">
        <v>35</v>
      </c>
      <c r="D1668" s="5" t="s">
        <v>1485</v>
      </c>
    </row>
    <row r="1669" spans="1:4" x14ac:dyDescent="0.2">
      <c r="A1669" s="17" t="s">
        <v>2243</v>
      </c>
      <c r="B1669" s="18" t="s">
        <v>1902</v>
      </c>
      <c r="C1669" s="5">
        <v>35</v>
      </c>
      <c r="D1669" s="5" t="s">
        <v>1485</v>
      </c>
    </row>
    <row r="1670" spans="1:4" x14ac:dyDescent="0.2">
      <c r="A1670" s="17" t="s">
        <v>2244</v>
      </c>
      <c r="B1670" s="18" t="s">
        <v>1902</v>
      </c>
      <c r="C1670" s="5">
        <v>35</v>
      </c>
      <c r="D1670" s="5" t="s">
        <v>1485</v>
      </c>
    </row>
    <row r="1671" spans="1:4" x14ac:dyDescent="0.2">
      <c r="A1671" s="17" t="s">
        <v>2245</v>
      </c>
      <c r="B1671" s="18" t="s">
        <v>1902</v>
      </c>
      <c r="C1671" s="5">
        <v>35</v>
      </c>
      <c r="D1671" s="5" t="s">
        <v>1485</v>
      </c>
    </row>
    <row r="1672" spans="1:4" x14ac:dyDescent="0.2">
      <c r="A1672" s="17" t="s">
        <v>2246</v>
      </c>
      <c r="B1672" s="18" t="s">
        <v>1902</v>
      </c>
      <c r="C1672" s="5">
        <v>35</v>
      </c>
      <c r="D1672" s="5" t="s">
        <v>1485</v>
      </c>
    </row>
    <row r="1673" spans="1:4" x14ac:dyDescent="0.2">
      <c r="A1673" s="17" t="s">
        <v>2247</v>
      </c>
      <c r="B1673" s="18" t="s">
        <v>1902</v>
      </c>
      <c r="C1673" s="5">
        <v>35</v>
      </c>
      <c r="D1673" s="5" t="s">
        <v>1485</v>
      </c>
    </row>
    <row r="1674" spans="1:4" x14ac:dyDescent="0.2">
      <c r="A1674" s="17" t="s">
        <v>2248</v>
      </c>
      <c r="B1674" s="18" t="s">
        <v>1902</v>
      </c>
      <c r="C1674" s="5">
        <v>35</v>
      </c>
      <c r="D1674" s="5" t="s">
        <v>1485</v>
      </c>
    </row>
    <row r="1675" spans="1:4" x14ac:dyDescent="0.2">
      <c r="A1675" s="17" t="s">
        <v>2249</v>
      </c>
      <c r="B1675" s="18" t="s">
        <v>1902</v>
      </c>
      <c r="C1675" s="5">
        <v>35</v>
      </c>
      <c r="D1675" s="5" t="s">
        <v>1485</v>
      </c>
    </row>
    <row r="1676" spans="1:4" x14ac:dyDescent="0.2">
      <c r="A1676" s="17" t="s">
        <v>2250</v>
      </c>
      <c r="B1676" s="18" t="s">
        <v>1902</v>
      </c>
      <c r="C1676" s="5">
        <v>35</v>
      </c>
      <c r="D1676" s="5" t="s">
        <v>1485</v>
      </c>
    </row>
    <row r="1677" spans="1:4" x14ac:dyDescent="0.2">
      <c r="A1677" s="17" t="s">
        <v>2251</v>
      </c>
      <c r="B1677" s="18" t="s">
        <v>1902</v>
      </c>
      <c r="C1677" s="5">
        <v>35</v>
      </c>
      <c r="D1677" s="5" t="s">
        <v>1485</v>
      </c>
    </row>
    <row r="1678" spans="1:4" x14ac:dyDescent="0.2">
      <c r="A1678" s="17" t="s">
        <v>2252</v>
      </c>
      <c r="B1678" s="18" t="s">
        <v>1902</v>
      </c>
      <c r="C1678" s="5">
        <v>35</v>
      </c>
      <c r="D1678" s="5" t="s">
        <v>1485</v>
      </c>
    </row>
    <row r="1679" spans="1:4" x14ac:dyDescent="0.2">
      <c r="A1679" s="17" t="s">
        <v>2253</v>
      </c>
      <c r="B1679" s="18" t="s">
        <v>1902</v>
      </c>
      <c r="C1679" s="5">
        <v>35</v>
      </c>
      <c r="D1679" s="5" t="s">
        <v>1485</v>
      </c>
    </row>
    <row r="1680" spans="1:4" x14ac:dyDescent="0.2">
      <c r="A1680" s="17" t="s">
        <v>2254</v>
      </c>
      <c r="B1680" s="18" t="s">
        <v>1902</v>
      </c>
      <c r="C1680" s="5">
        <v>35</v>
      </c>
      <c r="D1680" s="5" t="s">
        <v>1485</v>
      </c>
    </row>
    <row r="1681" spans="1:4" x14ac:dyDescent="0.2">
      <c r="A1681" s="17" t="s">
        <v>2255</v>
      </c>
      <c r="B1681" s="18" t="s">
        <v>1902</v>
      </c>
      <c r="C1681" s="5">
        <v>35</v>
      </c>
      <c r="D1681" s="5" t="s">
        <v>1485</v>
      </c>
    </row>
    <row r="1682" spans="1:4" x14ac:dyDescent="0.2">
      <c r="A1682" s="17" t="s">
        <v>2256</v>
      </c>
      <c r="B1682" s="18" t="s">
        <v>1902</v>
      </c>
      <c r="C1682" s="5">
        <v>35</v>
      </c>
      <c r="D1682" s="5" t="s">
        <v>1485</v>
      </c>
    </row>
    <row r="1683" spans="1:4" x14ac:dyDescent="0.2">
      <c r="A1683" s="17" t="s">
        <v>2257</v>
      </c>
      <c r="B1683" s="18" t="s">
        <v>1902</v>
      </c>
      <c r="C1683" s="5">
        <v>35</v>
      </c>
      <c r="D1683" s="5" t="s">
        <v>1485</v>
      </c>
    </row>
    <row r="1684" spans="1:4" x14ac:dyDescent="0.2">
      <c r="A1684" s="17" t="s">
        <v>2258</v>
      </c>
      <c r="B1684" s="18" t="s">
        <v>1902</v>
      </c>
      <c r="C1684" s="5">
        <v>35</v>
      </c>
      <c r="D1684" s="5" t="s">
        <v>1485</v>
      </c>
    </row>
    <row r="1685" spans="1:4" x14ac:dyDescent="0.2">
      <c r="A1685" s="17" t="s">
        <v>2259</v>
      </c>
      <c r="B1685" s="18" t="s">
        <v>1902</v>
      </c>
      <c r="C1685" s="5">
        <v>35</v>
      </c>
      <c r="D1685" s="5" t="s">
        <v>1485</v>
      </c>
    </row>
    <row r="1686" spans="1:4" x14ac:dyDescent="0.2">
      <c r="A1686" s="17" t="s">
        <v>2260</v>
      </c>
      <c r="B1686" s="18" t="s">
        <v>1902</v>
      </c>
      <c r="C1686" s="5">
        <v>35</v>
      </c>
      <c r="D1686" s="5" t="s">
        <v>1485</v>
      </c>
    </row>
    <row r="1687" spans="1:4" x14ac:dyDescent="0.2">
      <c r="A1687" s="17" t="s">
        <v>2261</v>
      </c>
      <c r="B1687" s="18" t="s">
        <v>1902</v>
      </c>
      <c r="C1687" s="5">
        <v>35</v>
      </c>
      <c r="D1687" s="5" t="s">
        <v>1485</v>
      </c>
    </row>
    <row r="1688" spans="1:4" x14ac:dyDescent="0.2">
      <c r="A1688" s="17" t="s">
        <v>2262</v>
      </c>
      <c r="B1688" s="18" t="s">
        <v>1902</v>
      </c>
      <c r="C1688" s="5">
        <v>35</v>
      </c>
      <c r="D1688" s="5" t="s">
        <v>1485</v>
      </c>
    </row>
    <row r="1689" spans="1:4" x14ac:dyDescent="0.2">
      <c r="A1689" s="17" t="s">
        <v>2263</v>
      </c>
      <c r="B1689" s="18" t="s">
        <v>1902</v>
      </c>
      <c r="C1689" s="5">
        <v>35</v>
      </c>
      <c r="D1689" s="5" t="s">
        <v>1485</v>
      </c>
    </row>
    <row r="1690" spans="1:4" x14ac:dyDescent="0.2">
      <c r="A1690" s="17" t="s">
        <v>2264</v>
      </c>
      <c r="B1690" s="18" t="s">
        <v>1902</v>
      </c>
      <c r="C1690" s="5">
        <v>35</v>
      </c>
      <c r="D1690" s="5" t="s">
        <v>1485</v>
      </c>
    </row>
    <row r="1691" spans="1:4" x14ac:dyDescent="0.2">
      <c r="A1691" s="17" t="s">
        <v>2265</v>
      </c>
      <c r="B1691" s="18" t="s">
        <v>1902</v>
      </c>
      <c r="C1691" s="5">
        <v>35</v>
      </c>
      <c r="D1691" s="5" t="s">
        <v>1485</v>
      </c>
    </row>
    <row r="1692" spans="1:4" x14ac:dyDescent="0.2">
      <c r="A1692" s="17" t="s">
        <v>2266</v>
      </c>
      <c r="B1692" s="18" t="s">
        <v>1902</v>
      </c>
      <c r="C1692" s="5">
        <v>35</v>
      </c>
      <c r="D1692" s="5" t="s">
        <v>1485</v>
      </c>
    </row>
    <row r="1693" spans="1:4" x14ac:dyDescent="0.2">
      <c r="A1693" s="17" t="s">
        <v>2267</v>
      </c>
      <c r="B1693" s="18" t="s">
        <v>1902</v>
      </c>
      <c r="C1693" s="5">
        <v>35</v>
      </c>
      <c r="D1693" s="5" t="s">
        <v>1485</v>
      </c>
    </row>
    <row r="1694" spans="1:4" x14ac:dyDescent="0.2">
      <c r="A1694" s="17" t="s">
        <v>2268</v>
      </c>
      <c r="B1694" s="18" t="s">
        <v>1902</v>
      </c>
      <c r="C1694" s="5">
        <v>35</v>
      </c>
      <c r="D1694" s="5" t="s">
        <v>1485</v>
      </c>
    </row>
    <row r="1695" spans="1:4" x14ac:dyDescent="0.2">
      <c r="A1695" s="17" t="s">
        <v>2269</v>
      </c>
      <c r="B1695" s="18" t="s">
        <v>1902</v>
      </c>
      <c r="C1695" s="5">
        <v>35</v>
      </c>
      <c r="D1695" s="5" t="s">
        <v>1485</v>
      </c>
    </row>
    <row r="1696" spans="1:4" x14ac:dyDescent="0.2">
      <c r="A1696" s="17" t="s">
        <v>2270</v>
      </c>
      <c r="B1696" s="18" t="s">
        <v>1902</v>
      </c>
      <c r="C1696" s="5">
        <v>35</v>
      </c>
      <c r="D1696" s="5" t="s">
        <v>1485</v>
      </c>
    </row>
    <row r="1697" spans="1:4" x14ac:dyDescent="0.2">
      <c r="A1697" s="17" t="s">
        <v>2271</v>
      </c>
      <c r="B1697" s="18" t="s">
        <v>1902</v>
      </c>
      <c r="C1697" s="5">
        <v>35</v>
      </c>
      <c r="D1697" s="5" t="s">
        <v>1485</v>
      </c>
    </row>
    <row r="1698" spans="1:4" x14ac:dyDescent="0.2">
      <c r="A1698" s="17" t="s">
        <v>2272</v>
      </c>
      <c r="B1698" s="18" t="s">
        <v>1902</v>
      </c>
      <c r="C1698" s="5">
        <v>35</v>
      </c>
      <c r="D1698" s="5" t="s">
        <v>1485</v>
      </c>
    </row>
    <row r="1699" spans="1:4" x14ac:dyDescent="0.2">
      <c r="A1699" s="17" t="s">
        <v>2273</v>
      </c>
      <c r="B1699" s="18" t="s">
        <v>1902</v>
      </c>
      <c r="C1699" s="5">
        <v>35</v>
      </c>
      <c r="D1699" s="5" t="s">
        <v>1485</v>
      </c>
    </row>
    <row r="1700" spans="1:4" x14ac:dyDescent="0.2">
      <c r="A1700" s="17" t="s">
        <v>2274</v>
      </c>
      <c r="B1700" s="18" t="s">
        <v>1902</v>
      </c>
      <c r="C1700" s="5">
        <v>35</v>
      </c>
      <c r="D1700" s="5" t="s">
        <v>1485</v>
      </c>
    </row>
    <row r="1701" spans="1:4" x14ac:dyDescent="0.2">
      <c r="A1701" s="17" t="s">
        <v>2275</v>
      </c>
      <c r="B1701" s="18" t="s">
        <v>1902</v>
      </c>
      <c r="C1701" s="5">
        <v>35</v>
      </c>
      <c r="D1701" s="5" t="s">
        <v>1485</v>
      </c>
    </row>
    <row r="1702" spans="1:4" x14ac:dyDescent="0.2">
      <c r="A1702" s="17" t="s">
        <v>2276</v>
      </c>
      <c r="B1702" s="18" t="s">
        <v>1902</v>
      </c>
      <c r="C1702" s="5">
        <v>35</v>
      </c>
      <c r="D1702" s="5" t="s">
        <v>1485</v>
      </c>
    </row>
    <row r="1703" spans="1:4" x14ac:dyDescent="0.2">
      <c r="A1703" s="17" t="s">
        <v>2277</v>
      </c>
      <c r="B1703" s="18" t="s">
        <v>1902</v>
      </c>
      <c r="C1703" s="5">
        <v>35</v>
      </c>
      <c r="D1703" s="5" t="s">
        <v>1485</v>
      </c>
    </row>
    <row r="1704" spans="1:4" x14ac:dyDescent="0.2">
      <c r="A1704" s="17" t="s">
        <v>2278</v>
      </c>
      <c r="B1704" s="18" t="s">
        <v>1902</v>
      </c>
      <c r="C1704" s="5">
        <v>35</v>
      </c>
      <c r="D1704" s="5" t="s">
        <v>1485</v>
      </c>
    </row>
    <row r="1705" spans="1:4" x14ac:dyDescent="0.2">
      <c r="A1705" s="17" t="s">
        <v>2279</v>
      </c>
      <c r="B1705" s="18" t="s">
        <v>1902</v>
      </c>
      <c r="C1705" s="5">
        <v>35</v>
      </c>
      <c r="D1705" s="5" t="s">
        <v>1485</v>
      </c>
    </row>
    <row r="1706" spans="1:4" x14ac:dyDescent="0.2">
      <c r="A1706" s="17" t="s">
        <v>2280</v>
      </c>
      <c r="B1706" s="18" t="s">
        <v>1902</v>
      </c>
      <c r="C1706" s="5">
        <v>35</v>
      </c>
      <c r="D1706" s="5" t="s">
        <v>1485</v>
      </c>
    </row>
    <row r="1707" spans="1:4" x14ac:dyDescent="0.2">
      <c r="A1707" s="17" t="s">
        <v>2281</v>
      </c>
      <c r="B1707" s="18" t="s">
        <v>1902</v>
      </c>
      <c r="C1707" s="5">
        <v>35</v>
      </c>
      <c r="D1707" s="5" t="s">
        <v>1485</v>
      </c>
    </row>
    <row r="1708" spans="1:4" x14ac:dyDescent="0.2">
      <c r="A1708" s="17" t="s">
        <v>2282</v>
      </c>
      <c r="B1708" s="18" t="s">
        <v>1902</v>
      </c>
      <c r="C1708" s="5">
        <v>35</v>
      </c>
      <c r="D1708" s="5" t="s">
        <v>1485</v>
      </c>
    </row>
    <row r="1709" spans="1:4" x14ac:dyDescent="0.2">
      <c r="A1709" s="17" t="s">
        <v>2283</v>
      </c>
      <c r="B1709" s="18" t="s">
        <v>1902</v>
      </c>
      <c r="C1709" s="5">
        <v>35</v>
      </c>
      <c r="D1709" s="5" t="s">
        <v>1485</v>
      </c>
    </row>
    <row r="1710" spans="1:4" x14ac:dyDescent="0.2">
      <c r="A1710" s="17" t="s">
        <v>2284</v>
      </c>
      <c r="B1710" s="18" t="s">
        <v>1902</v>
      </c>
      <c r="C1710" s="5">
        <v>35</v>
      </c>
      <c r="D1710" s="5" t="s">
        <v>1485</v>
      </c>
    </row>
    <row r="1711" spans="1:4" x14ac:dyDescent="0.2">
      <c r="A1711" s="17" t="s">
        <v>2285</v>
      </c>
      <c r="B1711" s="18" t="s">
        <v>1902</v>
      </c>
      <c r="C1711" s="5">
        <v>35</v>
      </c>
      <c r="D1711" s="5" t="s">
        <v>1485</v>
      </c>
    </row>
    <row r="1712" spans="1:4" x14ac:dyDescent="0.2">
      <c r="A1712" s="17" t="s">
        <v>2286</v>
      </c>
      <c r="B1712" s="18" t="s">
        <v>1902</v>
      </c>
      <c r="C1712" s="5">
        <v>35</v>
      </c>
      <c r="D1712" s="5" t="s">
        <v>1485</v>
      </c>
    </row>
    <row r="1713" spans="1:4" x14ac:dyDescent="0.2">
      <c r="A1713" s="17" t="s">
        <v>2287</v>
      </c>
      <c r="B1713" s="18" t="s">
        <v>1902</v>
      </c>
      <c r="C1713" s="5">
        <v>35</v>
      </c>
      <c r="D1713" s="5" t="s">
        <v>1485</v>
      </c>
    </row>
    <row r="1714" spans="1:4" x14ac:dyDescent="0.2">
      <c r="A1714" s="17" t="s">
        <v>2288</v>
      </c>
      <c r="B1714" s="18" t="s">
        <v>1902</v>
      </c>
      <c r="C1714" s="5">
        <v>35</v>
      </c>
      <c r="D1714" s="5" t="s">
        <v>1485</v>
      </c>
    </row>
    <row r="1715" spans="1:4" x14ac:dyDescent="0.2">
      <c r="A1715" s="17" t="s">
        <v>2289</v>
      </c>
      <c r="B1715" s="18" t="s">
        <v>1902</v>
      </c>
      <c r="C1715" s="5">
        <v>35</v>
      </c>
      <c r="D1715" s="5" t="s">
        <v>1485</v>
      </c>
    </row>
    <row r="1716" spans="1:4" x14ac:dyDescent="0.2">
      <c r="A1716" s="17" t="s">
        <v>2290</v>
      </c>
      <c r="B1716" s="18" t="s">
        <v>1902</v>
      </c>
      <c r="C1716" s="5">
        <v>35</v>
      </c>
      <c r="D1716" s="5" t="s">
        <v>1485</v>
      </c>
    </row>
    <row r="1717" spans="1:4" x14ac:dyDescent="0.2">
      <c r="A1717" s="17" t="s">
        <v>2291</v>
      </c>
      <c r="B1717" s="18" t="s">
        <v>1902</v>
      </c>
      <c r="C1717" s="5">
        <v>35</v>
      </c>
      <c r="D1717" s="5" t="s">
        <v>1485</v>
      </c>
    </row>
    <row r="1718" spans="1:4" x14ac:dyDescent="0.2">
      <c r="A1718" s="17" t="s">
        <v>2292</v>
      </c>
      <c r="B1718" s="18" t="s">
        <v>1902</v>
      </c>
      <c r="C1718" s="5">
        <v>35</v>
      </c>
      <c r="D1718" s="5" t="s">
        <v>1485</v>
      </c>
    </row>
    <row r="1719" spans="1:4" x14ac:dyDescent="0.2">
      <c r="A1719" s="17" t="s">
        <v>2293</v>
      </c>
      <c r="B1719" s="18" t="s">
        <v>1902</v>
      </c>
      <c r="C1719" s="5">
        <v>35</v>
      </c>
      <c r="D1719" s="5" t="s">
        <v>1485</v>
      </c>
    </row>
    <row r="1720" spans="1:4" x14ac:dyDescent="0.2">
      <c r="A1720" s="17" t="s">
        <v>2294</v>
      </c>
      <c r="B1720" s="18" t="s">
        <v>1902</v>
      </c>
      <c r="C1720" s="5">
        <v>35</v>
      </c>
      <c r="D1720" s="5" t="s">
        <v>1485</v>
      </c>
    </row>
    <row r="1721" spans="1:4" x14ac:dyDescent="0.2">
      <c r="A1721" s="17" t="s">
        <v>2295</v>
      </c>
      <c r="B1721" s="18" t="s">
        <v>1902</v>
      </c>
      <c r="C1721" s="5">
        <v>35</v>
      </c>
      <c r="D1721" s="5" t="s">
        <v>1485</v>
      </c>
    </row>
    <row r="1722" spans="1:4" x14ac:dyDescent="0.2">
      <c r="A1722" s="17" t="s">
        <v>2296</v>
      </c>
      <c r="B1722" s="18" t="s">
        <v>1902</v>
      </c>
      <c r="C1722" s="5">
        <v>35</v>
      </c>
      <c r="D1722" s="5" t="s">
        <v>1485</v>
      </c>
    </row>
    <row r="1723" spans="1:4" x14ac:dyDescent="0.2">
      <c r="A1723" s="17" t="s">
        <v>2297</v>
      </c>
      <c r="B1723" s="18" t="s">
        <v>1902</v>
      </c>
      <c r="C1723" s="5">
        <v>35</v>
      </c>
      <c r="D1723" s="5" t="s">
        <v>1485</v>
      </c>
    </row>
    <row r="1724" spans="1:4" x14ac:dyDescent="0.2">
      <c r="A1724" s="17" t="s">
        <v>2298</v>
      </c>
      <c r="B1724" s="18" t="s">
        <v>1902</v>
      </c>
      <c r="C1724" s="5">
        <v>35</v>
      </c>
      <c r="D1724" s="5" t="s">
        <v>1485</v>
      </c>
    </row>
    <row r="1725" spans="1:4" x14ac:dyDescent="0.2">
      <c r="A1725" s="17" t="s">
        <v>2299</v>
      </c>
      <c r="B1725" s="18" t="s">
        <v>1902</v>
      </c>
      <c r="C1725" s="5">
        <v>35</v>
      </c>
      <c r="D1725" s="5" t="s">
        <v>1485</v>
      </c>
    </row>
    <row r="1726" spans="1:4" x14ac:dyDescent="0.2">
      <c r="A1726" s="17" t="s">
        <v>2300</v>
      </c>
      <c r="B1726" s="18" t="s">
        <v>1902</v>
      </c>
      <c r="C1726" s="5">
        <v>35</v>
      </c>
      <c r="D1726" s="5" t="s">
        <v>1485</v>
      </c>
    </row>
    <row r="1727" spans="1:4" x14ac:dyDescent="0.2">
      <c r="A1727" s="17" t="s">
        <v>2301</v>
      </c>
      <c r="B1727" s="18" t="s">
        <v>1902</v>
      </c>
      <c r="C1727" s="5">
        <v>35</v>
      </c>
      <c r="D1727" s="5" t="s">
        <v>1485</v>
      </c>
    </row>
    <row r="1728" spans="1:4" x14ac:dyDescent="0.2">
      <c r="A1728" s="17" t="s">
        <v>2302</v>
      </c>
      <c r="B1728" s="18" t="s">
        <v>1902</v>
      </c>
      <c r="C1728" s="5">
        <v>35</v>
      </c>
      <c r="D1728" s="5" t="s">
        <v>1485</v>
      </c>
    </row>
    <row r="1729" spans="1:4" x14ac:dyDescent="0.2">
      <c r="A1729" s="17" t="s">
        <v>2303</v>
      </c>
      <c r="B1729" s="18" t="s">
        <v>1902</v>
      </c>
      <c r="C1729" s="5">
        <v>35</v>
      </c>
      <c r="D1729" s="5" t="s">
        <v>1485</v>
      </c>
    </row>
    <row r="1730" spans="1:4" x14ac:dyDescent="0.2">
      <c r="A1730" s="17" t="s">
        <v>2304</v>
      </c>
      <c r="B1730" s="18" t="s">
        <v>1902</v>
      </c>
      <c r="C1730" s="5">
        <v>35</v>
      </c>
      <c r="D1730" s="5" t="s">
        <v>1485</v>
      </c>
    </row>
    <row r="1731" spans="1:4" x14ac:dyDescent="0.2">
      <c r="A1731" s="17" t="s">
        <v>2305</v>
      </c>
      <c r="B1731" s="18" t="s">
        <v>1902</v>
      </c>
      <c r="C1731" s="5">
        <v>35</v>
      </c>
      <c r="D1731" s="5" t="s">
        <v>1485</v>
      </c>
    </row>
    <row r="1732" spans="1:4" x14ac:dyDescent="0.2">
      <c r="A1732" s="17" t="s">
        <v>2306</v>
      </c>
      <c r="B1732" s="18" t="s">
        <v>1902</v>
      </c>
      <c r="C1732" s="5">
        <v>35</v>
      </c>
      <c r="D1732" s="5" t="s">
        <v>1485</v>
      </c>
    </row>
    <row r="1733" spans="1:4" x14ac:dyDescent="0.2">
      <c r="A1733" s="17" t="s">
        <v>2307</v>
      </c>
      <c r="B1733" s="18" t="s">
        <v>1902</v>
      </c>
      <c r="C1733" s="5">
        <v>35</v>
      </c>
      <c r="D1733" s="5" t="s">
        <v>1485</v>
      </c>
    </row>
    <row r="1734" spans="1:4" x14ac:dyDescent="0.2">
      <c r="A1734" s="17" t="s">
        <v>2308</v>
      </c>
      <c r="B1734" s="18" t="s">
        <v>1902</v>
      </c>
      <c r="C1734" s="5">
        <v>35</v>
      </c>
      <c r="D1734" s="5" t="s">
        <v>1485</v>
      </c>
    </row>
    <row r="1735" spans="1:4" x14ac:dyDescent="0.2">
      <c r="A1735" s="17" t="s">
        <v>2309</v>
      </c>
      <c r="B1735" s="18" t="s">
        <v>1902</v>
      </c>
      <c r="C1735" s="5">
        <v>35</v>
      </c>
      <c r="D1735" s="5" t="s">
        <v>1485</v>
      </c>
    </row>
    <row r="1736" spans="1:4" x14ac:dyDescent="0.2">
      <c r="A1736" s="17" t="s">
        <v>2310</v>
      </c>
      <c r="B1736" s="18" t="s">
        <v>1902</v>
      </c>
      <c r="C1736" s="5">
        <v>35</v>
      </c>
      <c r="D1736" s="5" t="s">
        <v>1485</v>
      </c>
    </row>
    <row r="1737" spans="1:4" x14ac:dyDescent="0.2">
      <c r="A1737" s="17" t="s">
        <v>2311</v>
      </c>
      <c r="B1737" s="18" t="s">
        <v>1902</v>
      </c>
      <c r="C1737" s="5">
        <v>35</v>
      </c>
      <c r="D1737" s="5" t="s">
        <v>1485</v>
      </c>
    </row>
    <row r="1738" spans="1:4" x14ac:dyDescent="0.2">
      <c r="A1738" s="17" t="s">
        <v>2312</v>
      </c>
      <c r="B1738" s="18" t="s">
        <v>1902</v>
      </c>
      <c r="C1738" s="5">
        <v>35</v>
      </c>
      <c r="D1738" s="5" t="s">
        <v>1485</v>
      </c>
    </row>
    <row r="1739" spans="1:4" x14ac:dyDescent="0.2">
      <c r="A1739" s="17" t="s">
        <v>2313</v>
      </c>
      <c r="B1739" s="18" t="s">
        <v>1902</v>
      </c>
      <c r="C1739" s="5">
        <v>35</v>
      </c>
      <c r="D1739" s="5" t="s">
        <v>1485</v>
      </c>
    </row>
    <row r="1740" spans="1:4" x14ac:dyDescent="0.2">
      <c r="A1740" s="17" t="s">
        <v>2314</v>
      </c>
      <c r="B1740" s="18" t="s">
        <v>1902</v>
      </c>
      <c r="C1740" s="5">
        <v>35</v>
      </c>
      <c r="D1740" s="5" t="s">
        <v>1485</v>
      </c>
    </row>
    <row r="1741" spans="1:4" x14ac:dyDescent="0.2">
      <c r="A1741" s="17" t="s">
        <v>2315</v>
      </c>
      <c r="B1741" s="18" t="s">
        <v>1902</v>
      </c>
      <c r="C1741" s="5">
        <v>35</v>
      </c>
      <c r="D1741" s="5" t="s">
        <v>1485</v>
      </c>
    </row>
    <row r="1742" spans="1:4" x14ac:dyDescent="0.2">
      <c r="A1742" s="17" t="s">
        <v>2316</v>
      </c>
      <c r="B1742" s="18" t="s">
        <v>1902</v>
      </c>
      <c r="C1742" s="5">
        <v>35</v>
      </c>
      <c r="D1742" s="5" t="s">
        <v>1485</v>
      </c>
    </row>
    <row r="1743" spans="1:4" x14ac:dyDescent="0.2">
      <c r="A1743" s="20" t="s">
        <v>2317</v>
      </c>
      <c r="B1743" s="18" t="s">
        <v>1902</v>
      </c>
      <c r="C1743" s="5">
        <v>35</v>
      </c>
      <c r="D1743" s="5" t="s">
        <v>1485</v>
      </c>
    </row>
    <row r="1744" spans="1:4" x14ac:dyDescent="0.2">
      <c r="A1744" s="20" t="s">
        <v>2318</v>
      </c>
      <c r="B1744" s="18" t="s">
        <v>1902</v>
      </c>
      <c r="C1744" s="5">
        <v>35</v>
      </c>
      <c r="D1744" s="5" t="s">
        <v>1485</v>
      </c>
    </row>
    <row r="1745" spans="1:4" x14ac:dyDescent="0.2">
      <c r="A1745" s="20" t="s">
        <v>2319</v>
      </c>
      <c r="B1745" s="18" t="s">
        <v>1902</v>
      </c>
      <c r="C1745" s="5">
        <v>35</v>
      </c>
      <c r="D1745" s="5" t="s">
        <v>1485</v>
      </c>
    </row>
    <row r="1746" spans="1:4" x14ac:dyDescent="0.2">
      <c r="A1746" s="20" t="s">
        <v>2320</v>
      </c>
      <c r="B1746" s="18" t="s">
        <v>1902</v>
      </c>
      <c r="C1746" s="5">
        <v>35</v>
      </c>
      <c r="D1746" s="5" t="s">
        <v>1485</v>
      </c>
    </row>
    <row r="1747" spans="1:4" x14ac:dyDescent="0.2">
      <c r="A1747" s="20" t="s">
        <v>2321</v>
      </c>
      <c r="B1747" s="18" t="s">
        <v>1902</v>
      </c>
      <c r="C1747" s="5">
        <v>35</v>
      </c>
      <c r="D1747" s="5" t="s">
        <v>1485</v>
      </c>
    </row>
    <row r="1748" spans="1:4" x14ac:dyDescent="0.2">
      <c r="A1748" s="20" t="s">
        <v>2322</v>
      </c>
      <c r="B1748" s="18" t="s">
        <v>1902</v>
      </c>
      <c r="C1748" s="5">
        <v>35</v>
      </c>
      <c r="D1748" s="5" t="s">
        <v>1485</v>
      </c>
    </row>
    <row r="1749" spans="1:4" x14ac:dyDescent="0.2">
      <c r="A1749" s="20" t="s">
        <v>2323</v>
      </c>
      <c r="B1749" s="18" t="s">
        <v>1902</v>
      </c>
      <c r="C1749" s="5">
        <v>35</v>
      </c>
      <c r="D1749" s="5" t="s">
        <v>1485</v>
      </c>
    </row>
    <row r="1750" spans="1:4" x14ac:dyDescent="0.2">
      <c r="A1750" s="20" t="s">
        <v>2324</v>
      </c>
      <c r="B1750" s="18" t="s">
        <v>1902</v>
      </c>
      <c r="C1750" s="5">
        <v>35</v>
      </c>
      <c r="D1750" s="5" t="s">
        <v>1485</v>
      </c>
    </row>
    <row r="1751" spans="1:4" x14ac:dyDescent="0.2">
      <c r="A1751" s="20" t="s">
        <v>2325</v>
      </c>
      <c r="B1751" s="18" t="s">
        <v>1902</v>
      </c>
      <c r="C1751" s="5">
        <v>35</v>
      </c>
      <c r="D1751" s="5" t="s">
        <v>1485</v>
      </c>
    </row>
    <row r="1752" spans="1:4" x14ac:dyDescent="0.2">
      <c r="A1752" s="20" t="s">
        <v>2326</v>
      </c>
      <c r="B1752" s="18" t="s">
        <v>1902</v>
      </c>
      <c r="C1752" s="5">
        <v>35</v>
      </c>
      <c r="D1752" s="5" t="s">
        <v>1485</v>
      </c>
    </row>
    <row r="1753" spans="1:4" x14ac:dyDescent="0.2">
      <c r="A1753" s="20" t="s">
        <v>2327</v>
      </c>
      <c r="B1753" s="18" t="s">
        <v>1902</v>
      </c>
      <c r="C1753" s="5">
        <v>35</v>
      </c>
      <c r="D1753" s="5" t="s">
        <v>1485</v>
      </c>
    </row>
    <row r="1754" spans="1:4" x14ac:dyDescent="0.2">
      <c r="A1754" s="20" t="s">
        <v>2328</v>
      </c>
      <c r="B1754" s="18" t="s">
        <v>1902</v>
      </c>
      <c r="C1754" s="5">
        <v>35</v>
      </c>
      <c r="D1754" s="5" t="s">
        <v>1485</v>
      </c>
    </row>
    <row r="1755" spans="1:4" x14ac:dyDescent="0.2">
      <c r="A1755" s="20" t="s">
        <v>2329</v>
      </c>
      <c r="B1755" s="18" t="s">
        <v>1902</v>
      </c>
      <c r="C1755" s="5">
        <v>35</v>
      </c>
      <c r="D1755" s="5" t="s">
        <v>1485</v>
      </c>
    </row>
    <row r="1756" spans="1:4" x14ac:dyDescent="0.2">
      <c r="A1756" s="20" t="s">
        <v>2330</v>
      </c>
      <c r="B1756" s="18" t="s">
        <v>1902</v>
      </c>
      <c r="C1756" s="5">
        <v>35</v>
      </c>
      <c r="D1756" s="5" t="s">
        <v>1485</v>
      </c>
    </row>
    <row r="1757" spans="1:4" x14ac:dyDescent="0.2">
      <c r="A1757" s="20" t="s">
        <v>2331</v>
      </c>
      <c r="B1757" s="18" t="s">
        <v>1902</v>
      </c>
      <c r="C1757" s="5">
        <v>35</v>
      </c>
      <c r="D1757" s="5" t="s">
        <v>1485</v>
      </c>
    </row>
    <row r="1758" spans="1:4" x14ac:dyDescent="0.2">
      <c r="A1758" s="20" t="s">
        <v>2332</v>
      </c>
      <c r="B1758" s="18" t="s">
        <v>1902</v>
      </c>
      <c r="C1758" s="5">
        <v>35</v>
      </c>
      <c r="D1758" s="5" t="s">
        <v>1485</v>
      </c>
    </row>
    <row r="1759" spans="1:4" x14ac:dyDescent="0.2">
      <c r="A1759" s="20" t="s">
        <v>2333</v>
      </c>
      <c r="B1759" s="18" t="s">
        <v>1902</v>
      </c>
      <c r="C1759" s="5">
        <v>35</v>
      </c>
      <c r="D1759" s="5" t="s">
        <v>1485</v>
      </c>
    </row>
    <row r="1760" spans="1:4" x14ac:dyDescent="0.2">
      <c r="A1760" s="20" t="s">
        <v>2334</v>
      </c>
      <c r="B1760" s="18" t="s">
        <v>1902</v>
      </c>
      <c r="C1760" s="5">
        <v>35</v>
      </c>
      <c r="D1760" s="5" t="s">
        <v>1485</v>
      </c>
    </row>
    <row r="1761" spans="1:4" x14ac:dyDescent="0.2">
      <c r="A1761" s="20" t="s">
        <v>2335</v>
      </c>
      <c r="B1761" s="18" t="s">
        <v>1902</v>
      </c>
      <c r="C1761" s="5">
        <v>35</v>
      </c>
      <c r="D1761" s="5" t="s">
        <v>1485</v>
      </c>
    </row>
    <row r="1762" spans="1:4" x14ac:dyDescent="0.2">
      <c r="A1762" s="20" t="s">
        <v>2336</v>
      </c>
      <c r="B1762" s="18" t="s">
        <v>1902</v>
      </c>
      <c r="C1762" s="5">
        <v>35</v>
      </c>
      <c r="D1762" s="5" t="s">
        <v>1485</v>
      </c>
    </row>
    <row r="1763" spans="1:4" x14ac:dyDescent="0.2">
      <c r="A1763" s="20" t="s">
        <v>2337</v>
      </c>
      <c r="B1763" s="18" t="s">
        <v>1902</v>
      </c>
      <c r="C1763" s="5">
        <v>35</v>
      </c>
      <c r="D1763" s="5" t="s">
        <v>1485</v>
      </c>
    </row>
    <row r="1764" spans="1:4" x14ac:dyDescent="0.2">
      <c r="A1764" s="20" t="s">
        <v>2338</v>
      </c>
      <c r="B1764" s="18" t="s">
        <v>1902</v>
      </c>
      <c r="C1764" s="5">
        <v>35</v>
      </c>
      <c r="D1764" s="5" t="s">
        <v>1485</v>
      </c>
    </row>
    <row r="1765" spans="1:4" x14ac:dyDescent="0.2">
      <c r="A1765" s="20" t="s">
        <v>2339</v>
      </c>
      <c r="B1765" s="18" t="s">
        <v>1902</v>
      </c>
      <c r="C1765" s="5">
        <v>35</v>
      </c>
      <c r="D1765" s="5" t="s">
        <v>1485</v>
      </c>
    </row>
    <row r="1766" spans="1:4" x14ac:dyDescent="0.2">
      <c r="A1766" s="20" t="s">
        <v>2340</v>
      </c>
      <c r="B1766" s="18" t="s">
        <v>1902</v>
      </c>
      <c r="C1766" s="5">
        <v>35</v>
      </c>
      <c r="D1766" s="5" t="s">
        <v>1485</v>
      </c>
    </row>
    <row r="1767" spans="1:4" x14ac:dyDescent="0.2">
      <c r="A1767" s="20" t="s">
        <v>2341</v>
      </c>
      <c r="B1767" s="18" t="s">
        <v>1902</v>
      </c>
      <c r="C1767" s="5">
        <v>35</v>
      </c>
      <c r="D1767" s="5" t="s">
        <v>1485</v>
      </c>
    </row>
    <row r="1768" spans="1:4" x14ac:dyDescent="0.2">
      <c r="A1768" s="20" t="s">
        <v>2342</v>
      </c>
      <c r="B1768" s="18" t="s">
        <v>1902</v>
      </c>
      <c r="C1768" s="5">
        <v>35</v>
      </c>
      <c r="D1768" s="5" t="s">
        <v>1485</v>
      </c>
    </row>
    <row r="1769" spans="1:4" x14ac:dyDescent="0.2">
      <c r="A1769" s="20" t="s">
        <v>2343</v>
      </c>
      <c r="B1769" s="18" t="s">
        <v>1902</v>
      </c>
      <c r="C1769" s="5">
        <v>35</v>
      </c>
      <c r="D1769" s="5" t="s">
        <v>1485</v>
      </c>
    </row>
    <row r="1770" spans="1:4" x14ac:dyDescent="0.2">
      <c r="A1770" s="20" t="s">
        <v>2344</v>
      </c>
      <c r="B1770" s="18" t="s">
        <v>1902</v>
      </c>
      <c r="C1770" s="5">
        <v>35</v>
      </c>
      <c r="D1770" s="5" t="s">
        <v>1485</v>
      </c>
    </row>
    <row r="1771" spans="1:4" x14ac:dyDescent="0.2">
      <c r="A1771" s="20" t="s">
        <v>2345</v>
      </c>
      <c r="B1771" s="18" t="s">
        <v>1902</v>
      </c>
      <c r="C1771" s="5">
        <v>35</v>
      </c>
      <c r="D1771" s="5" t="s">
        <v>1485</v>
      </c>
    </row>
    <row r="1772" spans="1:4" x14ac:dyDescent="0.2">
      <c r="A1772" s="20" t="s">
        <v>2346</v>
      </c>
      <c r="B1772" s="18" t="s">
        <v>1902</v>
      </c>
      <c r="C1772" s="5">
        <v>35</v>
      </c>
      <c r="D1772" s="5" t="s">
        <v>1485</v>
      </c>
    </row>
    <row r="1773" spans="1:4" x14ac:dyDescent="0.2">
      <c r="A1773" s="20" t="s">
        <v>2347</v>
      </c>
      <c r="B1773" s="18" t="s">
        <v>1902</v>
      </c>
      <c r="C1773" s="5">
        <v>35</v>
      </c>
      <c r="D1773" s="5" t="s">
        <v>1485</v>
      </c>
    </row>
    <row r="1774" spans="1:4" x14ac:dyDescent="0.2">
      <c r="A1774" s="20" t="s">
        <v>2348</v>
      </c>
      <c r="B1774" s="18" t="s">
        <v>1902</v>
      </c>
      <c r="C1774" s="5">
        <v>35</v>
      </c>
      <c r="D1774" s="5" t="s">
        <v>1485</v>
      </c>
    </row>
    <row r="1775" spans="1:4" x14ac:dyDescent="0.2">
      <c r="A1775" s="20" t="s">
        <v>2349</v>
      </c>
      <c r="B1775" s="18" t="s">
        <v>1902</v>
      </c>
      <c r="C1775" s="5">
        <v>35</v>
      </c>
      <c r="D1775" s="5" t="s">
        <v>1485</v>
      </c>
    </row>
    <row r="1776" spans="1:4" x14ac:dyDescent="0.2">
      <c r="A1776" s="20" t="s">
        <v>2350</v>
      </c>
      <c r="B1776" s="18" t="s">
        <v>1902</v>
      </c>
      <c r="C1776" s="5">
        <v>35</v>
      </c>
      <c r="D1776" s="5" t="s">
        <v>1485</v>
      </c>
    </row>
    <row r="1777" spans="1:4" x14ac:dyDescent="0.2">
      <c r="A1777" s="20" t="s">
        <v>2351</v>
      </c>
      <c r="B1777" s="18" t="s">
        <v>1902</v>
      </c>
      <c r="C1777" s="5">
        <v>35</v>
      </c>
      <c r="D1777" s="5" t="s">
        <v>1485</v>
      </c>
    </row>
    <row r="1778" spans="1:4" x14ac:dyDescent="0.2">
      <c r="A1778" s="20" t="s">
        <v>2352</v>
      </c>
      <c r="B1778" s="18" t="s">
        <v>1902</v>
      </c>
      <c r="C1778" s="5">
        <v>35</v>
      </c>
      <c r="D1778" s="5" t="s">
        <v>1485</v>
      </c>
    </row>
    <row r="1779" spans="1:4" x14ac:dyDescent="0.2">
      <c r="A1779" s="20" t="s">
        <v>2353</v>
      </c>
      <c r="B1779" s="18" t="s">
        <v>1902</v>
      </c>
      <c r="C1779" s="5">
        <v>35</v>
      </c>
      <c r="D1779" s="5" t="s">
        <v>1485</v>
      </c>
    </row>
    <row r="1780" spans="1:4" x14ac:dyDescent="0.2">
      <c r="A1780" s="20" t="s">
        <v>2354</v>
      </c>
      <c r="B1780" s="18" t="s">
        <v>1902</v>
      </c>
      <c r="C1780" s="5">
        <v>35</v>
      </c>
      <c r="D1780" s="5" t="s">
        <v>1485</v>
      </c>
    </row>
    <row r="1781" spans="1:4" x14ac:dyDescent="0.2">
      <c r="A1781" s="20" t="s">
        <v>2355</v>
      </c>
      <c r="B1781" s="18" t="s">
        <v>1902</v>
      </c>
      <c r="C1781" s="5">
        <v>35</v>
      </c>
      <c r="D1781" s="5" t="s">
        <v>1485</v>
      </c>
    </row>
    <row r="1782" spans="1:4" x14ac:dyDescent="0.2">
      <c r="A1782" s="20" t="s">
        <v>2356</v>
      </c>
      <c r="B1782" s="18" t="s">
        <v>1902</v>
      </c>
      <c r="C1782" s="5">
        <v>35</v>
      </c>
      <c r="D1782" s="5" t="s">
        <v>1485</v>
      </c>
    </row>
    <row r="1783" spans="1:4" x14ac:dyDescent="0.2">
      <c r="A1783" s="20" t="s">
        <v>2357</v>
      </c>
      <c r="B1783" s="18" t="s">
        <v>1902</v>
      </c>
      <c r="C1783" s="5">
        <v>35</v>
      </c>
      <c r="D1783" s="5" t="s">
        <v>1485</v>
      </c>
    </row>
    <row r="1784" spans="1:4" x14ac:dyDescent="0.2">
      <c r="A1784" s="20" t="s">
        <v>2358</v>
      </c>
      <c r="B1784" s="18" t="s">
        <v>1902</v>
      </c>
      <c r="C1784" s="5">
        <v>35</v>
      </c>
      <c r="D1784" s="5" t="s">
        <v>1485</v>
      </c>
    </row>
    <row r="1785" spans="1:4" x14ac:dyDescent="0.2">
      <c r="A1785" s="20" t="s">
        <v>2359</v>
      </c>
      <c r="B1785" s="18" t="s">
        <v>1902</v>
      </c>
      <c r="C1785" s="5">
        <v>35</v>
      </c>
      <c r="D1785" s="5" t="s">
        <v>1485</v>
      </c>
    </row>
    <row r="1786" spans="1:4" x14ac:dyDescent="0.2">
      <c r="A1786" s="20" t="s">
        <v>2360</v>
      </c>
      <c r="B1786" s="18" t="s">
        <v>1902</v>
      </c>
      <c r="C1786" s="5">
        <v>35</v>
      </c>
      <c r="D1786" s="5" t="s">
        <v>1485</v>
      </c>
    </row>
    <row r="1787" spans="1:4" x14ac:dyDescent="0.2">
      <c r="A1787" s="20" t="s">
        <v>2361</v>
      </c>
      <c r="B1787" s="18" t="s">
        <v>1902</v>
      </c>
      <c r="C1787" s="5">
        <v>35</v>
      </c>
      <c r="D1787" s="5" t="s">
        <v>1485</v>
      </c>
    </row>
    <row r="1788" spans="1:4" x14ac:dyDescent="0.2">
      <c r="A1788" s="20" t="s">
        <v>2362</v>
      </c>
      <c r="B1788" s="18" t="s">
        <v>1902</v>
      </c>
      <c r="C1788" s="5">
        <v>35</v>
      </c>
      <c r="D1788" s="5" t="s">
        <v>1485</v>
      </c>
    </row>
    <row r="1789" spans="1:4" x14ac:dyDescent="0.2">
      <c r="A1789" s="20" t="s">
        <v>2363</v>
      </c>
      <c r="B1789" s="18" t="s">
        <v>1902</v>
      </c>
      <c r="C1789" s="5">
        <v>35</v>
      </c>
      <c r="D1789" s="5" t="s">
        <v>1485</v>
      </c>
    </row>
    <row r="1790" spans="1:4" x14ac:dyDescent="0.2">
      <c r="A1790" s="20" t="s">
        <v>2364</v>
      </c>
      <c r="B1790" s="18" t="s">
        <v>1902</v>
      </c>
      <c r="C1790" s="5">
        <v>35</v>
      </c>
      <c r="D1790" s="5" t="s">
        <v>1485</v>
      </c>
    </row>
    <row r="1791" spans="1:4" x14ac:dyDescent="0.2">
      <c r="A1791" s="20" t="s">
        <v>2365</v>
      </c>
      <c r="B1791" s="18" t="s">
        <v>1902</v>
      </c>
      <c r="C1791" s="5">
        <v>35</v>
      </c>
      <c r="D1791" s="5" t="s">
        <v>1485</v>
      </c>
    </row>
    <row r="1792" spans="1:4" x14ac:dyDescent="0.2">
      <c r="A1792" s="20" t="s">
        <v>2366</v>
      </c>
      <c r="B1792" s="18" t="s">
        <v>1902</v>
      </c>
      <c r="C1792" s="5">
        <v>35</v>
      </c>
      <c r="D1792" s="5" t="s">
        <v>1485</v>
      </c>
    </row>
    <row r="1793" spans="1:4" x14ac:dyDescent="0.2">
      <c r="A1793" s="20" t="s">
        <v>2367</v>
      </c>
      <c r="B1793" s="18" t="s">
        <v>1902</v>
      </c>
      <c r="C1793" s="5">
        <v>35</v>
      </c>
      <c r="D1793" s="5" t="s">
        <v>1485</v>
      </c>
    </row>
    <row r="1794" spans="1:4" x14ac:dyDescent="0.2">
      <c r="A1794" s="20" t="s">
        <v>2368</v>
      </c>
      <c r="B1794" s="18" t="s">
        <v>1902</v>
      </c>
      <c r="C1794" s="5">
        <v>35</v>
      </c>
      <c r="D1794" s="5" t="s">
        <v>1485</v>
      </c>
    </row>
    <row r="1795" spans="1:4" x14ac:dyDescent="0.2">
      <c r="A1795" s="20" t="s">
        <v>2369</v>
      </c>
      <c r="B1795" s="18" t="s">
        <v>1902</v>
      </c>
      <c r="C1795" s="5">
        <v>35</v>
      </c>
      <c r="D1795" s="5" t="s">
        <v>1485</v>
      </c>
    </row>
    <row r="1796" spans="1:4" x14ac:dyDescent="0.2">
      <c r="A1796" s="20" t="s">
        <v>2370</v>
      </c>
      <c r="B1796" s="18" t="s">
        <v>1902</v>
      </c>
      <c r="C1796" s="5">
        <v>35</v>
      </c>
      <c r="D1796" s="5" t="s">
        <v>1485</v>
      </c>
    </row>
    <row r="1797" spans="1:4" x14ac:dyDescent="0.2">
      <c r="A1797" s="20" t="s">
        <v>2371</v>
      </c>
      <c r="B1797" s="18" t="s">
        <v>1902</v>
      </c>
      <c r="C1797" s="5">
        <v>35</v>
      </c>
      <c r="D1797" s="5" t="s">
        <v>1485</v>
      </c>
    </row>
    <row r="1798" spans="1:4" x14ac:dyDescent="0.2">
      <c r="A1798" s="20" t="s">
        <v>2372</v>
      </c>
      <c r="B1798" s="18" t="s">
        <v>1902</v>
      </c>
      <c r="C1798" s="5">
        <v>35</v>
      </c>
      <c r="D1798" s="5" t="s">
        <v>1485</v>
      </c>
    </row>
    <row r="1799" spans="1:4" x14ac:dyDescent="0.2">
      <c r="A1799" s="20" t="s">
        <v>2373</v>
      </c>
      <c r="B1799" s="18" t="s">
        <v>1902</v>
      </c>
      <c r="C1799" s="5">
        <v>35</v>
      </c>
      <c r="D1799" s="5" t="s">
        <v>1485</v>
      </c>
    </row>
    <row r="1800" spans="1:4" x14ac:dyDescent="0.2">
      <c r="A1800" s="20" t="s">
        <v>2374</v>
      </c>
      <c r="B1800" s="18" t="s">
        <v>1902</v>
      </c>
      <c r="C1800" s="5">
        <v>35</v>
      </c>
      <c r="D1800" s="5" t="s">
        <v>1485</v>
      </c>
    </row>
    <row r="1801" spans="1:4" x14ac:dyDescent="0.2">
      <c r="A1801" s="20" t="s">
        <v>2375</v>
      </c>
      <c r="B1801" s="18" t="s">
        <v>1902</v>
      </c>
      <c r="C1801" s="5">
        <v>35</v>
      </c>
      <c r="D1801" s="5" t="s">
        <v>1485</v>
      </c>
    </row>
    <row r="1802" spans="1:4" x14ac:dyDescent="0.2">
      <c r="A1802" s="20" t="s">
        <v>2376</v>
      </c>
      <c r="B1802" s="18" t="s">
        <v>1902</v>
      </c>
      <c r="C1802" s="5">
        <v>35</v>
      </c>
      <c r="D1802" s="5" t="s">
        <v>1485</v>
      </c>
    </row>
    <row r="1803" spans="1:4" x14ac:dyDescent="0.2">
      <c r="A1803" s="20" t="s">
        <v>2377</v>
      </c>
      <c r="B1803" s="18" t="s">
        <v>1902</v>
      </c>
      <c r="C1803" s="5">
        <v>35</v>
      </c>
      <c r="D1803" s="5" t="s">
        <v>1485</v>
      </c>
    </row>
    <row r="1804" spans="1:4" x14ac:dyDescent="0.2">
      <c r="A1804" s="20" t="s">
        <v>2378</v>
      </c>
      <c r="B1804" s="18" t="s">
        <v>1902</v>
      </c>
      <c r="C1804" s="5">
        <v>35</v>
      </c>
      <c r="D1804" s="5" t="s">
        <v>1485</v>
      </c>
    </row>
    <row r="1805" spans="1:4" x14ac:dyDescent="0.2">
      <c r="A1805" s="20" t="s">
        <v>2379</v>
      </c>
      <c r="B1805" s="18" t="s">
        <v>1902</v>
      </c>
      <c r="C1805" s="5">
        <v>35</v>
      </c>
      <c r="D1805" s="5" t="s">
        <v>1485</v>
      </c>
    </row>
    <row r="1806" spans="1:4" x14ac:dyDescent="0.2">
      <c r="A1806" s="20" t="s">
        <v>2380</v>
      </c>
      <c r="B1806" s="18" t="s">
        <v>1902</v>
      </c>
      <c r="C1806" s="5">
        <v>35</v>
      </c>
      <c r="D1806" s="5" t="s">
        <v>1485</v>
      </c>
    </row>
    <row r="1807" spans="1:4" x14ac:dyDescent="0.2">
      <c r="A1807" s="20" t="s">
        <v>2381</v>
      </c>
      <c r="B1807" s="18" t="s">
        <v>1902</v>
      </c>
      <c r="C1807" s="5">
        <v>35</v>
      </c>
      <c r="D1807" s="5" t="s">
        <v>1485</v>
      </c>
    </row>
    <row r="1808" spans="1:4" x14ac:dyDescent="0.2">
      <c r="A1808" s="20" t="s">
        <v>2382</v>
      </c>
      <c r="B1808" s="18" t="s">
        <v>1902</v>
      </c>
      <c r="C1808" s="5">
        <v>35</v>
      </c>
      <c r="D1808" s="5" t="s">
        <v>1485</v>
      </c>
    </row>
    <row r="1809" spans="1:4" x14ac:dyDescent="0.2">
      <c r="A1809" s="20" t="s">
        <v>2383</v>
      </c>
      <c r="B1809" s="18" t="s">
        <v>1902</v>
      </c>
      <c r="C1809" s="5">
        <v>35</v>
      </c>
      <c r="D1809" s="5" t="s">
        <v>1485</v>
      </c>
    </row>
    <row r="1810" spans="1:4" x14ac:dyDescent="0.2">
      <c r="A1810" s="20" t="s">
        <v>2384</v>
      </c>
      <c r="B1810" s="18" t="s">
        <v>1902</v>
      </c>
      <c r="C1810" s="5">
        <v>35</v>
      </c>
      <c r="D1810" s="5" t="s">
        <v>1485</v>
      </c>
    </row>
    <row r="1811" spans="1:4" x14ac:dyDescent="0.2">
      <c r="A1811" s="20" t="s">
        <v>2385</v>
      </c>
      <c r="B1811" s="18" t="s">
        <v>1902</v>
      </c>
      <c r="C1811" s="5">
        <v>35</v>
      </c>
      <c r="D1811" s="5" t="s">
        <v>1485</v>
      </c>
    </row>
    <row r="1812" spans="1:4" x14ac:dyDescent="0.2">
      <c r="A1812" s="20" t="s">
        <v>2386</v>
      </c>
      <c r="B1812" s="18" t="s">
        <v>1902</v>
      </c>
      <c r="C1812" s="5">
        <v>35</v>
      </c>
      <c r="D1812" s="5" t="s">
        <v>1485</v>
      </c>
    </row>
    <row r="1813" spans="1:4" x14ac:dyDescent="0.2">
      <c r="A1813" s="20" t="s">
        <v>2387</v>
      </c>
      <c r="B1813" s="18" t="s">
        <v>1902</v>
      </c>
      <c r="C1813" s="5">
        <v>35</v>
      </c>
      <c r="D1813" s="5" t="s">
        <v>1485</v>
      </c>
    </row>
    <row r="1814" spans="1:4" x14ac:dyDescent="0.2">
      <c r="A1814" s="20" t="s">
        <v>2388</v>
      </c>
      <c r="B1814" s="18" t="s">
        <v>1902</v>
      </c>
      <c r="C1814" s="5">
        <v>35</v>
      </c>
      <c r="D1814" s="5" t="s">
        <v>1485</v>
      </c>
    </row>
    <row r="1815" spans="1:4" x14ac:dyDescent="0.2">
      <c r="A1815" s="20" t="s">
        <v>2389</v>
      </c>
      <c r="B1815" s="18" t="s">
        <v>1902</v>
      </c>
      <c r="C1815" s="5">
        <v>35</v>
      </c>
      <c r="D1815" s="5" t="s">
        <v>1485</v>
      </c>
    </row>
    <row r="1816" spans="1:4" x14ac:dyDescent="0.2">
      <c r="A1816" s="20" t="s">
        <v>2390</v>
      </c>
      <c r="B1816" s="18" t="s">
        <v>1902</v>
      </c>
      <c r="C1816" s="5">
        <v>35</v>
      </c>
      <c r="D1816" s="5" t="s">
        <v>1485</v>
      </c>
    </row>
    <row r="1817" spans="1:4" x14ac:dyDescent="0.2">
      <c r="A1817" s="20" t="s">
        <v>2391</v>
      </c>
      <c r="B1817" s="18" t="s">
        <v>1902</v>
      </c>
      <c r="C1817" s="5">
        <v>35</v>
      </c>
      <c r="D1817" s="5" t="s">
        <v>1485</v>
      </c>
    </row>
    <row r="1818" spans="1:4" x14ac:dyDescent="0.2">
      <c r="A1818" s="20" t="s">
        <v>2392</v>
      </c>
      <c r="B1818" s="18" t="s">
        <v>1902</v>
      </c>
      <c r="C1818" s="5">
        <v>35</v>
      </c>
      <c r="D1818" s="5" t="s">
        <v>1485</v>
      </c>
    </row>
    <row r="1819" spans="1:4" x14ac:dyDescent="0.2">
      <c r="A1819" s="20" t="s">
        <v>2393</v>
      </c>
      <c r="B1819" s="18" t="s">
        <v>1902</v>
      </c>
      <c r="C1819" s="5">
        <v>35</v>
      </c>
      <c r="D1819" s="5" t="s">
        <v>1485</v>
      </c>
    </row>
    <row r="1820" spans="1:4" x14ac:dyDescent="0.2">
      <c r="A1820" s="20" t="s">
        <v>2394</v>
      </c>
      <c r="B1820" s="18" t="s">
        <v>1902</v>
      </c>
      <c r="C1820" s="5">
        <v>35</v>
      </c>
      <c r="D1820" s="5" t="s">
        <v>1485</v>
      </c>
    </row>
    <row r="1821" spans="1:4" x14ac:dyDescent="0.2">
      <c r="A1821" s="20" t="s">
        <v>2395</v>
      </c>
      <c r="B1821" s="18" t="s">
        <v>1902</v>
      </c>
      <c r="C1821" s="5">
        <v>35</v>
      </c>
      <c r="D1821" s="5" t="s">
        <v>1485</v>
      </c>
    </row>
    <row r="1822" spans="1:4" x14ac:dyDescent="0.2">
      <c r="A1822" s="20" t="s">
        <v>2396</v>
      </c>
      <c r="B1822" s="18" t="s">
        <v>1902</v>
      </c>
      <c r="C1822" s="5">
        <v>35</v>
      </c>
      <c r="D1822" s="5" t="s">
        <v>1485</v>
      </c>
    </row>
    <row r="1823" spans="1:4" x14ac:dyDescent="0.2">
      <c r="A1823" s="20" t="s">
        <v>2397</v>
      </c>
      <c r="B1823" s="18" t="s">
        <v>1902</v>
      </c>
      <c r="C1823" s="5">
        <v>35</v>
      </c>
      <c r="D1823" s="5" t="s">
        <v>1485</v>
      </c>
    </row>
    <row r="1824" spans="1:4" x14ac:dyDescent="0.2">
      <c r="A1824" s="20" t="s">
        <v>2398</v>
      </c>
      <c r="B1824" s="18" t="s">
        <v>1902</v>
      </c>
      <c r="C1824" s="5">
        <v>35</v>
      </c>
      <c r="D1824" s="5" t="s">
        <v>1485</v>
      </c>
    </row>
    <row r="1825" spans="1:4" x14ac:dyDescent="0.2">
      <c r="A1825" s="20" t="s">
        <v>2399</v>
      </c>
      <c r="B1825" s="18" t="s">
        <v>1902</v>
      </c>
      <c r="C1825" s="5">
        <v>35</v>
      </c>
      <c r="D1825" s="5" t="s">
        <v>1485</v>
      </c>
    </row>
    <row r="1826" spans="1:4" x14ac:dyDescent="0.2">
      <c r="A1826" s="20" t="s">
        <v>2400</v>
      </c>
      <c r="B1826" s="18" t="s">
        <v>1902</v>
      </c>
      <c r="C1826" s="5">
        <v>35</v>
      </c>
      <c r="D1826" s="5" t="s">
        <v>1485</v>
      </c>
    </row>
    <row r="1827" spans="1:4" x14ac:dyDescent="0.2">
      <c r="A1827" s="20" t="s">
        <v>2401</v>
      </c>
      <c r="B1827" s="18" t="s">
        <v>1902</v>
      </c>
      <c r="C1827" s="5">
        <v>35</v>
      </c>
      <c r="D1827" s="5" t="s">
        <v>1485</v>
      </c>
    </row>
    <row r="1828" spans="1:4" x14ac:dyDescent="0.2">
      <c r="A1828" s="20" t="s">
        <v>2402</v>
      </c>
      <c r="B1828" s="18" t="s">
        <v>1902</v>
      </c>
      <c r="C1828" s="5">
        <v>35</v>
      </c>
      <c r="D1828" s="5" t="s">
        <v>1485</v>
      </c>
    </row>
    <row r="1829" spans="1:4" x14ac:dyDescent="0.2">
      <c r="A1829" s="20" t="s">
        <v>2403</v>
      </c>
      <c r="B1829" s="18" t="s">
        <v>1902</v>
      </c>
      <c r="C1829" s="5">
        <v>35</v>
      </c>
      <c r="D1829" s="5" t="s">
        <v>1485</v>
      </c>
    </row>
    <row r="1830" spans="1:4" x14ac:dyDescent="0.2">
      <c r="A1830" s="20" t="s">
        <v>2404</v>
      </c>
      <c r="B1830" s="18" t="s">
        <v>1902</v>
      </c>
      <c r="C1830" s="5">
        <v>35</v>
      </c>
      <c r="D1830" s="5" t="s">
        <v>1485</v>
      </c>
    </row>
    <row r="1831" spans="1:4" x14ac:dyDescent="0.2">
      <c r="A1831" s="20" t="s">
        <v>2405</v>
      </c>
      <c r="B1831" s="18" t="s">
        <v>1902</v>
      </c>
      <c r="C1831" s="5">
        <v>35</v>
      </c>
      <c r="D1831" s="5" t="s">
        <v>1485</v>
      </c>
    </row>
    <row r="1832" spans="1:4" x14ac:dyDescent="0.2">
      <c r="A1832" s="20" t="s">
        <v>2406</v>
      </c>
      <c r="B1832" s="18" t="s">
        <v>1902</v>
      </c>
      <c r="C1832" s="5">
        <v>35</v>
      </c>
      <c r="D1832" s="5" t="s">
        <v>1485</v>
      </c>
    </row>
    <row r="1833" spans="1:4" x14ac:dyDescent="0.2">
      <c r="A1833" s="20" t="s">
        <v>2407</v>
      </c>
      <c r="B1833" s="18" t="s">
        <v>1902</v>
      </c>
      <c r="C1833" s="5">
        <v>35</v>
      </c>
      <c r="D1833" s="5" t="s">
        <v>1485</v>
      </c>
    </row>
    <row r="1834" spans="1:4" x14ac:dyDescent="0.2">
      <c r="A1834" s="20" t="s">
        <v>2408</v>
      </c>
      <c r="B1834" s="18" t="s">
        <v>1902</v>
      </c>
      <c r="C1834" s="5">
        <v>35</v>
      </c>
      <c r="D1834" s="5" t="s">
        <v>1485</v>
      </c>
    </row>
    <row r="1835" spans="1:4" x14ac:dyDescent="0.2">
      <c r="A1835" s="20" t="s">
        <v>2409</v>
      </c>
      <c r="B1835" s="18" t="s">
        <v>1902</v>
      </c>
      <c r="C1835" s="5">
        <v>35</v>
      </c>
      <c r="D1835" s="5" t="s">
        <v>1485</v>
      </c>
    </row>
    <row r="1836" spans="1:4" x14ac:dyDescent="0.2">
      <c r="A1836" s="20" t="s">
        <v>2410</v>
      </c>
      <c r="B1836" s="18" t="s">
        <v>1902</v>
      </c>
      <c r="C1836" s="5">
        <v>35</v>
      </c>
      <c r="D1836" s="5" t="s">
        <v>1485</v>
      </c>
    </row>
    <row r="1837" spans="1:4" x14ac:dyDescent="0.2">
      <c r="A1837" s="20" t="s">
        <v>2411</v>
      </c>
      <c r="B1837" s="18" t="s">
        <v>1902</v>
      </c>
      <c r="C1837" s="5">
        <v>35</v>
      </c>
      <c r="D1837" s="5" t="s">
        <v>1485</v>
      </c>
    </row>
    <row r="1838" spans="1:4" x14ac:dyDescent="0.2">
      <c r="A1838" s="20" t="s">
        <v>2412</v>
      </c>
      <c r="B1838" s="18" t="s">
        <v>1902</v>
      </c>
      <c r="C1838" s="5">
        <v>35</v>
      </c>
      <c r="D1838" s="5" t="s">
        <v>1485</v>
      </c>
    </row>
    <row r="1839" spans="1:4" x14ac:dyDescent="0.2">
      <c r="A1839" s="20" t="s">
        <v>2413</v>
      </c>
      <c r="B1839" s="18" t="s">
        <v>1902</v>
      </c>
      <c r="C1839" s="5">
        <v>35</v>
      </c>
      <c r="D1839" s="5" t="s">
        <v>1485</v>
      </c>
    </row>
    <row r="1840" spans="1:4" x14ac:dyDescent="0.2">
      <c r="A1840" s="20" t="s">
        <v>2414</v>
      </c>
      <c r="B1840" s="18" t="s">
        <v>1902</v>
      </c>
      <c r="C1840" s="5">
        <v>35</v>
      </c>
      <c r="D1840" s="5" t="s">
        <v>1485</v>
      </c>
    </row>
    <row r="1841" spans="1:4" x14ac:dyDescent="0.2">
      <c r="A1841" s="20" t="s">
        <v>2415</v>
      </c>
      <c r="B1841" s="18" t="s">
        <v>1902</v>
      </c>
      <c r="C1841" s="5">
        <v>35</v>
      </c>
      <c r="D1841" s="5" t="s">
        <v>1485</v>
      </c>
    </row>
    <row r="1842" spans="1:4" x14ac:dyDescent="0.2">
      <c r="A1842" s="20" t="s">
        <v>2416</v>
      </c>
      <c r="B1842" s="18" t="s">
        <v>1902</v>
      </c>
      <c r="C1842" s="5">
        <v>35</v>
      </c>
      <c r="D1842" s="5" t="s">
        <v>1485</v>
      </c>
    </row>
    <row r="1843" spans="1:4" x14ac:dyDescent="0.2">
      <c r="A1843" s="20" t="s">
        <v>2417</v>
      </c>
      <c r="B1843" s="18" t="s">
        <v>1902</v>
      </c>
      <c r="C1843" s="5">
        <v>35</v>
      </c>
      <c r="D1843" s="5" t="s">
        <v>1485</v>
      </c>
    </row>
    <row r="1844" spans="1:4" x14ac:dyDescent="0.2">
      <c r="A1844" s="20" t="s">
        <v>2418</v>
      </c>
      <c r="B1844" s="18" t="s">
        <v>1902</v>
      </c>
      <c r="C1844" s="5">
        <v>35</v>
      </c>
      <c r="D1844" s="5" t="s">
        <v>1485</v>
      </c>
    </row>
    <row r="1845" spans="1:4" x14ac:dyDescent="0.2">
      <c r="A1845" s="20" t="s">
        <v>2419</v>
      </c>
      <c r="B1845" s="18" t="s">
        <v>1902</v>
      </c>
      <c r="C1845" s="5">
        <v>35</v>
      </c>
      <c r="D1845" s="5" t="s">
        <v>1485</v>
      </c>
    </row>
    <row r="1846" spans="1:4" x14ac:dyDescent="0.2">
      <c r="A1846" s="20" t="s">
        <v>2420</v>
      </c>
      <c r="B1846" s="18" t="s">
        <v>1902</v>
      </c>
      <c r="C1846" s="5">
        <v>35</v>
      </c>
      <c r="D1846" s="5" t="s">
        <v>1485</v>
      </c>
    </row>
    <row r="1847" spans="1:4" x14ac:dyDescent="0.2">
      <c r="A1847" s="20" t="s">
        <v>2421</v>
      </c>
      <c r="B1847" s="18" t="s">
        <v>1902</v>
      </c>
      <c r="C1847" s="5">
        <v>35</v>
      </c>
      <c r="D1847" s="5" t="s">
        <v>1485</v>
      </c>
    </row>
    <row r="1848" spans="1:4" x14ac:dyDescent="0.2">
      <c r="A1848" s="20" t="s">
        <v>2422</v>
      </c>
      <c r="B1848" s="18" t="s">
        <v>1902</v>
      </c>
      <c r="C1848" s="5">
        <v>35</v>
      </c>
      <c r="D1848" s="5" t="s">
        <v>1485</v>
      </c>
    </row>
    <row r="1849" spans="1:4" x14ac:dyDescent="0.2">
      <c r="A1849" s="20" t="s">
        <v>2423</v>
      </c>
      <c r="B1849" s="18" t="s">
        <v>1902</v>
      </c>
      <c r="C1849" s="5">
        <v>35</v>
      </c>
      <c r="D1849" s="5" t="s">
        <v>1485</v>
      </c>
    </row>
    <row r="1850" spans="1:4" x14ac:dyDescent="0.2">
      <c r="A1850" s="20" t="s">
        <v>2424</v>
      </c>
      <c r="B1850" s="18" t="s">
        <v>1902</v>
      </c>
      <c r="C1850" s="5">
        <v>35</v>
      </c>
      <c r="D1850" s="5" t="s">
        <v>1485</v>
      </c>
    </row>
    <row r="1851" spans="1:4" x14ac:dyDescent="0.2">
      <c r="A1851" s="20" t="s">
        <v>2425</v>
      </c>
      <c r="B1851" s="18" t="s">
        <v>1902</v>
      </c>
      <c r="C1851" s="5">
        <v>35</v>
      </c>
      <c r="D1851" s="5" t="s">
        <v>1485</v>
      </c>
    </row>
    <row r="1852" spans="1:4" x14ac:dyDescent="0.2">
      <c r="A1852" s="20" t="s">
        <v>2426</v>
      </c>
      <c r="B1852" s="18" t="s">
        <v>1902</v>
      </c>
      <c r="C1852" s="5">
        <v>35</v>
      </c>
      <c r="D1852" s="5" t="s">
        <v>1485</v>
      </c>
    </row>
    <row r="1853" spans="1:4" x14ac:dyDescent="0.2">
      <c r="A1853" s="20" t="s">
        <v>2427</v>
      </c>
      <c r="B1853" s="18" t="s">
        <v>1902</v>
      </c>
      <c r="C1853" s="5">
        <v>35</v>
      </c>
      <c r="D1853" s="5" t="s">
        <v>1485</v>
      </c>
    </row>
    <row r="1854" spans="1:4" x14ac:dyDescent="0.2">
      <c r="A1854" s="20" t="s">
        <v>2428</v>
      </c>
      <c r="B1854" s="18" t="s">
        <v>1902</v>
      </c>
      <c r="C1854" s="5">
        <v>35</v>
      </c>
      <c r="D1854" s="5" t="s">
        <v>1485</v>
      </c>
    </row>
    <row r="1855" spans="1:4" x14ac:dyDescent="0.2">
      <c r="A1855" s="20" t="s">
        <v>2429</v>
      </c>
      <c r="B1855" s="18" t="s">
        <v>1902</v>
      </c>
      <c r="C1855" s="5">
        <v>35</v>
      </c>
      <c r="D1855" s="5" t="s">
        <v>1485</v>
      </c>
    </row>
    <row r="1856" spans="1:4" x14ac:dyDescent="0.2">
      <c r="A1856" s="20" t="s">
        <v>2430</v>
      </c>
      <c r="B1856" s="18" t="s">
        <v>1902</v>
      </c>
      <c r="C1856" s="5">
        <v>35</v>
      </c>
      <c r="D1856" s="5" t="s">
        <v>1485</v>
      </c>
    </row>
    <row r="1857" spans="1:4" x14ac:dyDescent="0.2">
      <c r="A1857" s="20" t="s">
        <v>2431</v>
      </c>
      <c r="B1857" s="18" t="s">
        <v>1902</v>
      </c>
      <c r="C1857" s="5">
        <v>35</v>
      </c>
      <c r="D1857" s="5" t="s">
        <v>1485</v>
      </c>
    </row>
    <row r="1858" spans="1:4" x14ac:dyDescent="0.2">
      <c r="A1858" s="20" t="s">
        <v>2432</v>
      </c>
      <c r="B1858" s="18" t="s">
        <v>1902</v>
      </c>
      <c r="C1858" s="5">
        <v>35</v>
      </c>
      <c r="D1858" s="5" t="s">
        <v>1485</v>
      </c>
    </row>
    <row r="1859" spans="1:4" x14ac:dyDescent="0.2">
      <c r="A1859" s="20" t="s">
        <v>2433</v>
      </c>
      <c r="B1859" s="18" t="s">
        <v>1902</v>
      </c>
      <c r="C1859" s="5">
        <v>35</v>
      </c>
      <c r="D1859" s="5" t="s">
        <v>1485</v>
      </c>
    </row>
    <row r="1860" spans="1:4" x14ac:dyDescent="0.2">
      <c r="A1860" s="20" t="s">
        <v>2434</v>
      </c>
      <c r="B1860" s="18" t="s">
        <v>1902</v>
      </c>
      <c r="C1860" s="5">
        <v>35</v>
      </c>
      <c r="D1860" s="5" t="s">
        <v>1485</v>
      </c>
    </row>
    <row r="1861" spans="1:4" x14ac:dyDescent="0.2">
      <c r="A1861" s="20" t="s">
        <v>2435</v>
      </c>
      <c r="B1861" s="18" t="s">
        <v>1902</v>
      </c>
      <c r="C1861" s="5">
        <v>35</v>
      </c>
      <c r="D1861" s="5" t="s">
        <v>1485</v>
      </c>
    </row>
    <row r="1862" spans="1:4" x14ac:dyDescent="0.2">
      <c r="A1862" s="20" t="s">
        <v>2436</v>
      </c>
      <c r="B1862" s="18" t="s">
        <v>1902</v>
      </c>
      <c r="C1862" s="5">
        <v>35</v>
      </c>
      <c r="D1862" s="5" t="s">
        <v>1485</v>
      </c>
    </row>
    <row r="1863" spans="1:4" x14ac:dyDescent="0.2">
      <c r="A1863" s="20" t="s">
        <v>2437</v>
      </c>
      <c r="B1863" s="18" t="s">
        <v>1902</v>
      </c>
      <c r="C1863" s="5">
        <v>35</v>
      </c>
      <c r="D1863" s="5" t="s">
        <v>1485</v>
      </c>
    </row>
    <row r="1864" spans="1:4" x14ac:dyDescent="0.2">
      <c r="A1864" s="20" t="s">
        <v>2438</v>
      </c>
      <c r="B1864" s="18" t="s">
        <v>1902</v>
      </c>
      <c r="C1864" s="5">
        <v>35</v>
      </c>
      <c r="D1864" s="5" t="s">
        <v>1485</v>
      </c>
    </row>
    <row r="1865" spans="1:4" x14ac:dyDescent="0.2">
      <c r="A1865" s="17" t="s">
        <v>2439</v>
      </c>
      <c r="B1865" s="18" t="s">
        <v>1902</v>
      </c>
      <c r="C1865" s="5">
        <v>35</v>
      </c>
      <c r="D1865" s="5" t="s">
        <v>1485</v>
      </c>
    </row>
    <row r="1866" spans="1:4" x14ac:dyDescent="0.2">
      <c r="A1866" s="17" t="s">
        <v>253</v>
      </c>
      <c r="B1866" s="18" t="s">
        <v>1902</v>
      </c>
      <c r="C1866" s="5">
        <v>35</v>
      </c>
      <c r="D1866" s="5" t="s">
        <v>1485</v>
      </c>
    </row>
    <row r="1867" spans="1:4" x14ac:dyDescent="0.2">
      <c r="A1867" s="17" t="s">
        <v>2440</v>
      </c>
      <c r="B1867" s="18" t="s">
        <v>1902</v>
      </c>
      <c r="C1867" s="5">
        <v>35</v>
      </c>
      <c r="D1867" s="5" t="s">
        <v>1485</v>
      </c>
    </row>
    <row r="1868" spans="1:4" x14ac:dyDescent="0.2">
      <c r="A1868" s="17" t="s">
        <v>2441</v>
      </c>
      <c r="B1868" s="18" t="s">
        <v>1902</v>
      </c>
      <c r="C1868" s="5">
        <v>35</v>
      </c>
      <c r="D1868" s="5" t="s">
        <v>1485</v>
      </c>
    </row>
    <row r="1869" spans="1:4" x14ac:dyDescent="0.2">
      <c r="A1869" s="17" t="s">
        <v>2442</v>
      </c>
      <c r="B1869" s="18" t="s">
        <v>1902</v>
      </c>
      <c r="C1869" s="5">
        <v>35</v>
      </c>
      <c r="D1869" s="5" t="s">
        <v>1485</v>
      </c>
    </row>
    <row r="1870" spans="1:4" x14ac:dyDescent="0.2">
      <c r="A1870" s="17" t="s">
        <v>2443</v>
      </c>
      <c r="B1870" s="18" t="s">
        <v>1902</v>
      </c>
      <c r="C1870" s="5">
        <v>35</v>
      </c>
      <c r="D1870" s="5" t="s">
        <v>1485</v>
      </c>
    </row>
    <row r="1871" spans="1:4" x14ac:dyDescent="0.2">
      <c r="A1871" s="17" t="s">
        <v>2444</v>
      </c>
      <c r="B1871" s="18" t="s">
        <v>1902</v>
      </c>
      <c r="C1871" s="5">
        <v>35</v>
      </c>
      <c r="D1871" s="5" t="s">
        <v>1485</v>
      </c>
    </row>
    <row r="1872" spans="1:4" x14ac:dyDescent="0.2">
      <c r="A1872" s="17" t="s">
        <v>549</v>
      </c>
      <c r="B1872" s="18" t="s">
        <v>1902</v>
      </c>
      <c r="C1872" s="5">
        <v>35</v>
      </c>
      <c r="D1872" s="5" t="s">
        <v>1485</v>
      </c>
    </row>
    <row r="1873" spans="1:4" x14ac:dyDescent="0.2">
      <c r="A1873" s="17" t="s">
        <v>2445</v>
      </c>
      <c r="B1873" s="18" t="s">
        <v>1902</v>
      </c>
      <c r="C1873" s="5">
        <v>35</v>
      </c>
      <c r="D1873" s="5" t="s">
        <v>1485</v>
      </c>
    </row>
    <row r="1874" spans="1:4" x14ac:dyDescent="0.2">
      <c r="A1874" s="17" t="s">
        <v>2446</v>
      </c>
      <c r="B1874" s="18" t="s">
        <v>1902</v>
      </c>
      <c r="C1874" s="5">
        <v>35</v>
      </c>
      <c r="D1874" s="5" t="s">
        <v>1485</v>
      </c>
    </row>
    <row r="1875" spans="1:4" x14ac:dyDescent="0.2">
      <c r="A1875" s="17" t="s">
        <v>2447</v>
      </c>
      <c r="B1875" s="18" t="s">
        <v>1902</v>
      </c>
      <c r="C1875" s="5">
        <v>35</v>
      </c>
      <c r="D1875" s="5" t="s">
        <v>1485</v>
      </c>
    </row>
    <row r="1876" spans="1:4" x14ac:dyDescent="0.2">
      <c r="A1876" s="17" t="s">
        <v>2448</v>
      </c>
      <c r="B1876" s="18" t="s">
        <v>1902</v>
      </c>
      <c r="C1876" s="5">
        <v>35</v>
      </c>
      <c r="D1876" s="5" t="s">
        <v>1485</v>
      </c>
    </row>
    <row r="1877" spans="1:4" x14ac:dyDescent="0.2">
      <c r="A1877" s="17" t="s">
        <v>2449</v>
      </c>
      <c r="B1877" s="18" t="s">
        <v>1902</v>
      </c>
      <c r="C1877" s="5">
        <v>35</v>
      </c>
      <c r="D1877" s="5" t="s">
        <v>1485</v>
      </c>
    </row>
    <row r="1878" spans="1:4" x14ac:dyDescent="0.2">
      <c r="A1878" s="17" t="s">
        <v>2450</v>
      </c>
      <c r="B1878" s="18" t="s">
        <v>1902</v>
      </c>
      <c r="C1878" s="5">
        <v>35</v>
      </c>
      <c r="D1878" s="5" t="s">
        <v>1485</v>
      </c>
    </row>
    <row r="1879" spans="1:4" x14ac:dyDescent="0.2">
      <c r="A1879" s="17" t="s">
        <v>2451</v>
      </c>
      <c r="B1879" s="18" t="s">
        <v>1902</v>
      </c>
      <c r="C1879" s="5">
        <v>35</v>
      </c>
      <c r="D1879" s="5" t="s">
        <v>1485</v>
      </c>
    </row>
    <row r="1880" spans="1:4" x14ac:dyDescent="0.2">
      <c r="A1880" s="17" t="s">
        <v>2452</v>
      </c>
      <c r="B1880" s="18" t="s">
        <v>1902</v>
      </c>
      <c r="C1880" s="5">
        <v>35</v>
      </c>
      <c r="D1880" s="5" t="s">
        <v>1485</v>
      </c>
    </row>
    <row r="1881" spans="1:4" x14ac:dyDescent="0.2">
      <c r="A1881" s="17" t="s">
        <v>2453</v>
      </c>
      <c r="B1881" s="18" t="s">
        <v>1902</v>
      </c>
      <c r="C1881" s="5">
        <v>35</v>
      </c>
      <c r="D1881" s="5" t="s">
        <v>1485</v>
      </c>
    </row>
    <row r="1882" spans="1:4" x14ac:dyDescent="0.2">
      <c r="A1882" s="17" t="s">
        <v>2454</v>
      </c>
      <c r="B1882" s="18" t="s">
        <v>1902</v>
      </c>
      <c r="C1882" s="5">
        <v>35</v>
      </c>
      <c r="D1882" s="5" t="s">
        <v>1485</v>
      </c>
    </row>
    <row r="1883" spans="1:4" x14ac:dyDescent="0.2">
      <c r="A1883" s="17" t="s">
        <v>2455</v>
      </c>
      <c r="B1883" s="18" t="s">
        <v>1902</v>
      </c>
      <c r="C1883" s="5">
        <v>35</v>
      </c>
      <c r="D1883" s="5" t="s">
        <v>1485</v>
      </c>
    </row>
    <row r="1884" spans="1:4" x14ac:dyDescent="0.2">
      <c r="A1884" s="17" t="s">
        <v>2456</v>
      </c>
      <c r="B1884" s="18" t="s">
        <v>1902</v>
      </c>
      <c r="C1884" s="5">
        <v>35</v>
      </c>
      <c r="D1884" s="5" t="s">
        <v>1485</v>
      </c>
    </row>
    <row r="1885" spans="1:4" x14ac:dyDescent="0.2">
      <c r="A1885" s="17" t="s">
        <v>2457</v>
      </c>
      <c r="B1885" s="18" t="s">
        <v>1902</v>
      </c>
      <c r="C1885" s="5">
        <v>35</v>
      </c>
      <c r="D1885" s="5" t="s">
        <v>1485</v>
      </c>
    </row>
    <row r="1886" spans="1:4" x14ac:dyDescent="0.2">
      <c r="A1886" s="17" t="s">
        <v>2458</v>
      </c>
      <c r="B1886" s="18" t="s">
        <v>1902</v>
      </c>
      <c r="C1886" s="5">
        <v>35</v>
      </c>
      <c r="D1886" s="5" t="s">
        <v>1485</v>
      </c>
    </row>
    <row r="1887" spans="1:4" x14ac:dyDescent="0.2">
      <c r="A1887" s="17" t="s">
        <v>2459</v>
      </c>
      <c r="B1887" s="18" t="s">
        <v>1902</v>
      </c>
      <c r="C1887" s="5">
        <v>35</v>
      </c>
      <c r="D1887" s="5" t="s">
        <v>1485</v>
      </c>
    </row>
    <row r="1888" spans="1:4" x14ac:dyDescent="0.2">
      <c r="A1888" s="17" t="s">
        <v>2460</v>
      </c>
      <c r="B1888" s="18" t="s">
        <v>1902</v>
      </c>
      <c r="C1888" s="5">
        <v>35</v>
      </c>
      <c r="D1888" s="5" t="s">
        <v>1485</v>
      </c>
    </row>
    <row r="1889" spans="1:4" x14ac:dyDescent="0.2">
      <c r="A1889" s="17" t="s">
        <v>2461</v>
      </c>
      <c r="B1889" s="18" t="s">
        <v>1902</v>
      </c>
      <c r="C1889" s="5">
        <v>35</v>
      </c>
      <c r="D1889" s="5" t="s">
        <v>1485</v>
      </c>
    </row>
    <row r="1890" spans="1:4" x14ac:dyDescent="0.2">
      <c r="A1890" s="17" t="s">
        <v>2462</v>
      </c>
      <c r="B1890" s="18" t="s">
        <v>1902</v>
      </c>
      <c r="C1890" s="5">
        <v>35</v>
      </c>
      <c r="D1890" s="5" t="s">
        <v>1485</v>
      </c>
    </row>
    <row r="1891" spans="1:4" x14ac:dyDescent="0.2">
      <c r="A1891" s="17" t="s">
        <v>2463</v>
      </c>
      <c r="B1891" s="18" t="s">
        <v>1902</v>
      </c>
      <c r="C1891" s="5">
        <v>35</v>
      </c>
      <c r="D1891" s="5" t="s">
        <v>1485</v>
      </c>
    </row>
    <row r="1892" spans="1:4" x14ac:dyDescent="0.2">
      <c r="A1892" s="17" t="s">
        <v>2464</v>
      </c>
      <c r="B1892" s="18" t="s">
        <v>1902</v>
      </c>
      <c r="C1892" s="5">
        <v>35</v>
      </c>
      <c r="D1892" s="5" t="s">
        <v>1485</v>
      </c>
    </row>
    <row r="1893" spans="1:4" x14ac:dyDescent="0.2">
      <c r="A1893" s="17" t="s">
        <v>2465</v>
      </c>
      <c r="B1893" s="18" t="s">
        <v>1902</v>
      </c>
      <c r="C1893" s="5">
        <v>35</v>
      </c>
      <c r="D1893" s="5" t="s">
        <v>1485</v>
      </c>
    </row>
    <row r="1894" spans="1:4" x14ac:dyDescent="0.2">
      <c r="A1894" s="17" t="s">
        <v>2466</v>
      </c>
      <c r="B1894" s="18" t="s">
        <v>1902</v>
      </c>
      <c r="C1894" s="5">
        <v>35</v>
      </c>
      <c r="D1894" s="5" t="s">
        <v>1485</v>
      </c>
    </row>
    <row r="1895" spans="1:4" x14ac:dyDescent="0.2">
      <c r="A1895" s="17" t="s">
        <v>2467</v>
      </c>
      <c r="B1895" s="18" t="s">
        <v>1902</v>
      </c>
      <c r="C1895" s="5">
        <v>35</v>
      </c>
      <c r="D1895" s="5" t="s">
        <v>1485</v>
      </c>
    </row>
    <row r="1896" spans="1:4" x14ac:dyDescent="0.2">
      <c r="A1896" s="17" t="s">
        <v>2468</v>
      </c>
      <c r="B1896" s="18" t="s">
        <v>1902</v>
      </c>
      <c r="C1896" s="5">
        <v>35</v>
      </c>
      <c r="D1896" s="5" t="s">
        <v>1485</v>
      </c>
    </row>
    <row r="1897" spans="1:4" x14ac:dyDescent="0.2">
      <c r="A1897" s="17" t="s">
        <v>2469</v>
      </c>
      <c r="B1897" s="18" t="s">
        <v>1902</v>
      </c>
      <c r="C1897" s="5">
        <v>35</v>
      </c>
      <c r="D1897" s="5" t="s">
        <v>1485</v>
      </c>
    </row>
    <row r="1898" spans="1:4" x14ac:dyDescent="0.2">
      <c r="A1898" s="17" t="s">
        <v>2470</v>
      </c>
      <c r="B1898" s="18" t="s">
        <v>1902</v>
      </c>
      <c r="C1898" s="5">
        <v>35</v>
      </c>
      <c r="D1898" s="5" t="s">
        <v>1485</v>
      </c>
    </row>
    <row r="1899" spans="1:4" x14ac:dyDescent="0.2">
      <c r="A1899" s="17" t="s">
        <v>2471</v>
      </c>
      <c r="B1899" s="18" t="s">
        <v>1902</v>
      </c>
      <c r="C1899" s="5">
        <v>35</v>
      </c>
      <c r="D1899" s="5" t="s">
        <v>1485</v>
      </c>
    </row>
    <row r="1900" spans="1:4" x14ac:dyDescent="0.2">
      <c r="A1900" s="17" t="s">
        <v>2472</v>
      </c>
      <c r="B1900" s="18" t="s">
        <v>1902</v>
      </c>
      <c r="C1900" s="5">
        <v>35</v>
      </c>
      <c r="D1900" s="5" t="s">
        <v>1485</v>
      </c>
    </row>
    <row r="1901" spans="1:4" x14ac:dyDescent="0.2">
      <c r="A1901" s="17" t="s">
        <v>2473</v>
      </c>
      <c r="B1901" s="18" t="s">
        <v>1902</v>
      </c>
      <c r="C1901" s="5">
        <v>35</v>
      </c>
      <c r="D1901" s="5" t="s">
        <v>1485</v>
      </c>
    </row>
    <row r="1902" spans="1:4" x14ac:dyDescent="0.2">
      <c r="A1902" s="9" t="s">
        <v>2473</v>
      </c>
      <c r="B1902" s="18" t="s">
        <v>1902</v>
      </c>
      <c r="C1902" s="5">
        <v>35</v>
      </c>
      <c r="D1902" s="5" t="s">
        <v>1485</v>
      </c>
    </row>
    <row r="1903" spans="1:4" x14ac:dyDescent="0.2">
      <c r="A1903" s="17" t="s">
        <v>2474</v>
      </c>
      <c r="B1903" s="18" t="s">
        <v>1902</v>
      </c>
      <c r="C1903" s="5">
        <v>35</v>
      </c>
      <c r="D1903" s="5" t="s">
        <v>1485</v>
      </c>
    </row>
    <row r="1904" spans="1:4" x14ac:dyDescent="0.2">
      <c r="A1904" s="17" t="s">
        <v>2475</v>
      </c>
      <c r="B1904" s="18" t="s">
        <v>1902</v>
      </c>
      <c r="C1904" s="5">
        <v>35</v>
      </c>
      <c r="D1904" s="5" t="s">
        <v>1485</v>
      </c>
    </row>
    <row r="1905" spans="1:4" x14ac:dyDescent="0.2">
      <c r="A1905" s="17" t="s">
        <v>2476</v>
      </c>
      <c r="B1905" s="18" t="s">
        <v>1902</v>
      </c>
      <c r="C1905" s="5">
        <v>35</v>
      </c>
      <c r="D1905" s="5" t="s">
        <v>1485</v>
      </c>
    </row>
    <row r="1906" spans="1:4" x14ac:dyDescent="0.2">
      <c r="A1906" s="17" t="s">
        <v>2477</v>
      </c>
      <c r="B1906" s="18" t="s">
        <v>1902</v>
      </c>
      <c r="C1906" s="5">
        <v>35</v>
      </c>
      <c r="D1906" s="5" t="s">
        <v>1485</v>
      </c>
    </row>
    <row r="1907" spans="1:4" x14ac:dyDescent="0.2">
      <c r="A1907" s="17" t="s">
        <v>358</v>
      </c>
      <c r="B1907" s="18" t="s">
        <v>1902</v>
      </c>
      <c r="C1907" s="5">
        <v>35</v>
      </c>
      <c r="D1907" s="5" t="s">
        <v>1485</v>
      </c>
    </row>
    <row r="1908" spans="1:4" x14ac:dyDescent="0.2">
      <c r="A1908" s="17" t="s">
        <v>2478</v>
      </c>
      <c r="B1908" s="18" t="s">
        <v>1902</v>
      </c>
      <c r="C1908" s="5">
        <v>35</v>
      </c>
      <c r="D1908" s="5" t="s">
        <v>1485</v>
      </c>
    </row>
    <row r="1909" spans="1:4" x14ac:dyDescent="0.2">
      <c r="A1909" s="17" t="s">
        <v>2479</v>
      </c>
      <c r="B1909" s="18" t="s">
        <v>1902</v>
      </c>
      <c r="C1909" s="5">
        <v>35</v>
      </c>
      <c r="D1909" s="5" t="s">
        <v>1485</v>
      </c>
    </row>
    <row r="1910" spans="1:4" x14ac:dyDescent="0.2">
      <c r="A1910" s="17" t="s">
        <v>2480</v>
      </c>
      <c r="B1910" s="18" t="s">
        <v>1902</v>
      </c>
      <c r="C1910" s="5">
        <v>35</v>
      </c>
      <c r="D1910" s="5" t="s">
        <v>1485</v>
      </c>
    </row>
    <row r="1911" spans="1:4" x14ac:dyDescent="0.2">
      <c r="A1911" s="17" t="s">
        <v>2481</v>
      </c>
      <c r="B1911" s="18" t="s">
        <v>1902</v>
      </c>
      <c r="C1911" s="5">
        <v>35</v>
      </c>
      <c r="D1911" s="5" t="s">
        <v>1485</v>
      </c>
    </row>
    <row r="1912" spans="1:4" x14ac:dyDescent="0.2">
      <c r="A1912" s="17" t="s">
        <v>2482</v>
      </c>
      <c r="B1912" s="18" t="s">
        <v>1902</v>
      </c>
      <c r="C1912" s="5">
        <v>35</v>
      </c>
      <c r="D1912" s="5" t="s">
        <v>1485</v>
      </c>
    </row>
    <row r="1913" spans="1:4" x14ac:dyDescent="0.2">
      <c r="A1913" s="17" t="s">
        <v>2483</v>
      </c>
      <c r="B1913" s="18" t="s">
        <v>1902</v>
      </c>
      <c r="C1913" s="5">
        <v>35</v>
      </c>
      <c r="D1913" s="5" t="s">
        <v>1485</v>
      </c>
    </row>
    <row r="1914" spans="1:4" x14ac:dyDescent="0.2">
      <c r="A1914" s="17" t="s">
        <v>2484</v>
      </c>
      <c r="B1914" s="18" t="s">
        <v>1902</v>
      </c>
      <c r="C1914" s="5">
        <v>35</v>
      </c>
      <c r="D1914" s="5" t="s">
        <v>1485</v>
      </c>
    </row>
    <row r="1915" spans="1:4" x14ac:dyDescent="0.2">
      <c r="A1915" s="17" t="s">
        <v>2485</v>
      </c>
      <c r="B1915" s="18" t="s">
        <v>1902</v>
      </c>
      <c r="C1915" s="5">
        <v>35</v>
      </c>
      <c r="D1915" s="5" t="s">
        <v>1485</v>
      </c>
    </row>
    <row r="1916" spans="1:4" x14ac:dyDescent="0.2">
      <c r="A1916" s="17" t="s">
        <v>2486</v>
      </c>
      <c r="B1916" s="18" t="s">
        <v>1902</v>
      </c>
      <c r="C1916" s="5">
        <v>35</v>
      </c>
      <c r="D1916" s="5" t="s">
        <v>1485</v>
      </c>
    </row>
    <row r="1917" spans="1:4" x14ac:dyDescent="0.2">
      <c r="A1917" s="17" t="s">
        <v>2487</v>
      </c>
      <c r="B1917" s="18" t="s">
        <v>1902</v>
      </c>
      <c r="C1917" s="5">
        <v>35</v>
      </c>
      <c r="D1917" s="5" t="s">
        <v>1485</v>
      </c>
    </row>
    <row r="1918" spans="1:4" x14ac:dyDescent="0.2">
      <c r="A1918" s="17" t="s">
        <v>144</v>
      </c>
      <c r="B1918" s="18" t="s">
        <v>1902</v>
      </c>
      <c r="C1918" s="5">
        <v>35</v>
      </c>
      <c r="D1918" s="5" t="s">
        <v>1485</v>
      </c>
    </row>
    <row r="1919" spans="1:4" x14ac:dyDescent="0.2">
      <c r="A1919" s="17" t="s">
        <v>2488</v>
      </c>
      <c r="B1919" s="18" t="s">
        <v>1902</v>
      </c>
      <c r="C1919" s="5">
        <v>35</v>
      </c>
      <c r="D1919" s="5" t="s">
        <v>1485</v>
      </c>
    </row>
    <row r="1920" spans="1:4" x14ac:dyDescent="0.2">
      <c r="A1920" s="17" t="s">
        <v>2489</v>
      </c>
      <c r="B1920" s="18" t="s">
        <v>1902</v>
      </c>
      <c r="C1920" s="5">
        <v>35</v>
      </c>
      <c r="D1920" s="5" t="s">
        <v>1485</v>
      </c>
    </row>
    <row r="1921" spans="1:4" x14ac:dyDescent="0.2">
      <c r="A1921" s="17" t="s">
        <v>2490</v>
      </c>
      <c r="B1921" s="18" t="s">
        <v>1902</v>
      </c>
      <c r="C1921" s="5">
        <v>35</v>
      </c>
      <c r="D1921" s="5" t="s">
        <v>1485</v>
      </c>
    </row>
    <row r="1922" spans="1:4" x14ac:dyDescent="0.2">
      <c r="A1922" s="17" t="s">
        <v>2491</v>
      </c>
      <c r="B1922" s="18" t="s">
        <v>1902</v>
      </c>
      <c r="C1922" s="5">
        <v>35</v>
      </c>
      <c r="D1922" s="5" t="s">
        <v>1485</v>
      </c>
    </row>
    <row r="1923" spans="1:4" x14ac:dyDescent="0.2">
      <c r="A1923" s="17" t="s">
        <v>2492</v>
      </c>
      <c r="B1923" s="18" t="s">
        <v>1902</v>
      </c>
      <c r="C1923" s="5">
        <v>35</v>
      </c>
      <c r="D1923" s="5" t="s">
        <v>1485</v>
      </c>
    </row>
    <row r="1924" spans="1:4" x14ac:dyDescent="0.2">
      <c r="A1924" s="17" t="s">
        <v>2493</v>
      </c>
      <c r="B1924" s="18" t="s">
        <v>1902</v>
      </c>
      <c r="C1924" s="5">
        <v>35</v>
      </c>
      <c r="D1924" s="5" t="s">
        <v>1485</v>
      </c>
    </row>
    <row r="1925" spans="1:4" x14ac:dyDescent="0.2">
      <c r="A1925" s="17" t="s">
        <v>2494</v>
      </c>
      <c r="B1925" s="18" t="s">
        <v>1902</v>
      </c>
      <c r="C1925" s="5">
        <v>35</v>
      </c>
      <c r="D1925" s="5" t="s">
        <v>1485</v>
      </c>
    </row>
    <row r="1926" spans="1:4" x14ac:dyDescent="0.2">
      <c r="A1926" s="17" t="s">
        <v>2495</v>
      </c>
      <c r="B1926" s="18" t="s">
        <v>1902</v>
      </c>
      <c r="C1926" s="5">
        <v>35</v>
      </c>
      <c r="D1926" s="5" t="s">
        <v>1485</v>
      </c>
    </row>
    <row r="1927" spans="1:4" x14ac:dyDescent="0.2">
      <c r="A1927" s="17" t="s">
        <v>2496</v>
      </c>
      <c r="B1927" s="18" t="s">
        <v>1902</v>
      </c>
      <c r="C1927" s="5">
        <v>35</v>
      </c>
      <c r="D1927" s="5" t="s">
        <v>1485</v>
      </c>
    </row>
    <row r="1928" spans="1:4" x14ac:dyDescent="0.2">
      <c r="A1928" s="17" t="s">
        <v>2497</v>
      </c>
      <c r="B1928" s="18" t="s">
        <v>1902</v>
      </c>
      <c r="C1928" s="5">
        <v>35</v>
      </c>
      <c r="D1928" s="5" t="s">
        <v>1485</v>
      </c>
    </row>
    <row r="1929" spans="1:4" x14ac:dyDescent="0.2">
      <c r="A1929" s="17" t="s">
        <v>2498</v>
      </c>
      <c r="B1929" s="18" t="s">
        <v>1902</v>
      </c>
      <c r="C1929" s="5">
        <v>35</v>
      </c>
      <c r="D1929" s="5" t="s">
        <v>1485</v>
      </c>
    </row>
    <row r="1930" spans="1:4" x14ac:dyDescent="0.2">
      <c r="A1930" s="17" t="s">
        <v>2499</v>
      </c>
      <c r="B1930" s="18" t="s">
        <v>1902</v>
      </c>
      <c r="C1930" s="5">
        <v>35</v>
      </c>
      <c r="D1930" s="5" t="s">
        <v>1485</v>
      </c>
    </row>
    <row r="1931" spans="1:4" x14ac:dyDescent="0.2">
      <c r="A1931" s="17" t="s">
        <v>2500</v>
      </c>
      <c r="B1931" s="18" t="s">
        <v>1902</v>
      </c>
      <c r="C1931" s="5">
        <v>35</v>
      </c>
      <c r="D1931" s="5" t="s">
        <v>1485</v>
      </c>
    </row>
    <row r="1932" spans="1:4" x14ac:dyDescent="0.2">
      <c r="A1932" s="17" t="s">
        <v>2501</v>
      </c>
      <c r="B1932" s="18" t="s">
        <v>1902</v>
      </c>
      <c r="C1932" s="5">
        <v>35</v>
      </c>
      <c r="D1932" s="5" t="s">
        <v>1485</v>
      </c>
    </row>
    <row r="1933" spans="1:4" x14ac:dyDescent="0.2">
      <c r="A1933" s="17" t="s">
        <v>153</v>
      </c>
      <c r="B1933" s="18" t="s">
        <v>2502</v>
      </c>
      <c r="C1933" s="5">
        <v>26</v>
      </c>
      <c r="D1933" s="5" t="s">
        <v>2503</v>
      </c>
    </row>
    <row r="1934" spans="1:4" x14ac:dyDescent="0.2">
      <c r="A1934" s="17" t="s">
        <v>153</v>
      </c>
      <c r="B1934" s="18" t="s">
        <v>2502</v>
      </c>
      <c r="C1934" s="5">
        <v>26</v>
      </c>
      <c r="D1934" s="5" t="s">
        <v>2503</v>
      </c>
    </row>
    <row r="1935" spans="1:4" x14ac:dyDescent="0.2">
      <c r="A1935" s="17">
        <v>898052</v>
      </c>
      <c r="B1935" s="18" t="s">
        <v>2504</v>
      </c>
      <c r="C1935" s="5">
        <v>26</v>
      </c>
      <c r="D1935" s="5" t="s">
        <v>2503</v>
      </c>
    </row>
    <row r="1936" spans="1:4" x14ac:dyDescent="0.2">
      <c r="A1936" s="17" t="s">
        <v>2505</v>
      </c>
      <c r="B1936" s="18" t="s">
        <v>2502</v>
      </c>
      <c r="C1936" s="5">
        <v>26</v>
      </c>
      <c r="D1936" s="5" t="s">
        <v>2503</v>
      </c>
    </row>
    <row r="1937" spans="1:4" x14ac:dyDescent="0.2">
      <c r="A1937" s="17" t="s">
        <v>186</v>
      </c>
      <c r="B1937" s="18" t="s">
        <v>2502</v>
      </c>
      <c r="C1937" s="5">
        <v>26</v>
      </c>
      <c r="D1937" s="5" t="s">
        <v>2503</v>
      </c>
    </row>
    <row r="1938" spans="1:4" x14ac:dyDescent="0.2">
      <c r="A1938" s="17" t="s">
        <v>2506</v>
      </c>
      <c r="B1938" s="18" t="s">
        <v>2502</v>
      </c>
      <c r="C1938" s="5">
        <v>26</v>
      </c>
      <c r="D1938" s="5" t="s">
        <v>2503</v>
      </c>
    </row>
    <row r="1939" spans="1:4" x14ac:dyDescent="0.2">
      <c r="A1939" s="17" t="s">
        <v>227</v>
      </c>
      <c r="B1939" s="18" t="s">
        <v>2502</v>
      </c>
      <c r="C1939" s="5">
        <v>26</v>
      </c>
      <c r="D1939" s="5" t="s">
        <v>2503</v>
      </c>
    </row>
    <row r="1940" spans="1:4" x14ac:dyDescent="0.2">
      <c r="A1940" s="17" t="s">
        <v>241</v>
      </c>
      <c r="B1940" s="18" t="s">
        <v>2507</v>
      </c>
      <c r="C1940" s="5">
        <v>26</v>
      </c>
      <c r="D1940" s="5" t="s">
        <v>2503</v>
      </c>
    </row>
    <row r="1941" spans="1:4" x14ac:dyDescent="0.2">
      <c r="A1941" s="17" t="s">
        <v>2508</v>
      </c>
      <c r="B1941" s="18" t="s">
        <v>2507</v>
      </c>
      <c r="C1941" s="5">
        <v>26</v>
      </c>
      <c r="D1941" s="5" t="s">
        <v>2503</v>
      </c>
    </row>
    <row r="1942" spans="1:4" x14ac:dyDescent="0.2">
      <c r="A1942" s="17" t="s">
        <v>2509</v>
      </c>
      <c r="B1942" s="18" t="s">
        <v>2507</v>
      </c>
      <c r="C1942" s="5">
        <v>26</v>
      </c>
      <c r="D1942" s="5" t="s">
        <v>2503</v>
      </c>
    </row>
    <row r="1943" spans="1:4" x14ac:dyDescent="0.2">
      <c r="A1943" s="17" t="s">
        <v>2510</v>
      </c>
      <c r="B1943" s="18" t="s">
        <v>2507</v>
      </c>
      <c r="C1943" s="5">
        <v>26</v>
      </c>
      <c r="D1943" s="5" t="s">
        <v>2503</v>
      </c>
    </row>
    <row r="1944" spans="1:4" x14ac:dyDescent="0.2">
      <c r="A1944" s="17" t="s">
        <v>2511</v>
      </c>
      <c r="B1944" s="18" t="s">
        <v>2507</v>
      </c>
      <c r="C1944" s="5">
        <v>26</v>
      </c>
      <c r="D1944" s="5" t="s">
        <v>2503</v>
      </c>
    </row>
    <row r="1945" spans="1:4" x14ac:dyDescent="0.2">
      <c r="A1945" s="17" t="s">
        <v>2512</v>
      </c>
      <c r="B1945" s="18" t="s">
        <v>2507</v>
      </c>
      <c r="C1945" s="5">
        <v>26</v>
      </c>
      <c r="D1945" s="5" t="s">
        <v>2503</v>
      </c>
    </row>
    <row r="1946" spans="1:4" x14ac:dyDescent="0.2">
      <c r="A1946" s="17" t="s">
        <v>2513</v>
      </c>
      <c r="B1946" s="18" t="s">
        <v>2507</v>
      </c>
      <c r="C1946" s="5">
        <v>26</v>
      </c>
      <c r="D1946" s="5" t="s">
        <v>2503</v>
      </c>
    </row>
    <row r="1947" spans="1:4" x14ac:dyDescent="0.2">
      <c r="A1947" s="17" t="s">
        <v>2514</v>
      </c>
      <c r="B1947" s="18" t="s">
        <v>2507</v>
      </c>
      <c r="C1947" s="5">
        <v>26</v>
      </c>
      <c r="D1947" s="5" t="s">
        <v>2503</v>
      </c>
    </row>
    <row r="1948" spans="1:4" x14ac:dyDescent="0.2">
      <c r="A1948" s="17" t="s">
        <v>2515</v>
      </c>
      <c r="B1948" s="18" t="s">
        <v>2516</v>
      </c>
      <c r="C1948" s="5">
        <v>26</v>
      </c>
      <c r="D1948" s="5" t="s">
        <v>2503</v>
      </c>
    </row>
    <row r="1949" spans="1:4" x14ac:dyDescent="0.2">
      <c r="A1949" s="17" t="s">
        <v>2517</v>
      </c>
      <c r="B1949" s="18" t="s">
        <v>2507</v>
      </c>
      <c r="C1949" s="5">
        <v>26</v>
      </c>
      <c r="D1949" s="5" t="s">
        <v>2503</v>
      </c>
    </row>
    <row r="1950" spans="1:4" x14ac:dyDescent="0.2">
      <c r="A1950" s="17" t="s">
        <v>308</v>
      </c>
      <c r="B1950" s="18" t="s">
        <v>2507</v>
      </c>
      <c r="C1950" s="5">
        <v>26</v>
      </c>
      <c r="D1950" s="5" t="s">
        <v>2503</v>
      </c>
    </row>
    <row r="1951" spans="1:4" x14ac:dyDescent="0.2">
      <c r="A1951" s="17" t="s">
        <v>2518</v>
      </c>
      <c r="B1951" s="18" t="s">
        <v>2507</v>
      </c>
      <c r="C1951" s="5">
        <v>26</v>
      </c>
      <c r="D1951" s="5" t="s">
        <v>2503</v>
      </c>
    </row>
    <row r="1952" spans="1:4" x14ac:dyDescent="0.2">
      <c r="A1952" s="17" t="s">
        <v>312</v>
      </c>
      <c r="B1952" s="18" t="s">
        <v>2507</v>
      </c>
      <c r="C1952" s="5">
        <v>26</v>
      </c>
      <c r="D1952" s="5" t="s">
        <v>2503</v>
      </c>
    </row>
    <row r="1953" spans="1:4" x14ac:dyDescent="0.2">
      <c r="A1953" s="17" t="s">
        <v>2519</v>
      </c>
      <c r="B1953" s="18" t="s">
        <v>2507</v>
      </c>
      <c r="C1953" s="5">
        <v>26</v>
      </c>
      <c r="D1953" s="5" t="s">
        <v>2503</v>
      </c>
    </row>
    <row r="1954" spans="1:4" x14ac:dyDescent="0.2">
      <c r="A1954" s="17" t="s">
        <v>330</v>
      </c>
      <c r="B1954" s="18" t="s">
        <v>2507</v>
      </c>
      <c r="C1954" s="5">
        <v>26</v>
      </c>
      <c r="D1954" s="5" t="s">
        <v>2503</v>
      </c>
    </row>
    <row r="1955" spans="1:4" x14ac:dyDescent="0.2">
      <c r="A1955" s="17">
        <v>33700002</v>
      </c>
      <c r="B1955" s="18" t="s">
        <v>2507</v>
      </c>
      <c r="C1955" s="5">
        <v>26</v>
      </c>
      <c r="D1955" s="5" t="s">
        <v>2503</v>
      </c>
    </row>
    <row r="1956" spans="1:4" x14ac:dyDescent="0.2">
      <c r="A1956" s="17" t="s">
        <v>2520</v>
      </c>
      <c r="B1956" s="18" t="s">
        <v>2507</v>
      </c>
      <c r="C1956" s="5">
        <v>26</v>
      </c>
      <c r="D1956" s="5" t="s">
        <v>2503</v>
      </c>
    </row>
    <row r="1957" spans="1:4" x14ac:dyDescent="0.2">
      <c r="A1957" s="17" t="s">
        <v>2521</v>
      </c>
      <c r="B1957" s="18" t="s">
        <v>2507</v>
      </c>
      <c r="C1957" s="5">
        <v>26</v>
      </c>
      <c r="D1957" s="5" t="s">
        <v>2503</v>
      </c>
    </row>
    <row r="1958" spans="1:4" x14ac:dyDescent="0.2">
      <c r="A1958" s="17" t="s">
        <v>344</v>
      </c>
      <c r="B1958" s="18" t="s">
        <v>303</v>
      </c>
      <c r="C1958" s="5">
        <v>25</v>
      </c>
      <c r="D1958" s="5" t="s">
        <v>949</v>
      </c>
    </row>
    <row r="1959" spans="1:4" x14ac:dyDescent="0.2">
      <c r="A1959" s="17" t="s">
        <v>2522</v>
      </c>
      <c r="B1959" s="18" t="s">
        <v>303</v>
      </c>
      <c r="C1959" s="5">
        <v>25</v>
      </c>
      <c r="D1959" s="5" t="s">
        <v>949</v>
      </c>
    </row>
    <row r="1960" spans="1:4" x14ac:dyDescent="0.2">
      <c r="A1960" s="17" t="s">
        <v>1119</v>
      </c>
      <c r="B1960" s="18" t="s">
        <v>303</v>
      </c>
      <c r="C1960" s="5">
        <v>25</v>
      </c>
      <c r="D1960" s="5" t="s">
        <v>949</v>
      </c>
    </row>
    <row r="1961" spans="1:4" x14ac:dyDescent="0.2">
      <c r="A1961" s="17" t="s">
        <v>1120</v>
      </c>
      <c r="B1961" s="18" t="s">
        <v>303</v>
      </c>
      <c r="C1961" s="5">
        <v>25</v>
      </c>
      <c r="D1961" s="5" t="s">
        <v>949</v>
      </c>
    </row>
    <row r="1962" spans="1:4" x14ac:dyDescent="0.2">
      <c r="A1962" s="17">
        <v>72067000</v>
      </c>
      <c r="B1962" s="18" t="s">
        <v>303</v>
      </c>
      <c r="C1962" s="5">
        <v>25</v>
      </c>
      <c r="D1962" s="5" t="s">
        <v>949</v>
      </c>
    </row>
    <row r="1963" spans="1:4" x14ac:dyDescent="0.2">
      <c r="A1963" s="17">
        <v>72067001</v>
      </c>
      <c r="B1963" s="18" t="s">
        <v>303</v>
      </c>
      <c r="C1963" s="5">
        <v>25</v>
      </c>
      <c r="D1963" s="5" t="s">
        <v>949</v>
      </c>
    </row>
    <row r="1964" spans="1:4" x14ac:dyDescent="0.2">
      <c r="A1964" s="17">
        <v>72067002</v>
      </c>
      <c r="B1964" s="18" t="s">
        <v>303</v>
      </c>
      <c r="C1964" s="5">
        <v>25</v>
      </c>
      <c r="D1964" s="5" t="s">
        <v>949</v>
      </c>
    </row>
    <row r="1965" spans="1:4" x14ac:dyDescent="0.2">
      <c r="A1965" s="17">
        <v>72067003</v>
      </c>
      <c r="B1965" s="18" t="s">
        <v>303</v>
      </c>
      <c r="C1965" s="5">
        <v>25</v>
      </c>
      <c r="D1965" s="5" t="s">
        <v>949</v>
      </c>
    </row>
    <row r="1966" spans="1:4" x14ac:dyDescent="0.2">
      <c r="A1966" s="17">
        <v>72067004</v>
      </c>
      <c r="B1966" s="18" t="s">
        <v>303</v>
      </c>
      <c r="C1966" s="5">
        <v>25</v>
      </c>
      <c r="D1966" s="5" t="s">
        <v>949</v>
      </c>
    </row>
    <row r="1967" spans="1:4" x14ac:dyDescent="0.2">
      <c r="A1967" s="17">
        <v>72067005</v>
      </c>
      <c r="B1967" s="18" t="s">
        <v>303</v>
      </c>
      <c r="C1967" s="5">
        <v>25</v>
      </c>
      <c r="D1967" s="5" t="s">
        <v>949</v>
      </c>
    </row>
    <row r="1968" spans="1:4" x14ac:dyDescent="0.2">
      <c r="A1968" s="17">
        <v>72067006</v>
      </c>
      <c r="B1968" s="18" t="s">
        <v>303</v>
      </c>
      <c r="C1968" s="5">
        <v>25</v>
      </c>
      <c r="D1968" s="5" t="s">
        <v>949</v>
      </c>
    </row>
    <row r="1969" spans="1:4" x14ac:dyDescent="0.2">
      <c r="A1969" s="17">
        <v>72067100</v>
      </c>
      <c r="B1969" s="18" t="s">
        <v>303</v>
      </c>
      <c r="C1969" s="5">
        <v>25</v>
      </c>
      <c r="D1969" s="5" t="s">
        <v>949</v>
      </c>
    </row>
    <row r="1970" spans="1:4" x14ac:dyDescent="0.2">
      <c r="A1970" s="17">
        <v>72067101</v>
      </c>
      <c r="B1970" s="18" t="s">
        <v>303</v>
      </c>
      <c r="C1970" s="5">
        <v>25</v>
      </c>
      <c r="D1970" s="5" t="s">
        <v>949</v>
      </c>
    </row>
    <row r="1971" spans="1:4" x14ac:dyDescent="0.2">
      <c r="A1971" s="17">
        <v>72067102</v>
      </c>
      <c r="B1971" s="18" t="s">
        <v>303</v>
      </c>
      <c r="C1971" s="5">
        <v>25</v>
      </c>
      <c r="D1971" s="5" t="s">
        <v>949</v>
      </c>
    </row>
    <row r="1972" spans="1:4" x14ac:dyDescent="0.2">
      <c r="A1972" s="17">
        <v>72067750</v>
      </c>
      <c r="B1972" s="18" t="s">
        <v>303</v>
      </c>
      <c r="C1972" s="5">
        <v>25</v>
      </c>
      <c r="D1972" s="5" t="s">
        <v>949</v>
      </c>
    </row>
    <row r="1973" spans="1:4" x14ac:dyDescent="0.2">
      <c r="A1973" s="17">
        <v>72067751</v>
      </c>
      <c r="B1973" s="18" t="s">
        <v>303</v>
      </c>
      <c r="C1973" s="5">
        <v>25</v>
      </c>
      <c r="D1973" s="5" t="s">
        <v>949</v>
      </c>
    </row>
    <row r="1974" spans="1:4" x14ac:dyDescent="0.2">
      <c r="A1974" s="17">
        <v>72067752</v>
      </c>
      <c r="B1974" s="18" t="s">
        <v>303</v>
      </c>
      <c r="C1974" s="5">
        <v>25</v>
      </c>
      <c r="D1974" s="5" t="s">
        <v>949</v>
      </c>
    </row>
    <row r="1975" spans="1:4" x14ac:dyDescent="0.2">
      <c r="A1975" s="17">
        <v>72067850</v>
      </c>
      <c r="B1975" s="18" t="s">
        <v>303</v>
      </c>
      <c r="C1975" s="5">
        <v>25</v>
      </c>
      <c r="D1975" s="5" t="s">
        <v>949</v>
      </c>
    </row>
    <row r="1976" spans="1:4" x14ac:dyDescent="0.2">
      <c r="A1976" s="17" t="s">
        <v>150</v>
      </c>
      <c r="B1976" s="18" t="s">
        <v>2523</v>
      </c>
      <c r="C1976" s="5">
        <v>25</v>
      </c>
      <c r="D1976" s="5" t="s">
        <v>949</v>
      </c>
    </row>
    <row r="1977" spans="1:4" x14ac:dyDescent="0.2">
      <c r="A1977" s="17" t="s">
        <v>2524</v>
      </c>
      <c r="B1977" s="18" t="s">
        <v>2523</v>
      </c>
      <c r="C1977" s="5">
        <v>25</v>
      </c>
      <c r="D1977" s="5" t="s">
        <v>949</v>
      </c>
    </row>
    <row r="1978" spans="1:4" x14ac:dyDescent="0.2">
      <c r="A1978" s="17" t="s">
        <v>2525</v>
      </c>
      <c r="B1978" s="18" t="s">
        <v>2523</v>
      </c>
      <c r="C1978" s="5">
        <v>25</v>
      </c>
      <c r="D1978" s="5" t="s">
        <v>949</v>
      </c>
    </row>
    <row r="1979" spans="1:4" x14ac:dyDescent="0.2">
      <c r="A1979" s="17" t="s">
        <v>2526</v>
      </c>
      <c r="B1979" s="18" t="s">
        <v>2523</v>
      </c>
      <c r="C1979" s="5">
        <v>25</v>
      </c>
      <c r="D1979" s="5" t="s">
        <v>949</v>
      </c>
    </row>
    <row r="1980" spans="1:4" x14ac:dyDescent="0.2">
      <c r="A1980" s="17" t="s">
        <v>2527</v>
      </c>
      <c r="B1980" s="18" t="s">
        <v>2523</v>
      </c>
      <c r="C1980" s="5">
        <v>25</v>
      </c>
      <c r="D1980" s="5" t="s">
        <v>949</v>
      </c>
    </row>
    <row r="1981" spans="1:4" x14ac:dyDescent="0.2">
      <c r="A1981" s="17" t="s">
        <v>2528</v>
      </c>
      <c r="B1981" s="18" t="s">
        <v>2523</v>
      </c>
      <c r="C1981" s="5">
        <v>25</v>
      </c>
      <c r="D1981" s="5" t="s">
        <v>949</v>
      </c>
    </row>
    <row r="1982" spans="1:4" x14ac:dyDescent="0.2">
      <c r="A1982" s="17">
        <v>4205401</v>
      </c>
      <c r="B1982" s="18"/>
      <c r="C1982" s="5">
        <v>29</v>
      </c>
      <c r="D1982" s="5" t="s">
        <v>1407</v>
      </c>
    </row>
    <row r="1983" spans="1:4" x14ac:dyDescent="0.2">
      <c r="A1983" s="17" t="s">
        <v>2529</v>
      </c>
      <c r="B1983" s="18" t="s">
        <v>2523</v>
      </c>
      <c r="C1983" s="5">
        <v>25</v>
      </c>
      <c r="D1983" s="5" t="s">
        <v>949</v>
      </c>
    </row>
    <row r="1984" spans="1:4" x14ac:dyDescent="0.2">
      <c r="A1984" s="17" t="s">
        <v>157</v>
      </c>
      <c r="B1984" s="18" t="s">
        <v>2523</v>
      </c>
      <c r="C1984" s="5">
        <v>25</v>
      </c>
      <c r="D1984" s="5" t="s">
        <v>949</v>
      </c>
    </row>
    <row r="1985" spans="1:4" x14ac:dyDescent="0.2">
      <c r="A1985" s="17" t="s">
        <v>2530</v>
      </c>
      <c r="B1985" s="18" t="s">
        <v>2523</v>
      </c>
      <c r="C1985" s="5">
        <v>25</v>
      </c>
      <c r="D1985" s="5" t="s">
        <v>949</v>
      </c>
    </row>
    <row r="1986" spans="1:4" x14ac:dyDescent="0.2">
      <c r="A1986" s="17" t="s">
        <v>150</v>
      </c>
      <c r="B1986" s="18" t="s">
        <v>2523</v>
      </c>
      <c r="C1986" s="5">
        <v>25</v>
      </c>
      <c r="D1986" s="5" t="s">
        <v>949</v>
      </c>
    </row>
    <row r="1987" spans="1:4" x14ac:dyDescent="0.2">
      <c r="A1987" s="17" t="s">
        <v>131</v>
      </c>
      <c r="B1987" s="18" t="s">
        <v>948</v>
      </c>
      <c r="C1987" s="5">
        <v>25</v>
      </c>
      <c r="D1987" s="5" t="s">
        <v>949</v>
      </c>
    </row>
    <row r="1988" spans="1:4" x14ac:dyDescent="0.2">
      <c r="A1988" s="17">
        <v>4205401</v>
      </c>
      <c r="B1988" s="18" t="s">
        <v>1449</v>
      </c>
      <c r="C1988" s="5">
        <v>29</v>
      </c>
      <c r="D1988" s="5" t="s">
        <v>1407</v>
      </c>
    </row>
    <row r="1989" spans="1:4" x14ac:dyDescent="0.2">
      <c r="A1989" s="17">
        <v>4205400</v>
      </c>
      <c r="B1989" s="18" t="s">
        <v>1449</v>
      </c>
      <c r="C1989" s="5">
        <v>29</v>
      </c>
      <c r="D1989" s="5" t="s">
        <v>1407</v>
      </c>
    </row>
    <row r="1990" spans="1:4" x14ac:dyDescent="0.2">
      <c r="A1990" s="17" t="s">
        <v>2531</v>
      </c>
      <c r="B1990" s="18" t="s">
        <v>2532</v>
      </c>
      <c r="C1990" s="5">
        <v>24</v>
      </c>
      <c r="D1990" s="5" t="s">
        <v>854</v>
      </c>
    </row>
    <row r="1991" spans="1:4" x14ac:dyDescent="0.2">
      <c r="A1991" s="17" t="s">
        <v>2533</v>
      </c>
      <c r="B1991" s="18" t="s">
        <v>2534</v>
      </c>
      <c r="C1991" s="5">
        <v>25</v>
      </c>
      <c r="D1991" s="5" t="s">
        <v>949</v>
      </c>
    </row>
    <row r="1992" spans="1:4" x14ac:dyDescent="0.2">
      <c r="A1992" s="17" t="s">
        <v>2535</v>
      </c>
      <c r="B1992" s="18" t="s">
        <v>2536</v>
      </c>
      <c r="C1992" s="5">
        <v>25</v>
      </c>
      <c r="D1992" s="5" t="s">
        <v>949</v>
      </c>
    </row>
    <row r="1993" spans="1:4" x14ac:dyDescent="0.2">
      <c r="A1993" s="17" t="s">
        <v>378</v>
      </c>
      <c r="B1993" s="18" t="s">
        <v>2536</v>
      </c>
      <c r="C1993" s="5">
        <v>25</v>
      </c>
      <c r="D1993" s="5" t="s">
        <v>949</v>
      </c>
    </row>
    <row r="1994" spans="1:4" x14ac:dyDescent="0.2">
      <c r="A1994" s="17" t="s">
        <v>2537</v>
      </c>
      <c r="B1994" s="18" t="s">
        <v>2538</v>
      </c>
      <c r="C1994" s="5">
        <v>25</v>
      </c>
      <c r="D1994" s="5" t="s">
        <v>949</v>
      </c>
    </row>
    <row r="1995" spans="1:4" x14ac:dyDescent="0.2">
      <c r="A1995" s="17" t="s">
        <v>2539</v>
      </c>
      <c r="B1995" s="18" t="s">
        <v>2540</v>
      </c>
      <c r="C1995" s="5">
        <v>25</v>
      </c>
      <c r="D1995" s="5" t="s">
        <v>949</v>
      </c>
    </row>
    <row r="1996" spans="1:4" x14ac:dyDescent="0.2">
      <c r="A1996" s="17" t="s">
        <v>382</v>
      </c>
      <c r="B1996" s="18" t="s">
        <v>383</v>
      </c>
      <c r="C1996" s="5">
        <v>25</v>
      </c>
      <c r="D1996" s="5" t="s">
        <v>949</v>
      </c>
    </row>
    <row r="1997" spans="1:4" x14ac:dyDescent="0.2">
      <c r="A1997" s="17" t="s">
        <v>568</v>
      </c>
      <c r="B1997" s="18" t="s">
        <v>2538</v>
      </c>
      <c r="C1997" s="5">
        <v>25</v>
      </c>
      <c r="D1997" s="5" t="s">
        <v>949</v>
      </c>
    </row>
    <row r="1998" spans="1:4" x14ac:dyDescent="0.2">
      <c r="A1998" s="17" t="s">
        <v>371</v>
      </c>
      <c r="B1998" s="18" t="s">
        <v>2540</v>
      </c>
      <c r="C1998" s="5">
        <v>25</v>
      </c>
      <c r="D1998" s="5" t="s">
        <v>949</v>
      </c>
    </row>
    <row r="1999" spans="1:4" x14ac:dyDescent="0.2">
      <c r="A1999" s="17" t="s">
        <v>375</v>
      </c>
      <c r="B1999" s="18" t="s">
        <v>2540</v>
      </c>
      <c r="C1999" s="5">
        <v>25</v>
      </c>
      <c r="D1999" s="5" t="s">
        <v>949</v>
      </c>
    </row>
    <row r="2000" spans="1:4" x14ac:dyDescent="0.2">
      <c r="A2000" s="17" t="s">
        <v>370</v>
      </c>
      <c r="B2000" s="18" t="s">
        <v>2540</v>
      </c>
      <c r="C2000" s="5">
        <v>25</v>
      </c>
      <c r="D2000" s="5" t="s">
        <v>949</v>
      </c>
    </row>
    <row r="2001" spans="1:4" x14ac:dyDescent="0.2">
      <c r="A2001" s="17" t="s">
        <v>268</v>
      </c>
      <c r="B2001" s="18" t="s">
        <v>2540</v>
      </c>
      <c r="C2001" s="5">
        <v>25</v>
      </c>
      <c r="D2001" s="5" t="s">
        <v>949</v>
      </c>
    </row>
    <row r="2002" spans="1:4" x14ac:dyDescent="0.2">
      <c r="A2002" s="17" t="s">
        <v>2541</v>
      </c>
      <c r="B2002" s="18" t="s">
        <v>2542</v>
      </c>
      <c r="C2002" s="5">
        <v>25</v>
      </c>
      <c r="D2002" s="5" t="s">
        <v>949</v>
      </c>
    </row>
    <row r="2003" spans="1:4" x14ac:dyDescent="0.2">
      <c r="A2003" s="17" t="s">
        <v>2543</v>
      </c>
      <c r="B2003" s="18" t="s">
        <v>2540</v>
      </c>
      <c r="C2003" s="5">
        <v>25</v>
      </c>
      <c r="D2003" s="5" t="s">
        <v>949</v>
      </c>
    </row>
    <row r="2004" spans="1:4" x14ac:dyDescent="0.2">
      <c r="A2004" s="17" t="s">
        <v>372</v>
      </c>
      <c r="B2004" s="18" t="s">
        <v>2540</v>
      </c>
      <c r="C2004" s="5">
        <v>25</v>
      </c>
      <c r="D2004" s="5" t="s">
        <v>949</v>
      </c>
    </row>
    <row r="2005" spans="1:4" x14ac:dyDescent="0.2">
      <c r="A2005" s="17" t="s">
        <v>2544</v>
      </c>
      <c r="B2005" s="18" t="s">
        <v>2542</v>
      </c>
      <c r="C2005" s="5">
        <v>25</v>
      </c>
      <c r="D2005" s="5" t="s">
        <v>949</v>
      </c>
    </row>
    <row r="2006" spans="1:4" x14ac:dyDescent="0.2">
      <c r="A2006" s="17" t="s">
        <v>2545</v>
      </c>
      <c r="B2006" s="18" t="s">
        <v>2542</v>
      </c>
      <c r="C2006" s="5">
        <v>25</v>
      </c>
      <c r="D2006" s="5" t="s">
        <v>949</v>
      </c>
    </row>
    <row r="2007" spans="1:4" x14ac:dyDescent="0.2">
      <c r="A2007" s="17" t="s">
        <v>2546</v>
      </c>
      <c r="B2007" s="18" t="s">
        <v>2542</v>
      </c>
      <c r="C2007" s="5">
        <v>25</v>
      </c>
      <c r="D2007" s="5" t="s">
        <v>949</v>
      </c>
    </row>
    <row r="2008" spans="1:4" x14ac:dyDescent="0.2">
      <c r="A2008" s="17" t="s">
        <v>2547</v>
      </c>
      <c r="B2008" s="18" t="s">
        <v>2542</v>
      </c>
      <c r="C2008" s="5">
        <v>25</v>
      </c>
      <c r="D2008" s="5" t="s">
        <v>949</v>
      </c>
    </row>
    <row r="2009" spans="1:4" x14ac:dyDescent="0.2">
      <c r="A2009" s="17" t="s">
        <v>322</v>
      </c>
      <c r="B2009" s="18" t="s">
        <v>323</v>
      </c>
      <c r="C2009" s="5">
        <v>25</v>
      </c>
      <c r="D2009" s="5" t="s">
        <v>949</v>
      </c>
    </row>
    <row r="2010" spans="1:4" x14ac:dyDescent="0.2">
      <c r="A2010" s="17" t="s">
        <v>2548</v>
      </c>
      <c r="B2010" s="18" t="s">
        <v>2540</v>
      </c>
      <c r="C2010" s="5">
        <v>25</v>
      </c>
      <c r="D2010" s="5" t="s">
        <v>949</v>
      </c>
    </row>
    <row r="2011" spans="1:4" x14ac:dyDescent="0.2">
      <c r="A2011" s="17" t="s">
        <v>374</v>
      </c>
      <c r="B2011" s="18" t="s">
        <v>2540</v>
      </c>
      <c r="C2011" s="5">
        <v>25</v>
      </c>
      <c r="D2011" s="5" t="s">
        <v>949</v>
      </c>
    </row>
    <row r="2012" spans="1:4" x14ac:dyDescent="0.2">
      <c r="A2012" s="17" t="s">
        <v>2549</v>
      </c>
      <c r="B2012" s="18" t="s">
        <v>2542</v>
      </c>
      <c r="C2012" s="5">
        <v>25</v>
      </c>
      <c r="D2012" s="5" t="s">
        <v>949</v>
      </c>
    </row>
    <row r="2013" spans="1:4" x14ac:dyDescent="0.2">
      <c r="A2013" s="17" t="s">
        <v>340</v>
      </c>
      <c r="B2013" s="18" t="s">
        <v>2540</v>
      </c>
      <c r="C2013" s="5">
        <v>25</v>
      </c>
      <c r="D2013" s="5" t="s">
        <v>949</v>
      </c>
    </row>
    <row r="2014" spans="1:4" x14ac:dyDescent="0.2">
      <c r="A2014" s="17" t="s">
        <v>2550</v>
      </c>
      <c r="B2014" s="18" t="s">
        <v>2536</v>
      </c>
      <c r="C2014" s="5">
        <v>25</v>
      </c>
      <c r="D2014" s="5" t="s">
        <v>949</v>
      </c>
    </row>
    <row r="2015" spans="1:4" x14ac:dyDescent="0.2">
      <c r="A2015" s="17" t="s">
        <v>297</v>
      </c>
      <c r="B2015" s="18" t="s">
        <v>2551</v>
      </c>
      <c r="C2015" s="5">
        <v>25</v>
      </c>
      <c r="D2015" s="5" t="s">
        <v>949</v>
      </c>
    </row>
    <row r="2016" spans="1:4" x14ac:dyDescent="0.2">
      <c r="A2016" s="17" t="s">
        <v>379</v>
      </c>
      <c r="B2016" s="18" t="s">
        <v>2538</v>
      </c>
      <c r="C2016" s="5">
        <v>25</v>
      </c>
      <c r="D2016" s="5" t="s">
        <v>949</v>
      </c>
    </row>
    <row r="2017" spans="1:4" x14ac:dyDescent="0.2">
      <c r="A2017" s="17" t="s">
        <v>298</v>
      </c>
      <c r="B2017" s="18" t="s">
        <v>2551</v>
      </c>
      <c r="C2017" s="5">
        <v>25</v>
      </c>
      <c r="D2017" s="5" t="s">
        <v>949</v>
      </c>
    </row>
    <row r="2018" spans="1:4" x14ac:dyDescent="0.2">
      <c r="A2018" s="17" t="s">
        <v>2552</v>
      </c>
      <c r="B2018" s="18" t="s">
        <v>2553</v>
      </c>
      <c r="C2018" s="5">
        <v>25</v>
      </c>
      <c r="D2018" s="5" t="s">
        <v>949</v>
      </c>
    </row>
    <row r="2019" spans="1:4" x14ac:dyDescent="0.2">
      <c r="A2019" s="17" t="s">
        <v>382</v>
      </c>
      <c r="B2019" s="18" t="s">
        <v>383</v>
      </c>
      <c r="C2019" s="5">
        <v>25</v>
      </c>
      <c r="D2019" s="5" t="s">
        <v>949</v>
      </c>
    </row>
    <row r="2020" spans="1:4" x14ac:dyDescent="0.2">
      <c r="A2020" s="17" t="s">
        <v>2554</v>
      </c>
      <c r="B2020" s="18" t="s">
        <v>323</v>
      </c>
      <c r="C2020" s="5">
        <v>25</v>
      </c>
      <c r="D2020" s="5" t="s">
        <v>949</v>
      </c>
    </row>
    <row r="2021" spans="1:4" x14ac:dyDescent="0.2">
      <c r="A2021" s="17" t="s">
        <v>322</v>
      </c>
      <c r="B2021" s="18" t="s">
        <v>323</v>
      </c>
      <c r="C2021" s="5">
        <v>25</v>
      </c>
      <c r="D2021" s="5" t="s">
        <v>949</v>
      </c>
    </row>
    <row r="2022" spans="1:4" x14ac:dyDescent="0.2">
      <c r="A2022" s="17" t="s">
        <v>2555</v>
      </c>
      <c r="B2022" s="18" t="s">
        <v>2556</v>
      </c>
      <c r="C2022" s="5">
        <v>25</v>
      </c>
      <c r="D2022" s="5" t="s">
        <v>949</v>
      </c>
    </row>
    <row r="2023" spans="1:4" x14ac:dyDescent="0.2">
      <c r="A2023" s="17" t="s">
        <v>131</v>
      </c>
      <c r="B2023" s="18" t="s">
        <v>948</v>
      </c>
      <c r="C2023" s="5">
        <v>25</v>
      </c>
      <c r="D2023" s="5" t="s">
        <v>949</v>
      </c>
    </row>
    <row r="2024" spans="1:4" x14ac:dyDescent="0.2">
      <c r="A2024" s="17">
        <v>4205401</v>
      </c>
      <c r="B2024" s="18" t="s">
        <v>1449</v>
      </c>
      <c r="C2024" s="5">
        <v>29</v>
      </c>
      <c r="D2024" s="5" t="s">
        <v>1407</v>
      </c>
    </row>
    <row r="2025" spans="1:4" x14ac:dyDescent="0.2">
      <c r="A2025" s="17">
        <v>4205400</v>
      </c>
      <c r="B2025" s="18" t="s">
        <v>1449</v>
      </c>
      <c r="C2025" s="5">
        <v>29</v>
      </c>
      <c r="D2025" s="5" t="s">
        <v>1407</v>
      </c>
    </row>
    <row r="2026" spans="1:4" x14ac:dyDescent="0.2">
      <c r="A2026" s="17" t="s">
        <v>564</v>
      </c>
      <c r="B2026" s="18" t="s">
        <v>383</v>
      </c>
      <c r="C2026" s="5">
        <v>25</v>
      </c>
      <c r="D2026" s="5" t="s">
        <v>949</v>
      </c>
    </row>
    <row r="2027" spans="1:4" x14ac:dyDescent="0.2">
      <c r="A2027" s="17" t="s">
        <v>376</v>
      </c>
      <c r="B2027" s="18" t="s">
        <v>2540</v>
      </c>
      <c r="C2027" s="5">
        <v>25</v>
      </c>
      <c r="D2027" s="5" t="s">
        <v>949</v>
      </c>
    </row>
    <row r="2028" spans="1:4" x14ac:dyDescent="0.2">
      <c r="A2028" s="17" t="s">
        <v>377</v>
      </c>
      <c r="B2028" s="18" t="s">
        <v>2540</v>
      </c>
      <c r="C2028" s="5">
        <v>25</v>
      </c>
      <c r="D2028" s="5" t="s">
        <v>949</v>
      </c>
    </row>
    <row r="2029" spans="1:4" x14ac:dyDescent="0.2">
      <c r="A2029" s="17" t="s">
        <v>310</v>
      </c>
      <c r="B2029" s="18" t="s">
        <v>2523</v>
      </c>
      <c r="C2029" s="5">
        <v>25</v>
      </c>
      <c r="D2029" s="5" t="s">
        <v>949</v>
      </c>
    </row>
    <row r="2030" spans="1:4" x14ac:dyDescent="0.2">
      <c r="A2030" s="17" t="s">
        <v>183</v>
      </c>
      <c r="B2030" s="18" t="s">
        <v>2557</v>
      </c>
      <c r="C2030" s="5">
        <v>25</v>
      </c>
      <c r="D2030" s="5" t="s">
        <v>949</v>
      </c>
    </row>
    <row r="2031" spans="1:4" x14ac:dyDescent="0.2">
      <c r="A2031" s="17" t="s">
        <v>193</v>
      </c>
      <c r="B2031" s="18" t="s">
        <v>1484</v>
      </c>
      <c r="C2031" s="5">
        <v>35</v>
      </c>
      <c r="D2031" s="5" t="s">
        <v>1485</v>
      </c>
    </row>
    <row r="2032" spans="1:4" x14ac:dyDescent="0.2">
      <c r="A2032" s="17" t="s">
        <v>2558</v>
      </c>
      <c r="B2032" s="18" t="s">
        <v>2523</v>
      </c>
      <c r="C2032" s="5">
        <v>25</v>
      </c>
      <c r="D2032" s="5" t="s">
        <v>949</v>
      </c>
    </row>
    <row r="2033" spans="1:4" x14ac:dyDescent="0.2">
      <c r="A2033" s="17" t="s">
        <v>2559</v>
      </c>
      <c r="B2033" s="18" t="s">
        <v>957</v>
      </c>
      <c r="C2033" s="5">
        <v>25</v>
      </c>
      <c r="D2033" s="5" t="s">
        <v>949</v>
      </c>
    </row>
    <row r="2034" spans="1:4" x14ac:dyDescent="0.2">
      <c r="A2034" s="17" t="s">
        <v>302</v>
      </c>
      <c r="B2034" s="18" t="s">
        <v>1076</v>
      </c>
      <c r="C2034" s="5">
        <v>25</v>
      </c>
      <c r="D2034" s="5" t="s">
        <v>949</v>
      </c>
    </row>
    <row r="2035" spans="1:4" x14ac:dyDescent="0.2">
      <c r="A2035" s="17" t="s">
        <v>2560</v>
      </c>
      <c r="B2035" s="18" t="s">
        <v>957</v>
      </c>
      <c r="C2035" s="5">
        <v>25</v>
      </c>
      <c r="D2035" s="5" t="s">
        <v>949</v>
      </c>
    </row>
    <row r="2036" spans="1:4" x14ac:dyDescent="0.2">
      <c r="A2036" s="17" t="s">
        <v>2561</v>
      </c>
      <c r="B2036" s="18" t="s">
        <v>2523</v>
      </c>
      <c r="C2036" s="5">
        <v>25</v>
      </c>
      <c r="D2036" s="5" t="s">
        <v>949</v>
      </c>
    </row>
    <row r="2037" spans="1:4" x14ac:dyDescent="0.2">
      <c r="A2037" s="17" t="s">
        <v>2562</v>
      </c>
      <c r="B2037" s="18" t="s">
        <v>2523</v>
      </c>
      <c r="C2037" s="5">
        <v>25</v>
      </c>
      <c r="D2037" s="5" t="s">
        <v>949</v>
      </c>
    </row>
    <row r="2038" spans="1:4" x14ac:dyDescent="0.2">
      <c r="A2038" s="17" t="s">
        <v>2563</v>
      </c>
      <c r="B2038" s="18" t="s">
        <v>2523</v>
      </c>
      <c r="C2038" s="5">
        <v>25</v>
      </c>
      <c r="D2038" s="5" t="s">
        <v>949</v>
      </c>
    </row>
    <row r="2039" spans="1:4" x14ac:dyDescent="0.2">
      <c r="A2039" s="17" t="s">
        <v>2541</v>
      </c>
      <c r="B2039" s="18" t="s">
        <v>2542</v>
      </c>
      <c r="C2039" s="5">
        <v>25</v>
      </c>
      <c r="D2039" s="5" t="s">
        <v>949</v>
      </c>
    </row>
    <row r="2040" spans="1:4" x14ac:dyDescent="0.2">
      <c r="A2040" s="17" t="s">
        <v>2547</v>
      </c>
      <c r="B2040" s="18" t="s">
        <v>2542</v>
      </c>
      <c r="C2040" s="5">
        <v>25</v>
      </c>
      <c r="D2040" s="5" t="s">
        <v>949</v>
      </c>
    </row>
    <row r="2041" spans="1:4" x14ac:dyDescent="0.2">
      <c r="A2041" s="17" t="s">
        <v>559</v>
      </c>
      <c r="B2041" s="18" t="s">
        <v>1484</v>
      </c>
      <c r="C2041" s="5">
        <v>35</v>
      </c>
      <c r="D2041" s="5" t="s">
        <v>1485</v>
      </c>
    </row>
    <row r="2042" spans="1:4" x14ac:dyDescent="0.2">
      <c r="A2042" s="17" t="s">
        <v>556</v>
      </c>
      <c r="B2042" s="18" t="s">
        <v>1484</v>
      </c>
      <c r="C2042" s="5">
        <v>35</v>
      </c>
      <c r="D2042" s="5" t="s">
        <v>1485</v>
      </c>
    </row>
    <row r="2043" spans="1:4" ht="15" x14ac:dyDescent="0.2">
      <c r="A2043" s="21" t="s">
        <v>139</v>
      </c>
      <c r="B2043" s="33" t="s">
        <v>4052</v>
      </c>
      <c r="C2043" s="6">
        <v>33</v>
      </c>
      <c r="D2043" s="5" t="s">
        <v>854</v>
      </c>
    </row>
    <row r="2044" spans="1:4" ht="15" x14ac:dyDescent="0.2">
      <c r="A2044" s="21" t="s">
        <v>400</v>
      </c>
      <c r="B2044" s="33" t="s">
        <v>4053</v>
      </c>
      <c r="C2044" s="6">
        <v>33</v>
      </c>
      <c r="D2044" s="5" t="s">
        <v>854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AB120"/>
  <sheetViews>
    <sheetView tabSelected="1" topLeftCell="A37" zoomScaleNormal="100" workbookViewId="0">
      <selection activeCell="X12" sqref="X12"/>
    </sheetView>
  </sheetViews>
  <sheetFormatPr defaultRowHeight="12.75" x14ac:dyDescent="0.2"/>
  <cols>
    <col min="1" max="23" width="9.140625" style="6"/>
    <col min="24" max="24" width="5.140625" style="6" customWidth="1"/>
    <col min="25" max="27" width="9.140625" style="6"/>
    <col min="28" max="28" width="9.140625" style="31"/>
    <col min="29" max="16384" width="9.140625" style="6"/>
  </cols>
  <sheetData>
    <row r="1" spans="1:28" ht="24.75" x14ac:dyDescent="0.2">
      <c r="A1" s="22">
        <f>Merge2!H2</f>
        <v>44264</v>
      </c>
      <c r="B1" s="23" t="s">
        <v>2564</v>
      </c>
      <c r="C1" s="24" t="str">
        <f>Merge2!S2</f>
        <v>WATER HEATER</v>
      </c>
      <c r="D1" s="24" t="str">
        <f>Merge2!Q2</f>
        <v>N19100596AA0654</v>
      </c>
      <c r="E1" s="25" t="str">
        <f>VLOOKUP(X1,LPN!$A:$D,4,0)</f>
        <v>C6 Equipment</v>
      </c>
      <c r="F1" s="26" t="s">
        <v>2565</v>
      </c>
      <c r="G1" s="27" t="s">
        <v>2566</v>
      </c>
      <c r="H1" s="27"/>
      <c r="I1" s="28"/>
      <c r="J1" s="28" t="s">
        <v>2566</v>
      </c>
      <c r="K1" s="27"/>
      <c r="L1" s="27" t="s">
        <v>2566</v>
      </c>
      <c r="M1" s="27" t="s">
        <v>2566</v>
      </c>
      <c r="N1" s="28"/>
      <c r="O1" s="27" t="s">
        <v>2566</v>
      </c>
      <c r="P1" s="28"/>
      <c r="Q1" s="27" t="str">
        <f>IF(Merge2!X2="CRS","X"," ")</f>
        <v>X</v>
      </c>
      <c r="R1" s="23">
        <f>VLOOKUP(X1,LPN!$A:$F,3,0)</f>
        <v>25</v>
      </c>
      <c r="S1" s="26" t="str">
        <f>IF(Merge2!X2="CRS","Maintenance, TBS, Repair, CRS","Maintenance, TBS, Repair")</f>
        <v>Maintenance, TBS, Repair, CRS</v>
      </c>
      <c r="T1" s="32">
        <f>AB1</f>
        <v>11</v>
      </c>
      <c r="U1" s="29" t="str">
        <f>Merge2!R2</f>
        <v>CM62969</v>
      </c>
      <c r="V1" s="30"/>
      <c r="X1" s="6" t="str">
        <f>Merge2!P2</f>
        <v>4360004-88-00-18</v>
      </c>
      <c r="AA1" s="6">
        <f t="shared" ref="AA1" si="0">COUNTIF(dates,A1)</f>
        <v>1</v>
      </c>
      <c r="AB1" s="31">
        <f>11/AA1</f>
        <v>11</v>
      </c>
    </row>
    <row r="2" spans="1:28" ht="16.5" x14ac:dyDescent="0.2">
      <c r="A2" s="22">
        <f>Merge2!H3</f>
        <v>44267</v>
      </c>
      <c r="B2" s="23" t="s">
        <v>2564</v>
      </c>
      <c r="C2" s="24" t="str">
        <f>Merge2!S3</f>
        <v>COFFEE MAKER</v>
      </c>
      <c r="D2" s="24" t="str">
        <f>Merge2!Q3</f>
        <v>1914A</v>
      </c>
      <c r="E2" s="25" t="str">
        <f>VLOOKUP(X2,LPN!$A:$D,4,0)</f>
        <v>C6 Equipment</v>
      </c>
      <c r="F2" s="26" t="s">
        <v>2565</v>
      </c>
      <c r="G2" s="27" t="s">
        <v>2566</v>
      </c>
      <c r="H2" s="27"/>
      <c r="I2" s="28"/>
      <c r="J2" s="28" t="s">
        <v>2566</v>
      </c>
      <c r="K2" s="27"/>
      <c r="L2" s="27" t="s">
        <v>2566</v>
      </c>
      <c r="M2" s="27" t="s">
        <v>2566</v>
      </c>
      <c r="N2" s="28"/>
      <c r="O2" s="27" t="s">
        <v>2566</v>
      </c>
      <c r="P2" s="28"/>
      <c r="Q2" s="27" t="str">
        <f>IF(Merge2!X3="CRS","X"," ")</f>
        <v xml:space="preserve"> </v>
      </c>
      <c r="R2" s="23">
        <f>VLOOKUP(X2,LPN!$A:$F,3,0)</f>
        <v>25</v>
      </c>
      <c r="S2" s="26" t="str">
        <f>IF(Merge2!X3="CRS","Maintenance, TBS, Repair, CRS","Maintenance, TBS, Repair")</f>
        <v>Maintenance, TBS, Repair</v>
      </c>
      <c r="T2" s="32">
        <f t="shared" ref="T2:T65" si="1">AB2</f>
        <v>5.5</v>
      </c>
      <c r="U2" s="29" t="str">
        <f>Merge2!R3</f>
        <v>CM63462</v>
      </c>
      <c r="V2" s="30"/>
      <c r="X2" s="6" t="str">
        <f>Merge2!P3</f>
        <v>11050-11</v>
      </c>
      <c r="AA2" s="6">
        <f t="shared" ref="AA2:AA65" si="2">COUNTIF(dates,A2)</f>
        <v>2</v>
      </c>
      <c r="AB2" s="31">
        <f t="shared" ref="AB2:AB65" si="3">11/AA2</f>
        <v>5.5</v>
      </c>
    </row>
    <row r="3" spans="1:28" ht="16.5" x14ac:dyDescent="0.2">
      <c r="A3" s="22">
        <f>Merge2!H4</f>
        <v>44267</v>
      </c>
      <c r="B3" s="23" t="s">
        <v>2564</v>
      </c>
      <c r="C3" s="24" t="str">
        <f>Merge2!S4</f>
        <v>COFFEE MAKER</v>
      </c>
      <c r="D3" s="24" t="str">
        <f>Merge2!Q4</f>
        <v>04M17703570035</v>
      </c>
      <c r="E3" s="25" t="str">
        <f>VLOOKUP(X3,LPN!$A:$D,4,0)</f>
        <v>C6 Equipment</v>
      </c>
      <c r="F3" s="26" t="s">
        <v>2565</v>
      </c>
      <c r="G3" s="27" t="s">
        <v>2566</v>
      </c>
      <c r="H3" s="27"/>
      <c r="I3" s="28"/>
      <c r="J3" s="28" t="s">
        <v>2566</v>
      </c>
      <c r="K3" s="27"/>
      <c r="L3" s="27" t="s">
        <v>2566</v>
      </c>
      <c r="M3" s="27" t="s">
        <v>2566</v>
      </c>
      <c r="N3" s="28"/>
      <c r="O3" s="27" t="s">
        <v>2566</v>
      </c>
      <c r="P3" s="28"/>
      <c r="Q3" s="27" t="str">
        <f>IF(Merge2!X4="CRS","X"," ")</f>
        <v>X</v>
      </c>
      <c r="R3" s="23">
        <f>VLOOKUP(X3,LPN!$A:$F,3,0)</f>
        <v>25</v>
      </c>
      <c r="S3" s="26" t="str">
        <f>IF(Merge2!X4="CRS","Maintenance, TBS, Repair, CRS","Maintenance, TBS, Repair")</f>
        <v>Maintenance, TBS, Repair, CRS</v>
      </c>
      <c r="T3" s="32">
        <f t="shared" si="1"/>
        <v>5.5</v>
      </c>
      <c r="U3" s="29" t="str">
        <f>Merge2!R4</f>
        <v>CM63196</v>
      </c>
      <c r="V3" s="30"/>
      <c r="X3" s="6" t="str">
        <f>Merge2!P4</f>
        <v>11050-11</v>
      </c>
      <c r="AA3" s="6">
        <f t="shared" si="2"/>
        <v>2</v>
      </c>
      <c r="AB3" s="31">
        <f t="shared" si="3"/>
        <v>5.5</v>
      </c>
    </row>
    <row r="4" spans="1:28" ht="16.5" x14ac:dyDescent="0.2">
      <c r="A4" s="22">
        <f>Merge2!H5</f>
        <v>44268</v>
      </c>
      <c r="B4" s="23" t="s">
        <v>2564</v>
      </c>
      <c r="C4" s="24" t="str">
        <f>Merge2!S5</f>
        <v>COFFEE MAKER</v>
      </c>
      <c r="D4" s="24" t="str">
        <f>Merge2!Q5</f>
        <v>1914A</v>
      </c>
      <c r="E4" s="25" t="str">
        <f>VLOOKUP(X4,LPN!$A:$D,4,0)</f>
        <v>C6 Equipment</v>
      </c>
      <c r="F4" s="26" t="s">
        <v>2565</v>
      </c>
      <c r="G4" s="27" t="s">
        <v>2566</v>
      </c>
      <c r="H4" s="27"/>
      <c r="I4" s="28"/>
      <c r="J4" s="28" t="s">
        <v>2566</v>
      </c>
      <c r="K4" s="27"/>
      <c r="L4" s="27" t="s">
        <v>2566</v>
      </c>
      <c r="M4" s="27" t="s">
        <v>2566</v>
      </c>
      <c r="N4" s="28"/>
      <c r="O4" s="27" t="s">
        <v>2566</v>
      </c>
      <c r="P4" s="28"/>
      <c r="Q4" s="27" t="str">
        <f>IF(Merge2!X5="CRS","X"," ")</f>
        <v xml:space="preserve"> </v>
      </c>
      <c r="R4" s="23">
        <f>VLOOKUP(X4,LPN!$A:$F,3,0)</f>
        <v>25</v>
      </c>
      <c r="S4" s="26" t="str">
        <f>IF(Merge2!X5="CRS","Maintenance, TBS, Repair, CRS","Maintenance, TBS, Repair")</f>
        <v>Maintenance, TBS, Repair</v>
      </c>
      <c r="T4" s="32">
        <f t="shared" si="1"/>
        <v>2.75</v>
      </c>
      <c r="U4" s="29" t="str">
        <f>Merge2!R5</f>
        <v>CM63462</v>
      </c>
      <c r="V4" s="30"/>
      <c r="X4" s="6" t="str">
        <f>Merge2!P5</f>
        <v>11050-11</v>
      </c>
      <c r="AA4" s="6">
        <f t="shared" si="2"/>
        <v>4</v>
      </c>
      <c r="AB4" s="31">
        <f t="shared" si="3"/>
        <v>2.75</v>
      </c>
    </row>
    <row r="5" spans="1:28" ht="16.5" x14ac:dyDescent="0.2">
      <c r="A5" s="22">
        <f>Merge2!H6</f>
        <v>44268</v>
      </c>
      <c r="B5" s="23" t="s">
        <v>2564</v>
      </c>
      <c r="C5" s="24" t="str">
        <f>Merge2!S6</f>
        <v>COFFEE MAKER</v>
      </c>
      <c r="D5" s="24" t="str">
        <f>Merge2!Q6</f>
        <v>1757</v>
      </c>
      <c r="E5" s="25" t="str">
        <f>VLOOKUP(X5,LPN!$A:$D,4,0)</f>
        <v>C6 Equipment</v>
      </c>
      <c r="F5" s="26" t="s">
        <v>2565</v>
      </c>
      <c r="G5" s="27" t="s">
        <v>2566</v>
      </c>
      <c r="H5" s="27"/>
      <c r="I5" s="28"/>
      <c r="J5" s="28" t="s">
        <v>2566</v>
      </c>
      <c r="K5" s="27"/>
      <c r="L5" s="27" t="s">
        <v>2566</v>
      </c>
      <c r="M5" s="27" t="s">
        <v>2566</v>
      </c>
      <c r="N5" s="28"/>
      <c r="O5" s="27" t="s">
        <v>2566</v>
      </c>
      <c r="P5" s="28"/>
      <c r="Q5" s="27" t="str">
        <f>IF(Merge2!X6="CRS","X"," ")</f>
        <v xml:space="preserve"> </v>
      </c>
      <c r="R5" s="23">
        <f>VLOOKUP(X5,LPN!$A:$F,3,0)</f>
        <v>25</v>
      </c>
      <c r="S5" s="26" t="str">
        <f>IF(Merge2!X6="CRS","Maintenance, TBS, Repair, CRS","Maintenance, TBS, Repair")</f>
        <v>Maintenance, TBS, Repair</v>
      </c>
      <c r="T5" s="32">
        <f t="shared" si="1"/>
        <v>2.75</v>
      </c>
      <c r="U5" s="29" t="str">
        <f>Merge2!R6</f>
        <v>CM63102</v>
      </c>
      <c r="V5" s="30"/>
      <c r="X5" s="6" t="str">
        <f>Merge2!P6</f>
        <v>11050-11</v>
      </c>
      <c r="AA5" s="6">
        <f t="shared" si="2"/>
        <v>4</v>
      </c>
      <c r="AB5" s="31">
        <f t="shared" si="3"/>
        <v>2.75</v>
      </c>
    </row>
    <row r="6" spans="1:28" ht="16.5" x14ac:dyDescent="0.2">
      <c r="A6" s="22">
        <f>Merge2!H7</f>
        <v>44268</v>
      </c>
      <c r="B6" s="23" t="s">
        <v>2564</v>
      </c>
      <c r="C6" s="24" t="str">
        <f>Merge2!S7</f>
        <v>BEVERAGE MAKER</v>
      </c>
      <c r="D6" s="24" t="str">
        <f>Merge2!Q7</f>
        <v>495309301</v>
      </c>
      <c r="E6" s="25" t="str">
        <f>VLOOKUP(X6,LPN!$A:$D,4,0)</f>
        <v>C6 Equipment</v>
      </c>
      <c r="F6" s="26" t="s">
        <v>2565</v>
      </c>
      <c r="G6" s="27" t="s">
        <v>2566</v>
      </c>
      <c r="H6" s="27"/>
      <c r="I6" s="28"/>
      <c r="J6" s="28" t="s">
        <v>2566</v>
      </c>
      <c r="K6" s="27"/>
      <c r="L6" s="27" t="s">
        <v>2566</v>
      </c>
      <c r="M6" s="27" t="s">
        <v>2566</v>
      </c>
      <c r="N6" s="28"/>
      <c r="O6" s="27" t="s">
        <v>2566</v>
      </c>
      <c r="P6" s="28"/>
      <c r="Q6" s="27" t="str">
        <f>IF(Merge2!X7="CRS","X"," ")</f>
        <v xml:space="preserve"> </v>
      </c>
      <c r="R6" s="23">
        <f>VLOOKUP(X6,LPN!$A:$F,3,0)</f>
        <v>25</v>
      </c>
      <c r="S6" s="26" t="str">
        <f>IF(Merge2!X7="CRS","Maintenance, TBS, Repair, CRS","Maintenance, TBS, Repair")</f>
        <v>Maintenance, TBS, Repair</v>
      </c>
      <c r="T6" s="32">
        <f t="shared" si="1"/>
        <v>2.75</v>
      </c>
      <c r="U6" s="29" t="str">
        <f>Merge2!R7</f>
        <v>CM63212</v>
      </c>
      <c r="V6" s="30"/>
      <c r="X6" s="6" t="str">
        <f>Merge2!P7</f>
        <v>4510-38LG-00</v>
      </c>
      <c r="AA6" s="6">
        <f t="shared" si="2"/>
        <v>4</v>
      </c>
      <c r="AB6" s="31">
        <f t="shared" si="3"/>
        <v>2.75</v>
      </c>
    </row>
    <row r="7" spans="1:28" ht="24.75" x14ac:dyDescent="0.2">
      <c r="A7" s="22">
        <f>Merge2!H8</f>
        <v>44268</v>
      </c>
      <c r="B7" s="23" t="s">
        <v>2564</v>
      </c>
      <c r="C7" s="24" t="str">
        <f>Merge2!S8</f>
        <v>BEVERAGE MAKER</v>
      </c>
      <c r="D7" s="24" t="str">
        <f>Merge2!Q8</f>
        <v>354533401</v>
      </c>
      <c r="E7" s="25" t="str">
        <f>VLOOKUP(X7,LPN!$A:$D,4,0)</f>
        <v>C6 Equipment</v>
      </c>
      <c r="F7" s="26" t="s">
        <v>2565</v>
      </c>
      <c r="G7" s="27" t="s">
        <v>2566</v>
      </c>
      <c r="H7" s="27"/>
      <c r="I7" s="28"/>
      <c r="J7" s="28" t="s">
        <v>2566</v>
      </c>
      <c r="K7" s="27"/>
      <c r="L7" s="27" t="s">
        <v>2566</v>
      </c>
      <c r="M7" s="27" t="s">
        <v>2566</v>
      </c>
      <c r="N7" s="28"/>
      <c r="O7" s="27" t="s">
        <v>2566</v>
      </c>
      <c r="P7" s="28"/>
      <c r="Q7" s="27" t="str">
        <f>IF(Merge2!X8="CRS","X"," ")</f>
        <v>X</v>
      </c>
      <c r="R7" s="23">
        <f>VLOOKUP(X7,LPN!$A:$F,3,0)</f>
        <v>25</v>
      </c>
      <c r="S7" s="26" t="str">
        <f>IF(Merge2!X8="CRS","Maintenance, TBS, Repair, CRS","Maintenance, TBS, Repair")</f>
        <v>Maintenance, TBS, Repair, CRS</v>
      </c>
      <c r="T7" s="32">
        <f t="shared" si="1"/>
        <v>2.75</v>
      </c>
      <c r="U7" s="29" t="str">
        <f>Merge2!R8</f>
        <v>CM63606</v>
      </c>
      <c r="V7" s="30"/>
      <c r="X7" s="6" t="str">
        <f>Merge2!P8</f>
        <v>4510-38LG-00</v>
      </c>
      <c r="AA7" s="6">
        <f t="shared" si="2"/>
        <v>4</v>
      </c>
      <c r="AB7" s="31">
        <f t="shared" si="3"/>
        <v>2.75</v>
      </c>
    </row>
    <row r="8" spans="1:28" ht="16.5" x14ac:dyDescent="0.2">
      <c r="A8" s="22">
        <f>Merge2!H9</f>
        <v>44269</v>
      </c>
      <c r="B8" s="23" t="s">
        <v>2564</v>
      </c>
      <c r="C8" s="24" t="str">
        <f>Merge2!S9</f>
        <v>BATTERY,EMERGENCY-NICAD,6VDC,5 AH</v>
      </c>
      <c r="D8" s="24" t="str">
        <f>Merge2!Q9</f>
        <v>002657</v>
      </c>
      <c r="E8" s="25" t="str">
        <f>VLOOKUP(X8,LPN!$A:$D,4,0)</f>
        <v>C5 Electrical Power</v>
      </c>
      <c r="F8" s="26" t="s">
        <v>2565</v>
      </c>
      <c r="G8" s="27" t="s">
        <v>2566</v>
      </c>
      <c r="H8" s="27"/>
      <c r="I8" s="28"/>
      <c r="J8" s="28" t="s">
        <v>2566</v>
      </c>
      <c r="K8" s="27"/>
      <c r="L8" s="27" t="s">
        <v>2566</v>
      </c>
      <c r="M8" s="27" t="s">
        <v>2566</v>
      </c>
      <c r="N8" s="28"/>
      <c r="O8" s="27" t="s">
        <v>2566</v>
      </c>
      <c r="P8" s="28"/>
      <c r="Q8" s="27" t="str">
        <f>IF(Merge2!X9="CRS","X"," ")</f>
        <v xml:space="preserve"> </v>
      </c>
      <c r="R8" s="23">
        <f>VLOOKUP(X8,LPN!$A:$F,3,0)</f>
        <v>33</v>
      </c>
      <c r="S8" s="26" t="str">
        <f>IF(Merge2!X9="CRS","Maintenance, TBS, Repair, CRS","Maintenance, TBS, Repair")</f>
        <v>Maintenance, TBS, Repair</v>
      </c>
      <c r="T8" s="32">
        <f t="shared" si="1"/>
        <v>1.375</v>
      </c>
      <c r="U8" s="29" t="str">
        <f>Merge2!R9</f>
        <v>CM63597</v>
      </c>
      <c r="V8" s="30"/>
      <c r="X8" s="6" t="str">
        <f>Merge2!P9</f>
        <v>3400-22-10</v>
      </c>
      <c r="AA8" s="6">
        <f t="shared" si="2"/>
        <v>8</v>
      </c>
      <c r="AB8" s="31">
        <f t="shared" si="3"/>
        <v>1.375</v>
      </c>
    </row>
    <row r="9" spans="1:28" ht="24.75" x14ac:dyDescent="0.2">
      <c r="A9" s="22">
        <f>Merge2!H10</f>
        <v>44269</v>
      </c>
      <c r="B9" s="23" t="s">
        <v>2564</v>
      </c>
      <c r="C9" s="24" t="str">
        <f>Merge2!S10</f>
        <v>BATTERY,EMERGENCY-NICAD,6VDC,5 AH</v>
      </c>
      <c r="D9" s="24" t="str">
        <f>Merge2!Q10</f>
        <v>001757</v>
      </c>
      <c r="E9" s="25" t="str">
        <f>VLOOKUP(X9,LPN!$A:$D,4,0)</f>
        <v>C5 Electrical Power</v>
      </c>
      <c r="F9" s="26" t="s">
        <v>2565</v>
      </c>
      <c r="G9" s="27" t="s">
        <v>2566</v>
      </c>
      <c r="H9" s="27"/>
      <c r="I9" s="28"/>
      <c r="J9" s="28" t="s">
        <v>2566</v>
      </c>
      <c r="K9" s="27"/>
      <c r="L9" s="27" t="s">
        <v>2566</v>
      </c>
      <c r="M9" s="27" t="s">
        <v>2566</v>
      </c>
      <c r="N9" s="28"/>
      <c r="O9" s="27" t="s">
        <v>2566</v>
      </c>
      <c r="P9" s="28"/>
      <c r="Q9" s="27" t="str">
        <f>IF(Merge2!X10="CRS","X"," ")</f>
        <v xml:space="preserve"> </v>
      </c>
      <c r="R9" s="23">
        <f>VLOOKUP(X9,LPN!$A:$F,3,0)</f>
        <v>33</v>
      </c>
      <c r="S9" s="26" t="str">
        <f>IF(Merge2!X10="CRS","Maintenance, TBS, Repair, CRS","Maintenance, TBS, Repair")</f>
        <v>Maintenance, TBS, Repair</v>
      </c>
      <c r="T9" s="32">
        <f t="shared" si="1"/>
        <v>1.375</v>
      </c>
      <c r="U9" s="29" t="str">
        <f>Merge2!R10</f>
        <v>CM63599</v>
      </c>
      <c r="V9" s="30"/>
      <c r="X9" s="6" t="str">
        <f>Merge2!P10</f>
        <v>3400-22-10</v>
      </c>
      <c r="AA9" s="6">
        <f t="shared" si="2"/>
        <v>8</v>
      </c>
      <c r="AB9" s="31">
        <f t="shared" si="3"/>
        <v>1.375</v>
      </c>
    </row>
    <row r="10" spans="1:28" ht="24.75" x14ac:dyDescent="0.2">
      <c r="A10" s="22">
        <f>Merge2!H11</f>
        <v>44269</v>
      </c>
      <c r="B10" s="23" t="s">
        <v>2564</v>
      </c>
      <c r="C10" s="24" t="str">
        <f>Merge2!S11</f>
        <v>BATTERY NICD, CONJ</v>
      </c>
      <c r="D10" s="24" t="str">
        <f>Merge2!Q11</f>
        <v>064893</v>
      </c>
      <c r="E10" s="25" t="str">
        <f>VLOOKUP(X10,LPN!$A:$D,4,0)</f>
        <v>C5 Electrical Power</v>
      </c>
      <c r="F10" s="26" t="s">
        <v>2565</v>
      </c>
      <c r="G10" s="27" t="s">
        <v>2566</v>
      </c>
      <c r="H10" s="27"/>
      <c r="I10" s="28"/>
      <c r="J10" s="28" t="s">
        <v>2566</v>
      </c>
      <c r="K10" s="27"/>
      <c r="L10" s="27" t="s">
        <v>2566</v>
      </c>
      <c r="M10" s="27" t="s">
        <v>2566</v>
      </c>
      <c r="N10" s="28"/>
      <c r="O10" s="27" t="s">
        <v>2566</v>
      </c>
      <c r="P10" s="28"/>
      <c r="Q10" s="27" t="str">
        <f>IF(Merge2!X11="CRS","X"," ")</f>
        <v xml:space="preserve"> </v>
      </c>
      <c r="R10" s="23">
        <f>VLOOKUP(X10,LPN!$A:$F,3,0)</f>
        <v>33</v>
      </c>
      <c r="S10" s="26" t="str">
        <f>IF(Merge2!X11="CRS","Maintenance, TBS, Repair, CRS","Maintenance, TBS, Repair")</f>
        <v>Maintenance, TBS, Repair</v>
      </c>
      <c r="T10" s="32">
        <f t="shared" si="1"/>
        <v>1.375</v>
      </c>
      <c r="U10" s="29" t="str">
        <f>Merge2!R11</f>
        <v>CM63588</v>
      </c>
      <c r="V10" s="30"/>
      <c r="X10" s="6" t="str">
        <f>Merge2!P11</f>
        <v>3301-31</v>
      </c>
      <c r="AA10" s="6">
        <f t="shared" si="2"/>
        <v>8</v>
      </c>
      <c r="AB10" s="31">
        <f t="shared" si="3"/>
        <v>1.375</v>
      </c>
    </row>
    <row r="11" spans="1:28" ht="16.5" x14ac:dyDescent="0.2">
      <c r="A11" s="22">
        <f>Merge2!H12</f>
        <v>44269</v>
      </c>
      <c r="B11" s="23" t="s">
        <v>2564</v>
      </c>
      <c r="C11" s="24" t="str">
        <f>Merge2!S12</f>
        <v>BATTERY NICD, CONJ</v>
      </c>
      <c r="D11" s="24" t="str">
        <f>Merge2!Q12</f>
        <v>061711</v>
      </c>
      <c r="E11" s="25" t="str">
        <f>VLOOKUP(X11,LPN!$A:$D,4,0)</f>
        <v>C5 Electrical Power</v>
      </c>
      <c r="F11" s="26" t="s">
        <v>2565</v>
      </c>
      <c r="G11" s="27" t="s">
        <v>2566</v>
      </c>
      <c r="H11" s="27"/>
      <c r="I11" s="28"/>
      <c r="J11" s="28" t="s">
        <v>2566</v>
      </c>
      <c r="K11" s="27"/>
      <c r="L11" s="27" t="s">
        <v>2566</v>
      </c>
      <c r="M11" s="27" t="s">
        <v>2566</v>
      </c>
      <c r="N11" s="28"/>
      <c r="O11" s="27" t="s">
        <v>2566</v>
      </c>
      <c r="P11" s="28"/>
      <c r="Q11" s="27" t="str">
        <f>IF(Merge2!X12="CRS","X"," ")</f>
        <v xml:space="preserve"> </v>
      </c>
      <c r="R11" s="23">
        <f>VLOOKUP(X11,LPN!$A:$F,3,0)</f>
        <v>33</v>
      </c>
      <c r="S11" s="26" t="str">
        <f>IF(Merge2!X12="CRS","Maintenance, TBS, Repair, CRS","Maintenance, TBS, Repair")</f>
        <v>Maintenance, TBS, Repair</v>
      </c>
      <c r="T11" s="32">
        <f t="shared" si="1"/>
        <v>1.375</v>
      </c>
      <c r="U11" s="29" t="str">
        <f>Merge2!R12</f>
        <v>CM63586</v>
      </c>
      <c r="V11" s="30"/>
      <c r="X11" s="6" t="str">
        <f>Merge2!P12</f>
        <v>3301-31</v>
      </c>
      <c r="AA11" s="6">
        <f t="shared" si="2"/>
        <v>8</v>
      </c>
      <c r="AB11" s="31">
        <f t="shared" si="3"/>
        <v>1.375</v>
      </c>
    </row>
    <row r="12" spans="1:28" ht="16.5" x14ac:dyDescent="0.2">
      <c r="A12" s="22">
        <f>Merge2!H13</f>
        <v>44269</v>
      </c>
      <c r="B12" s="23" t="s">
        <v>2564</v>
      </c>
      <c r="C12" s="24" t="str">
        <f>Merge2!S13</f>
        <v>BATTERY,EMERGENCY-NICAD,6VDC,5 AH</v>
      </c>
      <c r="D12" s="24" t="str">
        <f>Merge2!Q13</f>
        <v>014472</v>
      </c>
      <c r="E12" s="25" t="str">
        <f>VLOOKUP(X12,LPN!$A:$D,4,0)</f>
        <v>C5 Electrical Power</v>
      </c>
      <c r="F12" s="26" t="s">
        <v>2565</v>
      </c>
      <c r="G12" s="27" t="s">
        <v>2566</v>
      </c>
      <c r="H12" s="27"/>
      <c r="I12" s="28"/>
      <c r="J12" s="28" t="s">
        <v>2566</v>
      </c>
      <c r="K12" s="27"/>
      <c r="L12" s="27" t="s">
        <v>2566</v>
      </c>
      <c r="M12" s="27" t="s">
        <v>2566</v>
      </c>
      <c r="N12" s="28"/>
      <c r="O12" s="27" t="s">
        <v>2566</v>
      </c>
      <c r="P12" s="28"/>
      <c r="Q12" s="27" t="str">
        <f>IF(Merge2!X13="CRS","X"," ")</f>
        <v xml:space="preserve"> </v>
      </c>
      <c r="R12" s="23">
        <f>VLOOKUP(X12,LPN!$A:$F,3,0)</f>
        <v>33</v>
      </c>
      <c r="S12" s="26" t="str">
        <f>IF(Merge2!X13="CRS","Maintenance, TBS, Repair, CRS","Maintenance, TBS, Repair")</f>
        <v>Maintenance, TBS, Repair</v>
      </c>
      <c r="T12" s="32">
        <f t="shared" si="1"/>
        <v>1.375</v>
      </c>
      <c r="U12" s="29" t="str">
        <f>Merge2!R13</f>
        <v>CM63586</v>
      </c>
      <c r="V12" s="30"/>
      <c r="X12" s="6" t="str">
        <f>Merge2!P13</f>
        <v>3400-22-10</v>
      </c>
      <c r="AA12" s="6">
        <f t="shared" si="2"/>
        <v>8</v>
      </c>
      <c r="AB12" s="31">
        <f t="shared" si="3"/>
        <v>1.375</v>
      </c>
    </row>
    <row r="13" spans="1:28" ht="16.5" x14ac:dyDescent="0.2">
      <c r="A13" s="22">
        <f>Merge2!H14</f>
        <v>44269</v>
      </c>
      <c r="B13" s="23" t="s">
        <v>2564</v>
      </c>
      <c r="C13" s="24" t="str">
        <f>Merge2!S14</f>
        <v>BATTERY,EMERGENCY-NICAD,6VDC,5 AH</v>
      </c>
      <c r="D13" s="24" t="str">
        <f>Merge2!Q14</f>
        <v>002792</v>
      </c>
      <c r="E13" s="25" t="str">
        <f>VLOOKUP(X13,LPN!$A:$D,4,0)</f>
        <v>C5 Electrical Power</v>
      </c>
      <c r="F13" s="26" t="s">
        <v>2565</v>
      </c>
      <c r="G13" s="27" t="s">
        <v>2566</v>
      </c>
      <c r="H13" s="27"/>
      <c r="I13" s="28"/>
      <c r="J13" s="28" t="s">
        <v>2566</v>
      </c>
      <c r="K13" s="27"/>
      <c r="L13" s="27" t="s">
        <v>2566</v>
      </c>
      <c r="M13" s="27" t="s">
        <v>2566</v>
      </c>
      <c r="N13" s="28"/>
      <c r="O13" s="27" t="s">
        <v>2566</v>
      </c>
      <c r="P13" s="28"/>
      <c r="Q13" s="27" t="str">
        <f>IF(Merge2!X14="CRS","X"," ")</f>
        <v xml:space="preserve"> </v>
      </c>
      <c r="R13" s="23">
        <f>VLOOKUP(X13,LPN!$A:$F,3,0)</f>
        <v>33</v>
      </c>
      <c r="S13" s="26" t="str">
        <f>IF(Merge2!X14="CRS","Maintenance, TBS, Repair, CRS","Maintenance, TBS, Repair")</f>
        <v>Maintenance, TBS, Repair</v>
      </c>
      <c r="T13" s="32">
        <f t="shared" si="1"/>
        <v>1.375</v>
      </c>
      <c r="U13" s="29" t="str">
        <f>Merge2!R14</f>
        <v>CM63588</v>
      </c>
      <c r="V13" s="30"/>
      <c r="X13" s="6" t="str">
        <f>Merge2!P14</f>
        <v>3400-22-10</v>
      </c>
      <c r="AA13" s="6">
        <f t="shared" si="2"/>
        <v>8</v>
      </c>
      <c r="AB13" s="31">
        <f t="shared" si="3"/>
        <v>1.375</v>
      </c>
    </row>
    <row r="14" spans="1:28" ht="16.5" x14ac:dyDescent="0.2">
      <c r="A14" s="22">
        <f>Merge2!H15</f>
        <v>44269</v>
      </c>
      <c r="B14" s="23" t="s">
        <v>2564</v>
      </c>
      <c r="C14" s="24" t="str">
        <f>Merge2!S15</f>
        <v>BATTERY NICD, CONJ</v>
      </c>
      <c r="D14" s="24" t="str">
        <f>Merge2!Q15</f>
        <v>018796</v>
      </c>
      <c r="E14" s="25" t="str">
        <f>VLOOKUP(X14,LPN!$A:$D,4,0)</f>
        <v>C5 Electrical Power</v>
      </c>
      <c r="F14" s="26" t="s">
        <v>2565</v>
      </c>
      <c r="G14" s="27" t="s">
        <v>2566</v>
      </c>
      <c r="H14" s="27"/>
      <c r="I14" s="28"/>
      <c r="J14" s="28" t="s">
        <v>2566</v>
      </c>
      <c r="K14" s="27"/>
      <c r="L14" s="27" t="s">
        <v>2566</v>
      </c>
      <c r="M14" s="27" t="s">
        <v>2566</v>
      </c>
      <c r="N14" s="28"/>
      <c r="O14" s="27" t="s">
        <v>2566</v>
      </c>
      <c r="P14" s="28"/>
      <c r="Q14" s="27" t="str">
        <f>IF(Merge2!X15="CRS","X"," ")</f>
        <v xml:space="preserve"> </v>
      </c>
      <c r="R14" s="23">
        <f>VLOOKUP(X14,LPN!$A:$F,3,0)</f>
        <v>33</v>
      </c>
      <c r="S14" s="26" t="str">
        <f>IF(Merge2!X15="CRS","Maintenance, TBS, Repair, CRS","Maintenance, TBS, Repair")</f>
        <v>Maintenance, TBS, Repair</v>
      </c>
      <c r="T14" s="32">
        <f t="shared" si="1"/>
        <v>1.375</v>
      </c>
      <c r="U14" s="29" t="str">
        <f>Merge2!R15</f>
        <v>CM63599</v>
      </c>
      <c r="V14" s="30"/>
      <c r="X14" s="6" t="str">
        <f>Merge2!P15</f>
        <v>3301-31</v>
      </c>
      <c r="AA14" s="6">
        <f t="shared" si="2"/>
        <v>8</v>
      </c>
      <c r="AB14" s="31">
        <f t="shared" si="3"/>
        <v>1.375</v>
      </c>
    </row>
    <row r="15" spans="1:28" ht="16.5" x14ac:dyDescent="0.2">
      <c r="A15" s="22">
        <f>Merge2!H16</f>
        <v>44269</v>
      </c>
      <c r="B15" s="23" t="s">
        <v>2564</v>
      </c>
      <c r="C15" s="24" t="str">
        <f>Merge2!S16</f>
        <v>BATTERY NICD, CONJ</v>
      </c>
      <c r="D15" s="24" t="str">
        <f>Merge2!Q16</f>
        <v>054602</v>
      </c>
      <c r="E15" s="25" t="str">
        <f>VLOOKUP(X15,LPN!$A:$D,4,0)</f>
        <v>C5 Electrical Power</v>
      </c>
      <c r="F15" s="26" t="s">
        <v>2565</v>
      </c>
      <c r="G15" s="27" t="s">
        <v>2566</v>
      </c>
      <c r="H15" s="27"/>
      <c r="I15" s="28"/>
      <c r="J15" s="28" t="s">
        <v>2566</v>
      </c>
      <c r="K15" s="27"/>
      <c r="L15" s="27" t="s">
        <v>2566</v>
      </c>
      <c r="M15" s="27" t="s">
        <v>2566</v>
      </c>
      <c r="N15" s="28"/>
      <c r="O15" s="27" t="s">
        <v>2566</v>
      </c>
      <c r="P15" s="28"/>
      <c r="Q15" s="27" t="str">
        <f>IF(Merge2!X16="CRS","X"," ")</f>
        <v xml:space="preserve"> </v>
      </c>
      <c r="R15" s="23">
        <f>VLOOKUP(X15,LPN!$A:$F,3,0)</f>
        <v>33</v>
      </c>
      <c r="S15" s="26" t="str">
        <f>IF(Merge2!X16="CRS","Maintenance, TBS, Repair, CRS","Maintenance, TBS, Repair")</f>
        <v>Maintenance, TBS, Repair</v>
      </c>
      <c r="T15" s="32">
        <f t="shared" si="1"/>
        <v>1.375</v>
      </c>
      <c r="U15" s="29" t="str">
        <f>Merge2!R16</f>
        <v>CM63597</v>
      </c>
      <c r="V15" s="30"/>
      <c r="X15" s="6" t="str">
        <f>Merge2!P16</f>
        <v>3301-31</v>
      </c>
      <c r="AA15" s="6">
        <f t="shared" si="2"/>
        <v>8</v>
      </c>
      <c r="AB15" s="31">
        <f t="shared" si="3"/>
        <v>1.375</v>
      </c>
    </row>
    <row r="16" spans="1:28" ht="16.5" x14ac:dyDescent="0.2">
      <c r="A16" s="22">
        <f>Merge2!H17</f>
        <v>44272</v>
      </c>
      <c r="B16" s="23" t="s">
        <v>2564</v>
      </c>
      <c r="C16" s="24" t="str">
        <f>Merge2!S17</f>
        <v>BEVERAGE MAKER</v>
      </c>
      <c r="D16" s="24" t="str">
        <f>Merge2!Q17</f>
        <v>350971901</v>
      </c>
      <c r="E16" s="25" t="str">
        <f>VLOOKUP(X16,LPN!$A:$D,4,0)</f>
        <v>C6 Equipment</v>
      </c>
      <c r="F16" s="26" t="s">
        <v>2565</v>
      </c>
      <c r="G16" s="27" t="s">
        <v>2566</v>
      </c>
      <c r="H16" s="27"/>
      <c r="I16" s="28"/>
      <c r="J16" s="28" t="s">
        <v>2566</v>
      </c>
      <c r="K16" s="27"/>
      <c r="L16" s="27" t="s">
        <v>2566</v>
      </c>
      <c r="M16" s="27" t="s">
        <v>2566</v>
      </c>
      <c r="N16" s="28"/>
      <c r="O16" s="27" t="s">
        <v>2566</v>
      </c>
      <c r="P16" s="28"/>
      <c r="Q16" s="27" t="str">
        <f>IF(Merge2!X17="CRS","X"," ")</f>
        <v xml:space="preserve"> </v>
      </c>
      <c r="R16" s="23">
        <f>VLOOKUP(X16,LPN!$A:$F,3,0)</f>
        <v>25</v>
      </c>
      <c r="S16" s="26" t="str">
        <f>IF(Merge2!X17="CRS","Maintenance, TBS, Repair, CRS","Maintenance, TBS, Repair")</f>
        <v>Maintenance, TBS, Repair</v>
      </c>
      <c r="T16" s="32">
        <f t="shared" si="1"/>
        <v>3.6666666666666665</v>
      </c>
      <c r="U16" s="29" t="str">
        <f>Merge2!R17</f>
        <v>CM63882</v>
      </c>
      <c r="V16" s="30"/>
      <c r="X16" s="6" t="str">
        <f>Merge2!P17</f>
        <v>4510-38LG-00</v>
      </c>
      <c r="AA16" s="6">
        <f t="shared" si="2"/>
        <v>3</v>
      </c>
      <c r="AB16" s="31">
        <f t="shared" si="3"/>
        <v>3.6666666666666665</v>
      </c>
    </row>
    <row r="17" spans="1:28" ht="16.5" x14ac:dyDescent="0.2">
      <c r="A17" s="22">
        <f>Merge2!H18</f>
        <v>44272</v>
      </c>
      <c r="B17" s="23" t="s">
        <v>2564</v>
      </c>
      <c r="C17" s="24" t="str">
        <f>Merge2!S18</f>
        <v>WATER HEATER</v>
      </c>
      <c r="D17" s="24" t="str">
        <f>Merge2!Q18</f>
        <v>N18110643AA0298</v>
      </c>
      <c r="E17" s="25" t="str">
        <f>VLOOKUP(X17,LPN!$A:$D,4,0)</f>
        <v>C6 Equipment</v>
      </c>
      <c r="F17" s="26" t="s">
        <v>2565</v>
      </c>
      <c r="G17" s="27" t="s">
        <v>2566</v>
      </c>
      <c r="H17" s="27"/>
      <c r="I17" s="28"/>
      <c r="J17" s="28" t="s">
        <v>2566</v>
      </c>
      <c r="K17" s="27"/>
      <c r="L17" s="27" t="s">
        <v>2566</v>
      </c>
      <c r="M17" s="27" t="s">
        <v>2566</v>
      </c>
      <c r="N17" s="28"/>
      <c r="O17" s="27" t="s">
        <v>2566</v>
      </c>
      <c r="P17" s="28"/>
      <c r="Q17" s="27" t="str">
        <f>IF(Merge2!X18="CRS","X"," ")</f>
        <v xml:space="preserve"> </v>
      </c>
      <c r="R17" s="23">
        <f>VLOOKUP(X17,LPN!$A:$F,3,0)</f>
        <v>25</v>
      </c>
      <c r="S17" s="26" t="str">
        <f>IF(Merge2!X18="CRS","Maintenance, TBS, Repair, CRS","Maintenance, TBS, Repair")</f>
        <v>Maintenance, TBS, Repair</v>
      </c>
      <c r="T17" s="32">
        <f t="shared" si="1"/>
        <v>3.6666666666666665</v>
      </c>
      <c r="U17" s="29" t="str">
        <f>Merge2!R18</f>
        <v>CM64132</v>
      </c>
      <c r="V17" s="30"/>
      <c r="X17" s="6" t="str">
        <f>Merge2!P18</f>
        <v>4360004-81-00-18</v>
      </c>
      <c r="AA17" s="6">
        <f t="shared" si="2"/>
        <v>3</v>
      </c>
      <c r="AB17" s="31">
        <f t="shared" si="3"/>
        <v>3.6666666666666665</v>
      </c>
    </row>
    <row r="18" spans="1:28" ht="16.5" x14ac:dyDescent="0.2">
      <c r="A18" s="22">
        <f>Merge2!H19</f>
        <v>44272</v>
      </c>
      <c r="B18" s="23" t="s">
        <v>2564</v>
      </c>
      <c r="C18" s="24" t="str">
        <f>Merge2!S19</f>
        <v>MICROPHONE-HAND</v>
      </c>
      <c r="D18" s="24" t="str">
        <f>Merge2!Q19</f>
        <v>236436</v>
      </c>
      <c r="E18" s="25" t="str">
        <f>VLOOKUP(X18,LPN!$A:$D,4,0)</f>
        <v>С3 Comm. and Nav.</v>
      </c>
      <c r="F18" s="26" t="s">
        <v>2565</v>
      </c>
      <c r="G18" s="27" t="s">
        <v>2566</v>
      </c>
      <c r="H18" s="27"/>
      <c r="I18" s="28"/>
      <c r="J18" s="28" t="s">
        <v>2566</v>
      </c>
      <c r="K18" s="27"/>
      <c r="L18" s="27" t="s">
        <v>2566</v>
      </c>
      <c r="M18" s="27" t="s">
        <v>2566</v>
      </c>
      <c r="N18" s="28"/>
      <c r="O18" s="27" t="s">
        <v>2566</v>
      </c>
      <c r="P18" s="28"/>
      <c r="Q18" s="27" t="str">
        <f>IF(Merge2!X19="CRS","X"," ")</f>
        <v xml:space="preserve"> </v>
      </c>
      <c r="R18" s="23">
        <f>VLOOKUP(X18,LPN!$A:$F,3,0)</f>
        <v>23</v>
      </c>
      <c r="S18" s="26" t="str">
        <f>IF(Merge2!X19="CRS","Maintenance, TBS, Repair, CRS","Maintenance, TBS, Repair")</f>
        <v>Maintenance, TBS, Repair</v>
      </c>
      <c r="T18" s="32">
        <f t="shared" si="1"/>
        <v>3.6666666666666665</v>
      </c>
      <c r="U18" s="29" t="str">
        <f>Merge2!R19</f>
        <v>CM63660</v>
      </c>
      <c r="V18" s="30"/>
      <c r="X18" s="6" t="str">
        <f>Merge2!P19</f>
        <v>85-16-11494-05</v>
      </c>
      <c r="AA18" s="6">
        <f t="shared" si="2"/>
        <v>3</v>
      </c>
      <c r="AB18" s="31">
        <f t="shared" si="3"/>
        <v>3.6666666666666665</v>
      </c>
    </row>
    <row r="19" spans="1:28" ht="16.5" x14ac:dyDescent="0.2">
      <c r="A19" s="22">
        <f>Merge2!H20</f>
        <v>44273</v>
      </c>
      <c r="B19" s="23" t="s">
        <v>2564</v>
      </c>
      <c r="C19" s="24" t="str">
        <f>Merge2!S20</f>
        <v>BATTERY NICD, CONJ</v>
      </c>
      <c r="D19" s="24" t="str">
        <f>Merge2!Q20</f>
        <v>064893</v>
      </c>
      <c r="E19" s="25" t="str">
        <f>VLOOKUP(X19,LPN!$A:$D,4,0)</f>
        <v>C5 Electrical Power</v>
      </c>
      <c r="F19" s="26" t="s">
        <v>2565</v>
      </c>
      <c r="G19" s="27" t="s">
        <v>2566</v>
      </c>
      <c r="H19" s="27"/>
      <c r="I19" s="28"/>
      <c r="J19" s="28" t="s">
        <v>2566</v>
      </c>
      <c r="K19" s="27"/>
      <c r="L19" s="27" t="s">
        <v>2566</v>
      </c>
      <c r="M19" s="27" t="s">
        <v>2566</v>
      </c>
      <c r="N19" s="28"/>
      <c r="O19" s="27" t="s">
        <v>2566</v>
      </c>
      <c r="P19" s="28"/>
      <c r="Q19" s="27" t="str">
        <f>IF(Merge2!X20="CRS","X"," ")</f>
        <v xml:space="preserve"> </v>
      </c>
      <c r="R19" s="23">
        <f>VLOOKUP(X19,LPN!$A:$F,3,0)</f>
        <v>33</v>
      </c>
      <c r="S19" s="26" t="str">
        <f>IF(Merge2!X20="CRS","Maintenance, TBS, Repair, CRS","Maintenance, TBS, Repair")</f>
        <v>Maintenance, TBS, Repair</v>
      </c>
      <c r="T19" s="32">
        <f t="shared" si="1"/>
        <v>2.2000000000000002</v>
      </c>
      <c r="U19" s="29" t="str">
        <f>Merge2!R20</f>
        <v>CM63588</v>
      </c>
      <c r="V19" s="30"/>
      <c r="X19" s="6" t="str">
        <f>Merge2!P20</f>
        <v>3301-31</v>
      </c>
      <c r="AA19" s="6">
        <f t="shared" si="2"/>
        <v>5</v>
      </c>
      <c r="AB19" s="31">
        <f t="shared" si="3"/>
        <v>2.2000000000000002</v>
      </c>
    </row>
    <row r="20" spans="1:28" ht="16.5" x14ac:dyDescent="0.2">
      <c r="A20" s="22">
        <f>Merge2!H21</f>
        <v>44273</v>
      </c>
      <c r="B20" s="23" t="s">
        <v>2564</v>
      </c>
      <c r="C20" s="24" t="str">
        <f>Merge2!S21</f>
        <v>BATTERY NICD, CONJ</v>
      </c>
      <c r="D20" s="24" t="str">
        <f>Merge2!Q21</f>
        <v>061711</v>
      </c>
      <c r="E20" s="25" t="str">
        <f>VLOOKUP(X20,LPN!$A:$D,4,0)</f>
        <v>C5 Electrical Power</v>
      </c>
      <c r="F20" s="26" t="s">
        <v>2565</v>
      </c>
      <c r="G20" s="27" t="s">
        <v>2566</v>
      </c>
      <c r="H20" s="27"/>
      <c r="I20" s="28"/>
      <c r="J20" s="28" t="s">
        <v>2566</v>
      </c>
      <c r="K20" s="27"/>
      <c r="L20" s="27" t="s">
        <v>2566</v>
      </c>
      <c r="M20" s="27" t="s">
        <v>2566</v>
      </c>
      <c r="N20" s="28"/>
      <c r="O20" s="27" t="s">
        <v>2566</v>
      </c>
      <c r="P20" s="28"/>
      <c r="Q20" s="27" t="str">
        <f>IF(Merge2!X21="CRS","X"," ")</f>
        <v xml:space="preserve"> </v>
      </c>
      <c r="R20" s="23">
        <f>VLOOKUP(X20,LPN!$A:$F,3,0)</f>
        <v>33</v>
      </c>
      <c r="S20" s="26" t="str">
        <f>IF(Merge2!X21="CRS","Maintenance, TBS, Repair, CRS","Maintenance, TBS, Repair")</f>
        <v>Maintenance, TBS, Repair</v>
      </c>
      <c r="T20" s="32">
        <f t="shared" si="1"/>
        <v>2.2000000000000002</v>
      </c>
      <c r="U20" s="29" t="str">
        <f>Merge2!R21</f>
        <v>CM63586</v>
      </c>
      <c r="V20" s="30"/>
      <c r="X20" s="6" t="str">
        <f>Merge2!P21</f>
        <v>3301-31</v>
      </c>
      <c r="AA20" s="6">
        <f t="shared" si="2"/>
        <v>5</v>
      </c>
      <c r="AB20" s="31">
        <f t="shared" si="3"/>
        <v>2.2000000000000002</v>
      </c>
    </row>
    <row r="21" spans="1:28" ht="16.5" x14ac:dyDescent="0.2">
      <c r="A21" s="22">
        <f>Merge2!H22</f>
        <v>44273</v>
      </c>
      <c r="B21" s="23" t="s">
        <v>2564</v>
      </c>
      <c r="C21" s="24" t="str">
        <f>Merge2!S22</f>
        <v>BATTERY,EMERGENCY-NICAD,6VDC,5 AH</v>
      </c>
      <c r="D21" s="24" t="str">
        <f>Merge2!Q22</f>
        <v>014472</v>
      </c>
      <c r="E21" s="25" t="str">
        <f>VLOOKUP(X21,LPN!$A:$D,4,0)</f>
        <v>C5 Electrical Power</v>
      </c>
      <c r="F21" s="26" t="s">
        <v>2565</v>
      </c>
      <c r="G21" s="27" t="s">
        <v>2566</v>
      </c>
      <c r="H21" s="27"/>
      <c r="I21" s="28"/>
      <c r="J21" s="28" t="s">
        <v>2566</v>
      </c>
      <c r="K21" s="27"/>
      <c r="L21" s="27" t="s">
        <v>2566</v>
      </c>
      <c r="M21" s="27" t="s">
        <v>2566</v>
      </c>
      <c r="N21" s="28"/>
      <c r="O21" s="27" t="s">
        <v>2566</v>
      </c>
      <c r="P21" s="28"/>
      <c r="Q21" s="27" t="str">
        <f>IF(Merge2!X22="CRS","X"," ")</f>
        <v xml:space="preserve"> </v>
      </c>
      <c r="R21" s="23">
        <f>VLOOKUP(X21,LPN!$A:$F,3,0)</f>
        <v>33</v>
      </c>
      <c r="S21" s="26" t="str">
        <f>IF(Merge2!X22="CRS","Maintenance, TBS, Repair, CRS","Maintenance, TBS, Repair")</f>
        <v>Maintenance, TBS, Repair</v>
      </c>
      <c r="T21" s="32">
        <f t="shared" si="1"/>
        <v>2.2000000000000002</v>
      </c>
      <c r="U21" s="29" t="str">
        <f>Merge2!R22</f>
        <v>CM63586</v>
      </c>
      <c r="V21" s="30"/>
      <c r="X21" s="6" t="str">
        <f>Merge2!P22</f>
        <v>3400-22-10</v>
      </c>
      <c r="AA21" s="6">
        <f t="shared" si="2"/>
        <v>5</v>
      </c>
      <c r="AB21" s="31">
        <f t="shared" si="3"/>
        <v>2.2000000000000002</v>
      </c>
    </row>
    <row r="22" spans="1:28" ht="16.5" x14ac:dyDescent="0.2">
      <c r="A22" s="22">
        <f>Merge2!H23</f>
        <v>44273</v>
      </c>
      <c r="B22" s="23" t="s">
        <v>2564</v>
      </c>
      <c r="C22" s="24" t="str">
        <f>Merge2!S23</f>
        <v>BATTERY,EMERGENCY-NICAD,6VDC,5 AH</v>
      </c>
      <c r="D22" s="24" t="str">
        <f>Merge2!Q23</f>
        <v>002792</v>
      </c>
      <c r="E22" s="25" t="str">
        <f>VLOOKUP(X22,LPN!$A:$D,4,0)</f>
        <v>C5 Electrical Power</v>
      </c>
      <c r="F22" s="26" t="s">
        <v>2565</v>
      </c>
      <c r="G22" s="27" t="s">
        <v>2566</v>
      </c>
      <c r="H22" s="27"/>
      <c r="I22" s="28"/>
      <c r="J22" s="28" t="s">
        <v>2566</v>
      </c>
      <c r="K22" s="27"/>
      <c r="L22" s="27" t="s">
        <v>2566</v>
      </c>
      <c r="M22" s="27" t="s">
        <v>2566</v>
      </c>
      <c r="N22" s="28"/>
      <c r="O22" s="27" t="s">
        <v>2566</v>
      </c>
      <c r="P22" s="28"/>
      <c r="Q22" s="27" t="str">
        <f>IF(Merge2!X23="CRS","X"," ")</f>
        <v xml:space="preserve"> </v>
      </c>
      <c r="R22" s="23">
        <f>VLOOKUP(X22,LPN!$A:$F,3,0)</f>
        <v>33</v>
      </c>
      <c r="S22" s="26" t="str">
        <f>IF(Merge2!X23="CRS","Maintenance, TBS, Repair, CRS","Maintenance, TBS, Repair")</f>
        <v>Maintenance, TBS, Repair</v>
      </c>
      <c r="T22" s="32">
        <f t="shared" si="1"/>
        <v>2.2000000000000002</v>
      </c>
      <c r="U22" s="29" t="str">
        <f>Merge2!R23</f>
        <v>CM63588</v>
      </c>
      <c r="V22" s="30"/>
      <c r="X22" s="6" t="str">
        <f>Merge2!P23</f>
        <v>3400-22-10</v>
      </c>
      <c r="AA22" s="6">
        <f t="shared" si="2"/>
        <v>5</v>
      </c>
      <c r="AB22" s="31">
        <f t="shared" si="3"/>
        <v>2.2000000000000002</v>
      </c>
    </row>
    <row r="23" spans="1:28" ht="24.75" x14ac:dyDescent="0.2">
      <c r="A23" s="22">
        <f>Merge2!H24</f>
        <v>44273</v>
      </c>
      <c r="B23" s="23" t="s">
        <v>2564</v>
      </c>
      <c r="C23" s="24" t="str">
        <f>Merge2!S24</f>
        <v>BEVERAGE MAKER</v>
      </c>
      <c r="D23" s="24" t="str">
        <f>Merge2!Q24</f>
        <v>350971901</v>
      </c>
      <c r="E23" s="25" t="str">
        <f>VLOOKUP(X23,LPN!$A:$D,4,0)</f>
        <v>C6 Equipment</v>
      </c>
      <c r="F23" s="26" t="s">
        <v>2565</v>
      </c>
      <c r="G23" s="27" t="s">
        <v>2566</v>
      </c>
      <c r="H23" s="27"/>
      <c r="I23" s="28"/>
      <c r="J23" s="28" t="s">
        <v>2566</v>
      </c>
      <c r="K23" s="27"/>
      <c r="L23" s="27" t="s">
        <v>2566</v>
      </c>
      <c r="M23" s="27" t="s">
        <v>2566</v>
      </c>
      <c r="N23" s="28"/>
      <c r="O23" s="27" t="s">
        <v>2566</v>
      </c>
      <c r="P23" s="28"/>
      <c r="Q23" s="27" t="str">
        <f>IF(Merge2!X24="CRS","X"," ")</f>
        <v xml:space="preserve"> </v>
      </c>
      <c r="R23" s="23">
        <f>VLOOKUP(X23,LPN!$A:$F,3,0)</f>
        <v>25</v>
      </c>
      <c r="S23" s="26" t="str">
        <f>IF(Merge2!X24="CRS","Maintenance, TBS, Repair, CRS","Maintenance, TBS, Repair")</f>
        <v>Maintenance, TBS, Repair</v>
      </c>
      <c r="T23" s="32">
        <f t="shared" si="1"/>
        <v>2.2000000000000002</v>
      </c>
      <c r="U23" s="29" t="str">
        <f>Merge2!R24</f>
        <v>CM63882</v>
      </c>
      <c r="V23" s="30"/>
      <c r="X23" s="6" t="str">
        <f>Merge2!P24</f>
        <v>4510-38LG-00</v>
      </c>
      <c r="AA23" s="6">
        <f t="shared" si="2"/>
        <v>5</v>
      </c>
      <c r="AB23" s="31">
        <f t="shared" si="3"/>
        <v>2.2000000000000002</v>
      </c>
    </row>
    <row r="24" spans="1:28" ht="16.5" x14ac:dyDescent="0.2">
      <c r="A24" s="22">
        <f>Merge2!H25</f>
        <v>44276</v>
      </c>
      <c r="B24" s="23" t="s">
        <v>2564</v>
      </c>
      <c r="C24" s="24" t="str">
        <f>Merge2!S25</f>
        <v>BEVERAGE MAKER</v>
      </c>
      <c r="D24" s="24" t="str">
        <f>Merge2!Q25</f>
        <v>T1006949101</v>
      </c>
      <c r="E24" s="25" t="str">
        <f>VLOOKUP(X24,LPN!$A:$D,4,0)</f>
        <v>C6 Equipment</v>
      </c>
      <c r="F24" s="26" t="s">
        <v>2565</v>
      </c>
      <c r="G24" s="27" t="s">
        <v>2566</v>
      </c>
      <c r="H24" s="27"/>
      <c r="I24" s="28"/>
      <c r="J24" s="28" t="s">
        <v>2566</v>
      </c>
      <c r="K24" s="27"/>
      <c r="L24" s="27" t="s">
        <v>2566</v>
      </c>
      <c r="M24" s="27" t="s">
        <v>2566</v>
      </c>
      <c r="N24" s="28"/>
      <c r="O24" s="27" t="s">
        <v>2566</v>
      </c>
      <c r="P24" s="28"/>
      <c r="Q24" s="27" t="str">
        <f>IF(Merge2!X25="CRS","X"," ")</f>
        <v xml:space="preserve"> </v>
      </c>
      <c r="R24" s="23">
        <f>VLOOKUP(X24,LPN!$A:$F,3,0)</f>
        <v>25</v>
      </c>
      <c r="S24" s="26" t="str">
        <f>IF(Merge2!X25="CRS","Maintenance, TBS, Repair, CRS","Maintenance, TBS, Repair")</f>
        <v>Maintenance, TBS, Repair</v>
      </c>
      <c r="T24" s="32">
        <f t="shared" si="1"/>
        <v>5.5</v>
      </c>
      <c r="U24" s="29" t="str">
        <f>Merge2!R25</f>
        <v>CM64470</v>
      </c>
      <c r="V24" s="30"/>
      <c r="X24" s="6" t="str">
        <f>Merge2!P25</f>
        <v>4510-38LG-00</v>
      </c>
      <c r="AA24" s="6">
        <f t="shared" si="2"/>
        <v>2</v>
      </c>
      <c r="AB24" s="31">
        <f t="shared" si="3"/>
        <v>5.5</v>
      </c>
    </row>
    <row r="25" spans="1:28" ht="16.5" x14ac:dyDescent="0.2">
      <c r="A25" s="22">
        <f>Merge2!H26</f>
        <v>44276</v>
      </c>
      <c r="B25" s="23" t="s">
        <v>2564</v>
      </c>
      <c r="C25" s="24" t="str">
        <f>Merge2!S26</f>
        <v>WATER HEATER</v>
      </c>
      <c r="D25" s="24" t="str">
        <f>Merge2!Q26</f>
        <v>N19100725AA0656</v>
      </c>
      <c r="E25" s="25" t="str">
        <f>VLOOKUP(X25,LPN!$A:$D,4,0)</f>
        <v>C6 Equipment</v>
      </c>
      <c r="F25" s="26" t="s">
        <v>2565</v>
      </c>
      <c r="G25" s="27" t="s">
        <v>2566</v>
      </c>
      <c r="H25" s="27"/>
      <c r="I25" s="28"/>
      <c r="J25" s="28" t="s">
        <v>2566</v>
      </c>
      <c r="K25" s="27"/>
      <c r="L25" s="27" t="s">
        <v>2566</v>
      </c>
      <c r="M25" s="27" t="s">
        <v>2566</v>
      </c>
      <c r="N25" s="28"/>
      <c r="O25" s="27" t="s">
        <v>2566</v>
      </c>
      <c r="P25" s="28"/>
      <c r="Q25" s="27" t="str">
        <f>IF(Merge2!X26="CRS","X"," ")</f>
        <v xml:space="preserve"> </v>
      </c>
      <c r="R25" s="23">
        <f>VLOOKUP(X25,LPN!$A:$F,3,0)</f>
        <v>25</v>
      </c>
      <c r="S25" s="26" t="str">
        <f>IF(Merge2!X26="CRS","Maintenance, TBS, Repair, CRS","Maintenance, TBS, Repair")</f>
        <v>Maintenance, TBS, Repair</v>
      </c>
      <c r="T25" s="32">
        <f t="shared" si="1"/>
        <v>5.5</v>
      </c>
      <c r="U25" s="29" t="str">
        <f>Merge2!R26</f>
        <v>CM64462</v>
      </c>
      <c r="V25" s="30"/>
      <c r="X25" s="6" t="str">
        <f>Merge2!P26</f>
        <v>4360004-88-00-18</v>
      </c>
      <c r="AA25" s="6">
        <f t="shared" si="2"/>
        <v>2</v>
      </c>
      <c r="AB25" s="31">
        <f t="shared" si="3"/>
        <v>5.5</v>
      </c>
    </row>
    <row r="26" spans="1:28" ht="16.5" x14ac:dyDescent="0.2">
      <c r="A26" s="22">
        <f>Merge2!H27</f>
        <v>44277</v>
      </c>
      <c r="B26" s="23" t="s">
        <v>2564</v>
      </c>
      <c r="C26" s="24" t="str">
        <f>Merge2!S27</f>
        <v>BEVERAGE MAKER</v>
      </c>
      <c r="D26" s="24" t="str">
        <f>Merge2!Q27</f>
        <v>T1006949101</v>
      </c>
      <c r="E26" s="25" t="str">
        <f>VLOOKUP(X26,LPN!$A:$D,4,0)</f>
        <v>C6 Equipment</v>
      </c>
      <c r="F26" s="26" t="s">
        <v>2565</v>
      </c>
      <c r="G26" s="27" t="s">
        <v>2566</v>
      </c>
      <c r="H26" s="27"/>
      <c r="I26" s="28"/>
      <c r="J26" s="28" t="s">
        <v>2566</v>
      </c>
      <c r="K26" s="27"/>
      <c r="L26" s="27" t="s">
        <v>2566</v>
      </c>
      <c r="M26" s="27" t="s">
        <v>2566</v>
      </c>
      <c r="N26" s="28"/>
      <c r="O26" s="27" t="s">
        <v>2566</v>
      </c>
      <c r="P26" s="28"/>
      <c r="Q26" s="27" t="str">
        <f>IF(Merge2!X27="CRS","X"," ")</f>
        <v xml:space="preserve"> </v>
      </c>
      <c r="R26" s="23">
        <f>VLOOKUP(X26,LPN!$A:$F,3,0)</f>
        <v>25</v>
      </c>
      <c r="S26" s="26" t="str">
        <f>IF(Merge2!X27="CRS","Maintenance, TBS, Repair, CRS","Maintenance, TBS, Repair")</f>
        <v>Maintenance, TBS, Repair</v>
      </c>
      <c r="T26" s="32">
        <f t="shared" si="1"/>
        <v>0.91666666666666663</v>
      </c>
      <c r="U26" s="29" t="str">
        <f>Merge2!R27</f>
        <v>CM64470</v>
      </c>
      <c r="V26" s="30"/>
      <c r="X26" s="6" t="str">
        <f>Merge2!P27</f>
        <v>4510-38LG-00</v>
      </c>
      <c r="AA26" s="6">
        <f t="shared" si="2"/>
        <v>12</v>
      </c>
      <c r="AB26" s="31">
        <f t="shared" si="3"/>
        <v>0.91666666666666663</v>
      </c>
    </row>
    <row r="27" spans="1:28" ht="16.5" x14ac:dyDescent="0.2">
      <c r="A27" s="22">
        <f>Merge2!H28</f>
        <v>44277</v>
      </c>
      <c r="B27" s="23" t="s">
        <v>2564</v>
      </c>
      <c r="C27" s="24" t="str">
        <f>Merge2!S28</f>
        <v>MODULE ASSY-HANDSET</v>
      </c>
      <c r="D27" s="24" t="str">
        <f>Merge2!Q28</f>
        <v>D09878</v>
      </c>
      <c r="E27" s="25" t="str">
        <f>VLOOKUP(X27,LPN!$A:$D,4,0)</f>
        <v>С3 Comm. and Nav.</v>
      </c>
      <c r="F27" s="26" t="s">
        <v>2565</v>
      </c>
      <c r="G27" s="27" t="s">
        <v>2566</v>
      </c>
      <c r="H27" s="27"/>
      <c r="I27" s="28"/>
      <c r="J27" s="28" t="s">
        <v>2566</v>
      </c>
      <c r="K27" s="27"/>
      <c r="L27" s="27" t="s">
        <v>2566</v>
      </c>
      <c r="M27" s="27" t="s">
        <v>2566</v>
      </c>
      <c r="N27" s="28"/>
      <c r="O27" s="27" t="s">
        <v>2566</v>
      </c>
      <c r="P27" s="28"/>
      <c r="Q27" s="27" t="str">
        <f>IF(Merge2!X28="CRS","X"," ")</f>
        <v>X</v>
      </c>
      <c r="R27" s="23">
        <f>VLOOKUP(X27,LPN!$A:$F,3,0)</f>
        <v>23</v>
      </c>
      <c r="S27" s="26" t="str">
        <f>IF(Merge2!X28="CRS","Maintenance, TBS, Repair, CRS","Maintenance, TBS, Repair")</f>
        <v>Maintenance, TBS, Repair, CRS</v>
      </c>
      <c r="T27" s="32">
        <f t="shared" si="1"/>
        <v>0.91666666666666663</v>
      </c>
      <c r="U27" s="29" t="str">
        <f>Merge2!R28</f>
        <v>CM64383</v>
      </c>
      <c r="V27" s="30"/>
      <c r="X27" s="6" t="str">
        <f>Merge2!P28</f>
        <v>285W0024-1B</v>
      </c>
      <c r="AA27" s="6">
        <f t="shared" si="2"/>
        <v>12</v>
      </c>
      <c r="AB27" s="31">
        <f t="shared" si="3"/>
        <v>0.91666666666666663</v>
      </c>
    </row>
    <row r="28" spans="1:28" ht="16.5" x14ac:dyDescent="0.2">
      <c r="A28" s="22">
        <f>Merge2!H29</f>
        <v>44277</v>
      </c>
      <c r="B28" s="23" t="s">
        <v>2564</v>
      </c>
      <c r="C28" s="24" t="str">
        <f>Merge2!S29</f>
        <v>BATTERY,EMERGENCY-NICAD,6VDC,5 AH</v>
      </c>
      <c r="D28" s="24" t="str">
        <f>Merge2!Q29</f>
        <v>002657</v>
      </c>
      <c r="E28" s="25" t="str">
        <f>VLOOKUP(X28,LPN!$A:$D,4,0)</f>
        <v>C5 Electrical Power</v>
      </c>
      <c r="F28" s="26" t="s">
        <v>2565</v>
      </c>
      <c r="G28" s="27" t="s">
        <v>2566</v>
      </c>
      <c r="H28" s="27"/>
      <c r="I28" s="28"/>
      <c r="J28" s="28" t="s">
        <v>2566</v>
      </c>
      <c r="K28" s="27"/>
      <c r="L28" s="27" t="s">
        <v>2566</v>
      </c>
      <c r="M28" s="27" t="s">
        <v>2566</v>
      </c>
      <c r="N28" s="28"/>
      <c r="O28" s="27" t="s">
        <v>2566</v>
      </c>
      <c r="P28" s="28"/>
      <c r="Q28" s="27" t="str">
        <f>IF(Merge2!X29="CRS","X"," ")</f>
        <v xml:space="preserve"> </v>
      </c>
      <c r="R28" s="23">
        <f>VLOOKUP(X28,LPN!$A:$F,3,0)</f>
        <v>33</v>
      </c>
      <c r="S28" s="26" t="str">
        <f>IF(Merge2!X29="CRS","Maintenance, TBS, Repair, CRS","Maintenance, TBS, Repair")</f>
        <v>Maintenance, TBS, Repair</v>
      </c>
      <c r="T28" s="32">
        <f t="shared" si="1"/>
        <v>0.91666666666666663</v>
      </c>
      <c r="U28" s="29" t="str">
        <f>Merge2!R29</f>
        <v>CM63597</v>
      </c>
      <c r="V28" s="30"/>
      <c r="X28" s="6" t="str">
        <f>Merge2!P29</f>
        <v>3400-22-10</v>
      </c>
      <c r="AA28" s="6">
        <f t="shared" si="2"/>
        <v>12</v>
      </c>
      <c r="AB28" s="31">
        <f t="shared" si="3"/>
        <v>0.91666666666666663</v>
      </c>
    </row>
    <row r="29" spans="1:28" ht="16.5" x14ac:dyDescent="0.2">
      <c r="A29" s="22">
        <f>Merge2!H30</f>
        <v>44277</v>
      </c>
      <c r="B29" s="23" t="s">
        <v>2564</v>
      </c>
      <c r="C29" s="24" t="str">
        <f>Merge2!S30</f>
        <v>BATTERY,EMERGENCY-NICAD,6VDC,5 AH</v>
      </c>
      <c r="D29" s="24" t="str">
        <f>Merge2!Q30</f>
        <v>001757</v>
      </c>
      <c r="E29" s="25" t="str">
        <f>VLOOKUP(X29,LPN!$A:$D,4,0)</f>
        <v>C5 Electrical Power</v>
      </c>
      <c r="F29" s="26" t="s">
        <v>2565</v>
      </c>
      <c r="G29" s="27" t="s">
        <v>2566</v>
      </c>
      <c r="H29" s="27"/>
      <c r="I29" s="28"/>
      <c r="J29" s="28" t="s">
        <v>2566</v>
      </c>
      <c r="K29" s="27"/>
      <c r="L29" s="27" t="s">
        <v>2566</v>
      </c>
      <c r="M29" s="27" t="s">
        <v>2566</v>
      </c>
      <c r="N29" s="28"/>
      <c r="O29" s="27" t="s">
        <v>2566</v>
      </c>
      <c r="P29" s="28"/>
      <c r="Q29" s="27" t="str">
        <f>IF(Merge2!X30="CRS","X"," ")</f>
        <v xml:space="preserve"> </v>
      </c>
      <c r="R29" s="23">
        <f>VLOOKUP(X29,LPN!$A:$F,3,0)</f>
        <v>33</v>
      </c>
      <c r="S29" s="26" t="str">
        <f>IF(Merge2!X30="CRS","Maintenance, TBS, Repair, CRS","Maintenance, TBS, Repair")</f>
        <v>Maintenance, TBS, Repair</v>
      </c>
      <c r="T29" s="32">
        <f t="shared" si="1"/>
        <v>0.91666666666666663</v>
      </c>
      <c r="U29" s="29" t="str">
        <f>Merge2!R30</f>
        <v>CM63599</v>
      </c>
      <c r="V29" s="30"/>
      <c r="X29" s="6" t="str">
        <f>Merge2!P30</f>
        <v>3400-22-10</v>
      </c>
      <c r="AA29" s="6">
        <f t="shared" si="2"/>
        <v>12</v>
      </c>
      <c r="AB29" s="31">
        <f t="shared" si="3"/>
        <v>0.91666666666666663</v>
      </c>
    </row>
    <row r="30" spans="1:28" ht="16.5" x14ac:dyDescent="0.2">
      <c r="A30" s="22">
        <f>Merge2!H31</f>
        <v>44277</v>
      </c>
      <c r="B30" s="23" t="s">
        <v>2564</v>
      </c>
      <c r="C30" s="24" t="str">
        <f>Merge2!S31</f>
        <v>BATTERY</v>
      </c>
      <c r="D30" s="24" t="str">
        <f>Merge2!Q31</f>
        <v>874502</v>
      </c>
      <c r="E30" s="25" t="str">
        <f>VLOOKUP(X30,LPN!$A:$D,4,0)</f>
        <v>C5 Electrical Power</v>
      </c>
      <c r="F30" s="26" t="s">
        <v>2565</v>
      </c>
      <c r="G30" s="27" t="s">
        <v>2566</v>
      </c>
      <c r="H30" s="27"/>
      <c r="I30" s="28"/>
      <c r="J30" s="28" t="s">
        <v>2566</v>
      </c>
      <c r="K30" s="27"/>
      <c r="L30" s="27" t="s">
        <v>2566</v>
      </c>
      <c r="M30" s="27" t="s">
        <v>2566</v>
      </c>
      <c r="N30" s="28"/>
      <c r="O30" s="27" t="s">
        <v>2566</v>
      </c>
      <c r="P30" s="28"/>
      <c r="Q30" s="27" t="str">
        <f>IF(Merge2!X31="CRS","X"," ")</f>
        <v xml:space="preserve"> </v>
      </c>
      <c r="R30" s="23">
        <f>VLOOKUP(X30,LPN!$A:$F,3,0)</f>
        <v>24</v>
      </c>
      <c r="S30" s="26" t="str">
        <f>IF(Merge2!X31="CRS","Maintenance, TBS, Repair, CRS","Maintenance, TBS, Repair")</f>
        <v>Maintenance, TBS, Repair</v>
      </c>
      <c r="T30" s="32">
        <f t="shared" si="1"/>
        <v>0.91666666666666663</v>
      </c>
      <c r="U30" s="29" t="str">
        <f>Merge2!R31</f>
        <v>CM64274</v>
      </c>
      <c r="V30" s="30"/>
      <c r="X30" s="6" t="str">
        <f>Merge2!P31</f>
        <v>3214-31</v>
      </c>
      <c r="AA30" s="6">
        <f t="shared" si="2"/>
        <v>12</v>
      </c>
      <c r="AB30" s="31">
        <f t="shared" si="3"/>
        <v>0.91666666666666663</v>
      </c>
    </row>
    <row r="31" spans="1:28" ht="16.5" x14ac:dyDescent="0.2">
      <c r="A31" s="22">
        <f>Merge2!H32</f>
        <v>44277</v>
      </c>
      <c r="B31" s="23" t="s">
        <v>2564</v>
      </c>
      <c r="C31" s="24" t="str">
        <f>Merge2!S32</f>
        <v>BATTERY</v>
      </c>
      <c r="D31" s="24" t="str">
        <f>Merge2!Q32</f>
        <v>874545</v>
      </c>
      <c r="E31" s="25" t="str">
        <f>VLOOKUP(X31,LPN!$A:$D,4,0)</f>
        <v>C5 Electrical Power</v>
      </c>
      <c r="F31" s="26" t="s">
        <v>2565</v>
      </c>
      <c r="G31" s="27" t="s">
        <v>2566</v>
      </c>
      <c r="H31" s="27"/>
      <c r="I31" s="28"/>
      <c r="J31" s="28" t="s">
        <v>2566</v>
      </c>
      <c r="K31" s="27"/>
      <c r="L31" s="27" t="s">
        <v>2566</v>
      </c>
      <c r="M31" s="27" t="s">
        <v>2566</v>
      </c>
      <c r="N31" s="28"/>
      <c r="O31" s="27" t="s">
        <v>2566</v>
      </c>
      <c r="P31" s="28"/>
      <c r="Q31" s="27" t="str">
        <f>IF(Merge2!X32="CRS","X"," ")</f>
        <v xml:space="preserve"> </v>
      </c>
      <c r="R31" s="23">
        <f>VLOOKUP(X31,LPN!$A:$F,3,0)</f>
        <v>24</v>
      </c>
      <c r="S31" s="26" t="str">
        <f>IF(Merge2!X32="CRS","Maintenance, TBS, Repair, CRS","Maintenance, TBS, Repair")</f>
        <v>Maintenance, TBS, Repair</v>
      </c>
      <c r="T31" s="32">
        <f t="shared" si="1"/>
        <v>0.91666666666666663</v>
      </c>
      <c r="U31" s="29" t="str">
        <f>Merge2!R32</f>
        <v>CM64272</v>
      </c>
      <c r="V31" s="30"/>
      <c r="X31" s="6" t="str">
        <f>Merge2!P32</f>
        <v>3214-31</v>
      </c>
      <c r="AA31" s="6">
        <f t="shared" si="2"/>
        <v>12</v>
      </c>
      <c r="AB31" s="31">
        <f t="shared" si="3"/>
        <v>0.91666666666666663</v>
      </c>
    </row>
    <row r="32" spans="1:28" ht="16.5" x14ac:dyDescent="0.2">
      <c r="A32" s="22">
        <f>Merge2!H33</f>
        <v>44277</v>
      </c>
      <c r="B32" s="23" t="s">
        <v>2564</v>
      </c>
      <c r="C32" s="24" t="str">
        <f>Merge2!S33</f>
        <v>BATTERY</v>
      </c>
      <c r="D32" s="24" t="str">
        <f>Merge2!Q33</f>
        <v>858569</v>
      </c>
      <c r="E32" s="25" t="str">
        <f>VLOOKUP(X32,LPN!$A:$D,4,0)</f>
        <v>C5 Electrical Power</v>
      </c>
      <c r="F32" s="26" t="s">
        <v>2565</v>
      </c>
      <c r="G32" s="27" t="s">
        <v>2566</v>
      </c>
      <c r="H32" s="27"/>
      <c r="I32" s="28"/>
      <c r="J32" s="28" t="s">
        <v>2566</v>
      </c>
      <c r="K32" s="27"/>
      <c r="L32" s="27" t="s">
        <v>2566</v>
      </c>
      <c r="M32" s="27" t="s">
        <v>2566</v>
      </c>
      <c r="N32" s="28"/>
      <c r="O32" s="27" t="s">
        <v>2566</v>
      </c>
      <c r="P32" s="28"/>
      <c r="Q32" s="27" t="str">
        <f>IF(Merge2!X33="CRS","X"," ")</f>
        <v xml:space="preserve"> </v>
      </c>
      <c r="R32" s="23">
        <f>VLOOKUP(X32,LPN!$A:$F,3,0)</f>
        <v>24</v>
      </c>
      <c r="S32" s="26" t="str">
        <f>IF(Merge2!X33="CRS","Maintenance, TBS, Repair, CRS","Maintenance, TBS, Repair")</f>
        <v>Maintenance, TBS, Repair</v>
      </c>
      <c r="T32" s="32">
        <f t="shared" si="1"/>
        <v>0.91666666666666663</v>
      </c>
      <c r="U32" s="29" t="str">
        <f>Merge2!R33</f>
        <v>CM63843</v>
      </c>
      <c r="V32" s="30"/>
      <c r="X32" s="6" t="str">
        <f>Merge2!P33</f>
        <v>3214-31</v>
      </c>
      <c r="AA32" s="6">
        <f t="shared" si="2"/>
        <v>12</v>
      </c>
      <c r="AB32" s="31">
        <f t="shared" si="3"/>
        <v>0.91666666666666663</v>
      </c>
    </row>
    <row r="33" spans="1:28" ht="16.5" x14ac:dyDescent="0.2">
      <c r="A33" s="22">
        <f>Merge2!H34</f>
        <v>44277</v>
      </c>
      <c r="B33" s="23" t="s">
        <v>2564</v>
      </c>
      <c r="C33" s="24" t="str">
        <f>Merge2!S34</f>
        <v>BATTERY</v>
      </c>
      <c r="D33" s="24" t="str">
        <f>Merge2!Q34</f>
        <v>864514</v>
      </c>
      <c r="E33" s="25" t="str">
        <f>VLOOKUP(X33,LPN!$A:$D,4,0)</f>
        <v>C5 Electrical Power</v>
      </c>
      <c r="F33" s="26" t="s">
        <v>2565</v>
      </c>
      <c r="G33" s="27" t="s">
        <v>2566</v>
      </c>
      <c r="H33" s="27"/>
      <c r="I33" s="28"/>
      <c r="J33" s="28" t="s">
        <v>2566</v>
      </c>
      <c r="K33" s="27"/>
      <c r="L33" s="27" t="s">
        <v>2566</v>
      </c>
      <c r="M33" s="27" t="s">
        <v>2566</v>
      </c>
      <c r="N33" s="28"/>
      <c r="O33" s="27" t="s">
        <v>2566</v>
      </c>
      <c r="P33" s="28"/>
      <c r="Q33" s="27" t="str">
        <f>IF(Merge2!X34="CRS","X"," ")</f>
        <v xml:space="preserve"> </v>
      </c>
      <c r="R33" s="23">
        <f>VLOOKUP(X33,LPN!$A:$F,3,0)</f>
        <v>24</v>
      </c>
      <c r="S33" s="26" t="str">
        <f>IF(Merge2!X34="CRS","Maintenance, TBS, Repair, CRS","Maintenance, TBS, Repair")</f>
        <v>Maintenance, TBS, Repair</v>
      </c>
      <c r="T33" s="32">
        <f t="shared" si="1"/>
        <v>0.91666666666666663</v>
      </c>
      <c r="U33" s="29" t="str">
        <f>Merge2!R34</f>
        <v>CM63835</v>
      </c>
      <c r="V33" s="30"/>
      <c r="X33" s="6" t="str">
        <f>Merge2!P34</f>
        <v>3214-31</v>
      </c>
      <c r="AA33" s="6">
        <f t="shared" si="2"/>
        <v>12</v>
      </c>
      <c r="AB33" s="31">
        <f t="shared" si="3"/>
        <v>0.91666666666666663</v>
      </c>
    </row>
    <row r="34" spans="1:28" ht="16.5" x14ac:dyDescent="0.2">
      <c r="A34" s="22">
        <f>Merge2!H35</f>
        <v>44277</v>
      </c>
      <c r="B34" s="23" t="s">
        <v>2564</v>
      </c>
      <c r="C34" s="24" t="str">
        <f>Merge2!S35</f>
        <v>BATTERY</v>
      </c>
      <c r="D34" s="24" t="str">
        <f>Merge2!Q35</f>
        <v>858577</v>
      </c>
      <c r="E34" s="25" t="str">
        <f>VLOOKUP(X34,LPN!$A:$D,4,0)</f>
        <v>C5 Electrical Power</v>
      </c>
      <c r="F34" s="26" t="s">
        <v>2565</v>
      </c>
      <c r="G34" s="27" t="s">
        <v>2566</v>
      </c>
      <c r="H34" s="27"/>
      <c r="I34" s="28"/>
      <c r="J34" s="28" t="s">
        <v>2566</v>
      </c>
      <c r="K34" s="27"/>
      <c r="L34" s="27" t="s">
        <v>2566</v>
      </c>
      <c r="M34" s="27" t="s">
        <v>2566</v>
      </c>
      <c r="N34" s="28"/>
      <c r="O34" s="27" t="s">
        <v>2566</v>
      </c>
      <c r="P34" s="28"/>
      <c r="Q34" s="27" t="str">
        <f>IF(Merge2!X35="CRS","X"," ")</f>
        <v xml:space="preserve"> </v>
      </c>
      <c r="R34" s="23">
        <f>VLOOKUP(X34,LPN!$A:$F,3,0)</f>
        <v>24</v>
      </c>
      <c r="S34" s="26" t="str">
        <f>IF(Merge2!X35="CRS","Maintenance, TBS, Repair, CRS","Maintenance, TBS, Repair")</f>
        <v>Maintenance, TBS, Repair</v>
      </c>
      <c r="T34" s="32">
        <f t="shared" si="1"/>
        <v>0.91666666666666663</v>
      </c>
      <c r="U34" s="29" t="str">
        <f>Merge2!R35</f>
        <v>CM63733</v>
      </c>
      <c r="V34" s="30"/>
      <c r="X34" s="6" t="str">
        <f>Merge2!P35</f>
        <v>3214-31</v>
      </c>
      <c r="AA34" s="6">
        <f t="shared" si="2"/>
        <v>12</v>
      </c>
      <c r="AB34" s="31">
        <f t="shared" si="3"/>
        <v>0.91666666666666663</v>
      </c>
    </row>
    <row r="35" spans="1:28" ht="16.5" x14ac:dyDescent="0.2">
      <c r="A35" s="22">
        <f>Merge2!H36</f>
        <v>44277</v>
      </c>
      <c r="B35" s="23" t="s">
        <v>2564</v>
      </c>
      <c r="C35" s="24" t="str">
        <f>Merge2!S36</f>
        <v>BATTERY</v>
      </c>
      <c r="D35" s="24" t="str">
        <f>Merge2!Q36</f>
        <v>858568</v>
      </c>
      <c r="E35" s="25" t="str">
        <f>VLOOKUP(X35,LPN!$A:$D,4,0)</f>
        <v>C5 Electrical Power</v>
      </c>
      <c r="F35" s="26" t="s">
        <v>2565</v>
      </c>
      <c r="G35" s="27" t="s">
        <v>2566</v>
      </c>
      <c r="H35" s="27"/>
      <c r="I35" s="28"/>
      <c r="J35" s="28" t="s">
        <v>2566</v>
      </c>
      <c r="K35" s="27"/>
      <c r="L35" s="27" t="s">
        <v>2566</v>
      </c>
      <c r="M35" s="27" t="s">
        <v>2566</v>
      </c>
      <c r="N35" s="28"/>
      <c r="O35" s="27" t="s">
        <v>2566</v>
      </c>
      <c r="P35" s="28"/>
      <c r="Q35" s="27" t="str">
        <f>IF(Merge2!X36="CRS","X"," ")</f>
        <v xml:space="preserve"> </v>
      </c>
      <c r="R35" s="23">
        <f>VLOOKUP(X35,LPN!$A:$F,3,0)</f>
        <v>24</v>
      </c>
      <c r="S35" s="26" t="str">
        <f>IF(Merge2!X36="CRS","Maintenance, TBS, Repair, CRS","Maintenance, TBS, Repair")</f>
        <v>Maintenance, TBS, Repair</v>
      </c>
      <c r="T35" s="32">
        <f t="shared" si="1"/>
        <v>0.91666666666666663</v>
      </c>
      <c r="U35" s="29" t="str">
        <f>Merge2!R36</f>
        <v>CM63734</v>
      </c>
      <c r="V35" s="30"/>
      <c r="X35" s="6" t="str">
        <f>Merge2!P36</f>
        <v>3214-31</v>
      </c>
      <c r="AA35" s="6">
        <f t="shared" si="2"/>
        <v>12</v>
      </c>
      <c r="AB35" s="31">
        <f t="shared" si="3"/>
        <v>0.91666666666666663</v>
      </c>
    </row>
    <row r="36" spans="1:28" ht="16.5" x14ac:dyDescent="0.2">
      <c r="A36" s="22">
        <f>Merge2!H37</f>
        <v>44277</v>
      </c>
      <c r="B36" s="23" t="s">
        <v>2564</v>
      </c>
      <c r="C36" s="24" t="str">
        <f>Merge2!S37</f>
        <v>BATTERY NICD, CONJ</v>
      </c>
      <c r="D36" s="24" t="str">
        <f>Merge2!Q37</f>
        <v>018796</v>
      </c>
      <c r="E36" s="25" t="str">
        <f>VLOOKUP(X36,LPN!$A:$D,4,0)</f>
        <v>C5 Electrical Power</v>
      </c>
      <c r="F36" s="26" t="s">
        <v>2565</v>
      </c>
      <c r="G36" s="27" t="s">
        <v>2566</v>
      </c>
      <c r="H36" s="27"/>
      <c r="I36" s="28"/>
      <c r="J36" s="28" t="s">
        <v>2566</v>
      </c>
      <c r="K36" s="27"/>
      <c r="L36" s="27" t="s">
        <v>2566</v>
      </c>
      <c r="M36" s="27" t="s">
        <v>2566</v>
      </c>
      <c r="N36" s="28"/>
      <c r="O36" s="27" t="s">
        <v>2566</v>
      </c>
      <c r="P36" s="28"/>
      <c r="Q36" s="27" t="str">
        <f>IF(Merge2!X37="CRS","X"," ")</f>
        <v xml:space="preserve"> </v>
      </c>
      <c r="R36" s="23">
        <f>VLOOKUP(X36,LPN!$A:$F,3,0)</f>
        <v>33</v>
      </c>
      <c r="S36" s="26" t="str">
        <f>IF(Merge2!X37="CRS","Maintenance, TBS, Repair, CRS","Maintenance, TBS, Repair")</f>
        <v>Maintenance, TBS, Repair</v>
      </c>
      <c r="T36" s="32">
        <f t="shared" si="1"/>
        <v>0.91666666666666663</v>
      </c>
      <c r="U36" s="29" t="str">
        <f>Merge2!R37</f>
        <v>CM63599</v>
      </c>
      <c r="V36" s="30"/>
      <c r="X36" s="6" t="str">
        <f>Merge2!P37</f>
        <v>3301-31</v>
      </c>
      <c r="AA36" s="6">
        <f t="shared" si="2"/>
        <v>12</v>
      </c>
      <c r="AB36" s="31">
        <f t="shared" si="3"/>
        <v>0.91666666666666663</v>
      </c>
    </row>
    <row r="37" spans="1:28" ht="16.5" x14ac:dyDescent="0.2">
      <c r="A37" s="22">
        <f>Merge2!H38</f>
        <v>44277</v>
      </c>
      <c r="B37" s="23" t="s">
        <v>2564</v>
      </c>
      <c r="C37" s="24" t="str">
        <f>Merge2!S38</f>
        <v>BATTERY NICD, CONJ</v>
      </c>
      <c r="D37" s="24" t="str">
        <f>Merge2!Q38</f>
        <v>054602</v>
      </c>
      <c r="E37" s="25" t="str">
        <f>VLOOKUP(X37,LPN!$A:$D,4,0)</f>
        <v>C5 Electrical Power</v>
      </c>
      <c r="F37" s="26" t="s">
        <v>2565</v>
      </c>
      <c r="G37" s="27" t="s">
        <v>2566</v>
      </c>
      <c r="H37" s="27"/>
      <c r="I37" s="28"/>
      <c r="J37" s="28" t="s">
        <v>2566</v>
      </c>
      <c r="K37" s="27"/>
      <c r="L37" s="27" t="s">
        <v>2566</v>
      </c>
      <c r="M37" s="27" t="s">
        <v>2566</v>
      </c>
      <c r="N37" s="28"/>
      <c r="O37" s="27" t="s">
        <v>2566</v>
      </c>
      <c r="P37" s="28"/>
      <c r="Q37" s="27" t="str">
        <f>IF(Merge2!X38="CRS","X"," ")</f>
        <v xml:space="preserve"> </v>
      </c>
      <c r="R37" s="23">
        <f>VLOOKUP(X37,LPN!$A:$F,3,0)</f>
        <v>33</v>
      </c>
      <c r="S37" s="26" t="str">
        <f>IF(Merge2!X38="CRS","Maintenance, TBS, Repair, CRS","Maintenance, TBS, Repair")</f>
        <v>Maintenance, TBS, Repair</v>
      </c>
      <c r="T37" s="32">
        <f t="shared" si="1"/>
        <v>0.91666666666666663</v>
      </c>
      <c r="U37" s="29" t="str">
        <f>Merge2!R38</f>
        <v>CM63597</v>
      </c>
      <c r="V37" s="30"/>
      <c r="X37" s="6" t="str">
        <f>Merge2!P38</f>
        <v>3301-31</v>
      </c>
      <c r="AA37" s="6">
        <f t="shared" si="2"/>
        <v>12</v>
      </c>
      <c r="AB37" s="31">
        <f t="shared" si="3"/>
        <v>0.91666666666666663</v>
      </c>
    </row>
    <row r="38" spans="1:28" ht="16.5" x14ac:dyDescent="0.2">
      <c r="A38" s="22">
        <f>Merge2!H39</f>
        <v>44280</v>
      </c>
      <c r="B38" s="23" t="s">
        <v>2564</v>
      </c>
      <c r="C38" s="24" t="str">
        <f>Merge2!S39</f>
        <v>COFFEE MAKER</v>
      </c>
      <c r="D38" s="24" t="str">
        <f>Merge2!Q39</f>
        <v>3201</v>
      </c>
      <c r="E38" s="25" t="str">
        <f>VLOOKUP(X38,LPN!$A:$D,4,0)</f>
        <v>C6 Equipment</v>
      </c>
      <c r="F38" s="26" t="s">
        <v>2565</v>
      </c>
      <c r="G38" s="27" t="s">
        <v>2566</v>
      </c>
      <c r="H38" s="27"/>
      <c r="I38" s="28"/>
      <c r="J38" s="28" t="s">
        <v>2566</v>
      </c>
      <c r="K38" s="27"/>
      <c r="L38" s="27" t="s">
        <v>2566</v>
      </c>
      <c r="M38" s="27" t="s">
        <v>2566</v>
      </c>
      <c r="N38" s="28"/>
      <c r="O38" s="27" t="s">
        <v>2566</v>
      </c>
      <c r="P38" s="28"/>
      <c r="Q38" s="27" t="str">
        <f>IF(Merge2!X39="CRS","X"," ")</f>
        <v>X</v>
      </c>
      <c r="R38" s="23">
        <f>VLOOKUP(X38,LPN!$A:$F,3,0)</f>
        <v>25</v>
      </c>
      <c r="S38" s="26" t="str">
        <f>IF(Merge2!X39="CRS","Maintenance, TBS, Repair, CRS","Maintenance, TBS, Repair")</f>
        <v>Maintenance, TBS, Repair, CRS</v>
      </c>
      <c r="T38" s="32">
        <f t="shared" si="1"/>
        <v>5.5</v>
      </c>
      <c r="U38" s="29" t="str">
        <f>Merge2!R39</f>
        <v>CM64735</v>
      </c>
      <c r="V38" s="30"/>
      <c r="X38" s="6" t="str">
        <f>Merge2!P39</f>
        <v>11050-11</v>
      </c>
      <c r="AA38" s="6">
        <f t="shared" si="2"/>
        <v>2</v>
      </c>
      <c r="AB38" s="31">
        <f t="shared" si="3"/>
        <v>5.5</v>
      </c>
    </row>
    <row r="39" spans="1:28" ht="16.5" x14ac:dyDescent="0.2">
      <c r="A39" s="22">
        <f>Merge2!H40</f>
        <v>44280</v>
      </c>
      <c r="B39" s="23" t="s">
        <v>2564</v>
      </c>
      <c r="C39" s="24" t="str">
        <f>Merge2!S40</f>
        <v>COFFEE MAKER</v>
      </c>
      <c r="D39" s="24" t="str">
        <f>Merge2!Q40</f>
        <v>3847</v>
      </c>
      <c r="E39" s="25" t="str">
        <f>VLOOKUP(X39,LPN!$A:$D,4,0)</f>
        <v>C6 Equipment</v>
      </c>
      <c r="F39" s="26" t="s">
        <v>2565</v>
      </c>
      <c r="G39" s="27" t="s">
        <v>2566</v>
      </c>
      <c r="H39" s="27"/>
      <c r="I39" s="28"/>
      <c r="J39" s="28" t="s">
        <v>2566</v>
      </c>
      <c r="K39" s="27"/>
      <c r="L39" s="27" t="s">
        <v>2566</v>
      </c>
      <c r="M39" s="27" t="s">
        <v>2566</v>
      </c>
      <c r="N39" s="28"/>
      <c r="O39" s="27" t="s">
        <v>2566</v>
      </c>
      <c r="P39" s="28"/>
      <c r="Q39" s="27" t="str">
        <f>IF(Merge2!X40="CRS","X"," ")</f>
        <v xml:space="preserve"> </v>
      </c>
      <c r="R39" s="23">
        <f>VLOOKUP(X39,LPN!$A:$F,3,0)</f>
        <v>25</v>
      </c>
      <c r="S39" s="26" t="str">
        <f>IF(Merge2!X40="CRS","Maintenance, TBS, Repair, CRS","Maintenance, TBS, Repair")</f>
        <v>Maintenance, TBS, Repair</v>
      </c>
      <c r="T39" s="32">
        <f t="shared" si="1"/>
        <v>5.5</v>
      </c>
      <c r="U39" s="29" t="str">
        <f>Merge2!R40</f>
        <v>CM64636</v>
      </c>
      <c r="V39" s="30"/>
      <c r="X39" s="6" t="str">
        <f>Merge2!P40</f>
        <v>11050-11</v>
      </c>
      <c r="AA39" s="6">
        <f t="shared" si="2"/>
        <v>2</v>
      </c>
      <c r="AB39" s="31">
        <f t="shared" si="3"/>
        <v>5.5</v>
      </c>
    </row>
    <row r="40" spans="1:28" ht="16.5" x14ac:dyDescent="0.2">
      <c r="A40" s="22">
        <f>Merge2!H41</f>
        <v>44284</v>
      </c>
      <c r="B40" s="23" t="s">
        <v>2564</v>
      </c>
      <c r="C40" s="24" t="str">
        <f>Merge2!S41</f>
        <v>COFFEE MAKER</v>
      </c>
      <c r="D40" s="24" t="str">
        <f>Merge2!Q41</f>
        <v>2318</v>
      </c>
      <c r="E40" s="25" t="str">
        <f>VLOOKUP(X40,LPN!$A:$D,4,0)</f>
        <v>C6 Equipment</v>
      </c>
      <c r="F40" s="26" t="s">
        <v>2565</v>
      </c>
      <c r="G40" s="27" t="s">
        <v>2566</v>
      </c>
      <c r="H40" s="27"/>
      <c r="I40" s="28"/>
      <c r="J40" s="28" t="s">
        <v>2566</v>
      </c>
      <c r="K40" s="27"/>
      <c r="L40" s="27" t="s">
        <v>2566</v>
      </c>
      <c r="M40" s="27" t="s">
        <v>2566</v>
      </c>
      <c r="N40" s="28"/>
      <c r="O40" s="27" t="s">
        <v>2566</v>
      </c>
      <c r="P40" s="28"/>
      <c r="Q40" s="27" t="str">
        <f>IF(Merge2!X41="CRS","X"," ")</f>
        <v xml:space="preserve"> </v>
      </c>
      <c r="R40" s="23">
        <f>VLOOKUP(X40,LPN!$A:$F,3,0)</f>
        <v>25</v>
      </c>
      <c r="S40" s="26" t="str">
        <f>IF(Merge2!X41="CRS","Maintenance, TBS, Repair, CRS","Maintenance, TBS, Repair")</f>
        <v>Maintenance, TBS, Repair</v>
      </c>
      <c r="T40" s="32">
        <f t="shared" si="1"/>
        <v>1.8333333333333333</v>
      </c>
      <c r="U40" s="29" t="str">
        <f>Merge2!R41</f>
        <v>CM64290</v>
      </c>
      <c r="V40" s="30"/>
      <c r="X40" s="6" t="str">
        <f>Merge2!P41</f>
        <v>11225-1</v>
      </c>
      <c r="AA40" s="6">
        <f t="shared" si="2"/>
        <v>6</v>
      </c>
      <c r="AB40" s="31">
        <f t="shared" si="3"/>
        <v>1.8333333333333333</v>
      </c>
    </row>
    <row r="41" spans="1:28" ht="16.5" x14ac:dyDescent="0.2">
      <c r="A41" s="22">
        <f>Merge2!H42</f>
        <v>44284</v>
      </c>
      <c r="B41" s="23" t="s">
        <v>2564</v>
      </c>
      <c r="C41" s="24" t="str">
        <f>Merge2!S42</f>
        <v>BALLAST UNIT</v>
      </c>
      <c r="D41" s="24" t="str">
        <f>Merge2!Q42</f>
        <v>094245</v>
      </c>
      <c r="E41" s="25" t="str">
        <f>VLOOKUP(X41,LPN!$A:$D,4,0)</f>
        <v>C5 Electrical Power</v>
      </c>
      <c r="F41" s="26" t="s">
        <v>2565</v>
      </c>
      <c r="G41" s="27" t="s">
        <v>2566</v>
      </c>
      <c r="H41" s="27"/>
      <c r="I41" s="28"/>
      <c r="J41" s="28" t="s">
        <v>2566</v>
      </c>
      <c r="K41" s="27"/>
      <c r="L41" s="27" t="s">
        <v>2566</v>
      </c>
      <c r="M41" s="27" t="s">
        <v>2566</v>
      </c>
      <c r="N41" s="28"/>
      <c r="O41" s="27" t="s">
        <v>2566</v>
      </c>
      <c r="P41" s="28"/>
      <c r="Q41" s="27" t="str">
        <f>IF(Merge2!X42="CRS","X"," ")</f>
        <v xml:space="preserve"> </v>
      </c>
      <c r="R41" s="23">
        <f>VLOOKUP(X41,LPN!$A:$F,3,0)</f>
        <v>24</v>
      </c>
      <c r="S41" s="26" t="str">
        <f>IF(Merge2!X42="CRS","Maintenance, TBS, Repair, CRS","Maintenance, TBS, Repair")</f>
        <v>Maintenance, TBS, Repair</v>
      </c>
      <c r="T41" s="32">
        <f t="shared" si="1"/>
        <v>1.8333333333333333</v>
      </c>
      <c r="U41" s="29" t="str">
        <f>Merge2!R42</f>
        <v>CM64503</v>
      </c>
      <c r="V41" s="30"/>
      <c r="X41" s="6" t="str">
        <f>Merge2!P42</f>
        <v>4197-20-02</v>
      </c>
      <c r="AA41" s="6">
        <f t="shared" si="2"/>
        <v>6</v>
      </c>
      <c r="AB41" s="31">
        <f t="shared" si="3"/>
        <v>1.8333333333333333</v>
      </c>
    </row>
    <row r="42" spans="1:28" ht="16.5" x14ac:dyDescent="0.2">
      <c r="A42" s="22">
        <f>Merge2!H43</f>
        <v>44284</v>
      </c>
      <c r="B42" s="23" t="s">
        <v>2564</v>
      </c>
      <c r="C42" s="24" t="str">
        <f>Merge2!S43</f>
        <v>HEADSET</v>
      </c>
      <c r="D42" s="24" t="str">
        <f>Merge2!Q43</f>
        <v>RD315937</v>
      </c>
      <c r="E42" s="25" t="str">
        <f>VLOOKUP(X42,LPN!$A:$D,4,0)</f>
        <v>С3 Comm. and Nav.</v>
      </c>
      <c r="F42" s="26" t="s">
        <v>2565</v>
      </c>
      <c r="G42" s="27" t="s">
        <v>2566</v>
      </c>
      <c r="H42" s="27"/>
      <c r="I42" s="28"/>
      <c r="J42" s="28" t="s">
        <v>2566</v>
      </c>
      <c r="K42" s="27"/>
      <c r="L42" s="27" t="s">
        <v>2566</v>
      </c>
      <c r="M42" s="27" t="s">
        <v>2566</v>
      </c>
      <c r="N42" s="28"/>
      <c r="O42" s="27" t="s">
        <v>2566</v>
      </c>
      <c r="P42" s="28"/>
      <c r="Q42" s="27" t="str">
        <f>IF(Merge2!X43="CRS","X"," ")</f>
        <v xml:space="preserve"> </v>
      </c>
      <c r="R42" s="23">
        <f>VLOOKUP(X42,LPN!$A:$F,3,0)</f>
        <v>23</v>
      </c>
      <c r="S42" s="26" t="str">
        <f>IF(Merge2!X43="CRS","Maintenance, TBS, Repair, CRS","Maintenance, TBS, Repair")</f>
        <v>Maintenance, TBS, Repair</v>
      </c>
      <c r="T42" s="32">
        <f t="shared" si="1"/>
        <v>1.8333333333333333</v>
      </c>
      <c r="U42" s="29" t="str">
        <f>Merge2!R43</f>
        <v>CM64652</v>
      </c>
      <c r="V42" s="30"/>
      <c r="X42" s="6" t="str">
        <f>Merge2!P43</f>
        <v>64300-210</v>
      </c>
      <c r="AA42" s="6">
        <f t="shared" si="2"/>
        <v>6</v>
      </c>
      <c r="AB42" s="31">
        <f t="shared" si="3"/>
        <v>1.8333333333333333</v>
      </c>
    </row>
    <row r="43" spans="1:28" ht="16.5" x14ac:dyDescent="0.2">
      <c r="A43" s="22">
        <f>Merge2!H44</f>
        <v>44284</v>
      </c>
      <c r="B43" s="23" t="s">
        <v>2564</v>
      </c>
      <c r="C43" s="24" t="str">
        <f>Merge2!S44</f>
        <v>HEADSET</v>
      </c>
      <c r="D43" s="24" t="str">
        <f>Merge2!Q44</f>
        <v>RD311495</v>
      </c>
      <c r="E43" s="25" t="str">
        <f>VLOOKUP(X43,LPN!$A:$D,4,0)</f>
        <v>С3 Comm. and Nav.</v>
      </c>
      <c r="F43" s="26" t="s">
        <v>2565</v>
      </c>
      <c r="G43" s="27" t="s">
        <v>2566</v>
      </c>
      <c r="H43" s="27"/>
      <c r="I43" s="28"/>
      <c r="J43" s="28" t="s">
        <v>2566</v>
      </c>
      <c r="K43" s="27"/>
      <c r="L43" s="27" t="s">
        <v>2566</v>
      </c>
      <c r="M43" s="27" t="s">
        <v>2566</v>
      </c>
      <c r="N43" s="28"/>
      <c r="O43" s="27" t="s">
        <v>2566</v>
      </c>
      <c r="P43" s="28"/>
      <c r="Q43" s="27" t="str">
        <f>IF(Merge2!X44="CRS","X"," ")</f>
        <v xml:space="preserve"> </v>
      </c>
      <c r="R43" s="23">
        <f>VLOOKUP(X43,LPN!$A:$F,3,0)</f>
        <v>23</v>
      </c>
      <c r="S43" s="26" t="str">
        <f>IF(Merge2!X44="CRS","Maintenance, TBS, Repair, CRS","Maintenance, TBS, Repair")</f>
        <v>Maintenance, TBS, Repair</v>
      </c>
      <c r="T43" s="32">
        <f t="shared" si="1"/>
        <v>1.8333333333333333</v>
      </c>
      <c r="U43" s="29" t="str">
        <f>Merge2!R44</f>
        <v>CM64662</v>
      </c>
      <c r="V43" s="30"/>
      <c r="X43" s="6" t="str">
        <f>Merge2!P44</f>
        <v>64300-210</v>
      </c>
      <c r="AA43" s="6">
        <f t="shared" si="2"/>
        <v>6</v>
      </c>
      <c r="AB43" s="31">
        <f t="shared" si="3"/>
        <v>1.8333333333333333</v>
      </c>
    </row>
    <row r="44" spans="1:28" ht="16.5" x14ac:dyDescent="0.2">
      <c r="A44" s="22">
        <f>Merge2!H45</f>
        <v>44284</v>
      </c>
      <c r="B44" s="23" t="s">
        <v>2564</v>
      </c>
      <c r="C44" s="24" t="str">
        <f>Merge2!S45</f>
        <v>HEAD SET</v>
      </c>
      <c r="D44" s="24" t="str">
        <f>Merge2!Q45</f>
        <v>N/A</v>
      </c>
      <c r="E44" s="25" t="str">
        <f>VLOOKUP(X44,LPN!$A:$D,4,0)</f>
        <v>С3 Comm. and Nav.</v>
      </c>
      <c r="F44" s="26" t="s">
        <v>2565</v>
      </c>
      <c r="G44" s="27" t="s">
        <v>2566</v>
      </c>
      <c r="H44" s="27"/>
      <c r="I44" s="28"/>
      <c r="J44" s="28" t="s">
        <v>2566</v>
      </c>
      <c r="K44" s="27"/>
      <c r="L44" s="27" t="s">
        <v>2566</v>
      </c>
      <c r="M44" s="27" t="s">
        <v>2566</v>
      </c>
      <c r="N44" s="28"/>
      <c r="O44" s="27" t="s">
        <v>2566</v>
      </c>
      <c r="P44" s="28"/>
      <c r="Q44" s="27" t="str">
        <f>IF(Merge2!X45="CRS","X"," ")</f>
        <v xml:space="preserve"> </v>
      </c>
      <c r="R44" s="23">
        <f>VLOOKUP(X44,LPN!$A:$F,3,0)</f>
        <v>23</v>
      </c>
      <c r="S44" s="26" t="str">
        <f>IF(Merge2!X45="CRS","Maintenance, TBS, Repair, CRS","Maintenance, TBS, Repair")</f>
        <v>Maintenance, TBS, Repair</v>
      </c>
      <c r="T44" s="32">
        <f t="shared" si="1"/>
        <v>1.8333333333333333</v>
      </c>
      <c r="U44" s="29" t="str">
        <f>Merge2!R45</f>
        <v>CM64823</v>
      </c>
      <c r="V44" s="30"/>
      <c r="X44" s="6" t="str">
        <f>Merge2!P45</f>
        <v>64300-200</v>
      </c>
      <c r="AA44" s="6">
        <f t="shared" si="2"/>
        <v>6</v>
      </c>
      <c r="AB44" s="31">
        <f t="shared" si="3"/>
        <v>1.8333333333333333</v>
      </c>
    </row>
    <row r="45" spans="1:28" ht="16.5" x14ac:dyDescent="0.2">
      <c r="A45" s="22">
        <f>Merge2!H46</f>
        <v>44284</v>
      </c>
      <c r="B45" s="23" t="s">
        <v>2564</v>
      </c>
      <c r="C45" s="24" t="str">
        <f>Merge2!S46</f>
        <v>HEAD SET</v>
      </c>
      <c r="D45" s="24" t="str">
        <f>Merge2!Q46</f>
        <v>RD631770</v>
      </c>
      <c r="E45" s="25" t="str">
        <f>VLOOKUP(X45,LPN!$A:$D,4,0)</f>
        <v>С3 Comm. and Nav.</v>
      </c>
      <c r="F45" s="26" t="s">
        <v>2565</v>
      </c>
      <c r="G45" s="27" t="s">
        <v>2566</v>
      </c>
      <c r="H45" s="27"/>
      <c r="I45" s="28"/>
      <c r="J45" s="28" t="s">
        <v>2566</v>
      </c>
      <c r="K45" s="27"/>
      <c r="L45" s="27" t="s">
        <v>2566</v>
      </c>
      <c r="M45" s="27" t="s">
        <v>2566</v>
      </c>
      <c r="N45" s="28"/>
      <c r="O45" s="27" t="s">
        <v>2566</v>
      </c>
      <c r="P45" s="28"/>
      <c r="Q45" s="27" t="str">
        <f>IF(Merge2!X46="CRS","X"," ")</f>
        <v xml:space="preserve"> </v>
      </c>
      <c r="R45" s="23">
        <f>VLOOKUP(X45,LPN!$A:$F,3,0)</f>
        <v>23</v>
      </c>
      <c r="S45" s="26" t="str">
        <f>IF(Merge2!X46="CRS","Maintenance, TBS, Repair, CRS","Maintenance, TBS, Repair")</f>
        <v>Maintenance, TBS, Repair</v>
      </c>
      <c r="T45" s="32">
        <f t="shared" si="1"/>
        <v>1.8333333333333333</v>
      </c>
      <c r="U45" s="29" t="str">
        <f>Merge2!R46</f>
        <v>CM64840</v>
      </c>
      <c r="V45" s="30"/>
      <c r="X45" s="6" t="str">
        <f>Merge2!P46</f>
        <v>64300-200</v>
      </c>
      <c r="AA45" s="6">
        <f t="shared" si="2"/>
        <v>6</v>
      </c>
      <c r="AB45" s="31">
        <f t="shared" si="3"/>
        <v>1.8333333333333333</v>
      </c>
    </row>
    <row r="46" spans="1:28" ht="16.5" x14ac:dyDescent="0.2">
      <c r="A46" s="22">
        <f>Merge2!H47</f>
        <v>44285</v>
      </c>
      <c r="B46" s="23" t="s">
        <v>2564</v>
      </c>
      <c r="C46" s="24" t="str">
        <f>Merge2!S47</f>
        <v>BALLAST UNIT</v>
      </c>
      <c r="D46" s="24" t="str">
        <f>Merge2!Q47</f>
        <v>094245</v>
      </c>
      <c r="E46" s="25" t="str">
        <f>VLOOKUP(X46,LPN!$A:$D,4,0)</f>
        <v>C5 Electrical Power</v>
      </c>
      <c r="F46" s="26" t="s">
        <v>2565</v>
      </c>
      <c r="G46" s="27" t="s">
        <v>2566</v>
      </c>
      <c r="H46" s="27"/>
      <c r="I46" s="28"/>
      <c r="J46" s="28" t="s">
        <v>2566</v>
      </c>
      <c r="K46" s="27"/>
      <c r="L46" s="27" t="s">
        <v>2566</v>
      </c>
      <c r="M46" s="27" t="s">
        <v>2566</v>
      </c>
      <c r="N46" s="28"/>
      <c r="O46" s="27" t="s">
        <v>2566</v>
      </c>
      <c r="P46" s="28"/>
      <c r="Q46" s="27" t="str">
        <f>IF(Merge2!X47="CRS","X"," ")</f>
        <v xml:space="preserve"> </v>
      </c>
      <c r="R46" s="23">
        <f>VLOOKUP(X46,LPN!$A:$F,3,0)</f>
        <v>24</v>
      </c>
      <c r="S46" s="26" t="str">
        <f>IF(Merge2!X47="CRS","Maintenance, TBS, Repair, CRS","Maintenance, TBS, Repair")</f>
        <v>Maintenance, TBS, Repair</v>
      </c>
      <c r="T46" s="32">
        <f t="shared" si="1"/>
        <v>2.75</v>
      </c>
      <c r="U46" s="29" t="str">
        <f>Merge2!R47</f>
        <v>CM64503</v>
      </c>
      <c r="V46" s="30"/>
      <c r="X46" s="6" t="str">
        <f>Merge2!P47</f>
        <v>4197-20-02</v>
      </c>
      <c r="AA46" s="6">
        <f t="shared" si="2"/>
        <v>4</v>
      </c>
      <c r="AB46" s="31">
        <f t="shared" si="3"/>
        <v>2.75</v>
      </c>
    </row>
    <row r="47" spans="1:28" ht="24.75" x14ac:dyDescent="0.2">
      <c r="A47" s="22">
        <f>Merge2!H48</f>
        <v>44285</v>
      </c>
      <c r="B47" s="23" t="s">
        <v>2564</v>
      </c>
      <c r="C47" s="24" t="str">
        <f>Merge2!S48</f>
        <v>PANEL-AUDIO SELECTOR_1</v>
      </c>
      <c r="D47" s="24" t="str">
        <f>Merge2!Q48</f>
        <v>10717</v>
      </c>
      <c r="E47" s="25" t="str">
        <f>VLOOKUP(X47,LPN!$A:$D,4,0)</f>
        <v>С3 Comm. and Nav.</v>
      </c>
      <c r="F47" s="26" t="s">
        <v>2565</v>
      </c>
      <c r="G47" s="27" t="s">
        <v>2566</v>
      </c>
      <c r="H47" s="27"/>
      <c r="I47" s="28"/>
      <c r="J47" s="28" t="s">
        <v>2566</v>
      </c>
      <c r="K47" s="27"/>
      <c r="L47" s="27" t="s">
        <v>2566</v>
      </c>
      <c r="M47" s="27" t="s">
        <v>2566</v>
      </c>
      <c r="N47" s="28"/>
      <c r="O47" s="27" t="s">
        <v>2566</v>
      </c>
      <c r="P47" s="28"/>
      <c r="Q47" s="27" t="str">
        <f>IF(Merge2!X48="CRS","X"," ")</f>
        <v xml:space="preserve"> </v>
      </c>
      <c r="R47" s="23">
        <f>VLOOKUP(X47,LPN!$A:$F,3,0)</f>
        <v>23</v>
      </c>
      <c r="S47" s="26" t="str">
        <f>IF(Merge2!X48="CRS","Maintenance, TBS, Repair, CRS","Maintenance, TBS, Repair")</f>
        <v>Maintenance, TBS, Repair</v>
      </c>
      <c r="T47" s="32">
        <f t="shared" si="1"/>
        <v>2.75</v>
      </c>
      <c r="U47" s="29" t="str">
        <f>Merge2!R48</f>
        <v>CM64612</v>
      </c>
      <c r="V47" s="30"/>
      <c r="X47" s="6" t="str">
        <f>Merge2!P48</f>
        <v>5145-1-64</v>
      </c>
      <c r="AA47" s="6">
        <f t="shared" si="2"/>
        <v>4</v>
      </c>
      <c r="AB47" s="31">
        <f t="shared" si="3"/>
        <v>2.75</v>
      </c>
    </row>
    <row r="48" spans="1:28" ht="16.5" x14ac:dyDescent="0.2">
      <c r="A48" s="22">
        <f>Merge2!H49</f>
        <v>44285</v>
      </c>
      <c r="B48" s="23" t="s">
        <v>2564</v>
      </c>
      <c r="C48" s="24" t="str">
        <f>Merge2!S49</f>
        <v>HEADSET</v>
      </c>
      <c r="D48" s="24" t="str">
        <f>Merge2!Q49</f>
        <v>RD315937</v>
      </c>
      <c r="E48" s="25" t="str">
        <f>VLOOKUP(X48,LPN!$A:$D,4,0)</f>
        <v>С3 Comm. and Nav.</v>
      </c>
      <c r="F48" s="26" t="s">
        <v>2565</v>
      </c>
      <c r="G48" s="27" t="s">
        <v>2566</v>
      </c>
      <c r="H48" s="27"/>
      <c r="I48" s="28"/>
      <c r="J48" s="28" t="s">
        <v>2566</v>
      </c>
      <c r="K48" s="27"/>
      <c r="L48" s="27" t="s">
        <v>2566</v>
      </c>
      <c r="M48" s="27" t="s">
        <v>2566</v>
      </c>
      <c r="N48" s="28"/>
      <c r="O48" s="27" t="s">
        <v>2566</v>
      </c>
      <c r="P48" s="28"/>
      <c r="Q48" s="27" t="str">
        <f>IF(Merge2!X49="CRS","X"," ")</f>
        <v xml:space="preserve"> </v>
      </c>
      <c r="R48" s="23">
        <f>VLOOKUP(X48,LPN!$A:$F,3,0)</f>
        <v>23</v>
      </c>
      <c r="S48" s="26" t="str">
        <f>IF(Merge2!X49="CRS","Maintenance, TBS, Repair, CRS","Maintenance, TBS, Repair")</f>
        <v>Maintenance, TBS, Repair</v>
      </c>
      <c r="T48" s="32">
        <f t="shared" si="1"/>
        <v>2.75</v>
      </c>
      <c r="U48" s="29" t="str">
        <f>Merge2!R49</f>
        <v>CM64652</v>
      </c>
      <c r="V48" s="30"/>
      <c r="X48" s="6" t="str">
        <f>Merge2!P49</f>
        <v>64300-210</v>
      </c>
      <c r="AA48" s="6">
        <f t="shared" si="2"/>
        <v>4</v>
      </c>
      <c r="AB48" s="31">
        <f t="shared" si="3"/>
        <v>2.75</v>
      </c>
    </row>
    <row r="49" spans="1:28" ht="16.5" x14ac:dyDescent="0.2">
      <c r="A49" s="22">
        <f>Merge2!H50</f>
        <v>44285</v>
      </c>
      <c r="B49" s="23" t="s">
        <v>2564</v>
      </c>
      <c r="C49" s="24" t="str">
        <f>Merge2!S50</f>
        <v>HEADSET</v>
      </c>
      <c r="D49" s="24" t="str">
        <f>Merge2!Q50</f>
        <v>RD311495</v>
      </c>
      <c r="E49" s="25" t="str">
        <f>VLOOKUP(X49,LPN!$A:$D,4,0)</f>
        <v>С3 Comm. and Nav.</v>
      </c>
      <c r="F49" s="26" t="s">
        <v>2565</v>
      </c>
      <c r="G49" s="27" t="s">
        <v>2566</v>
      </c>
      <c r="H49" s="27"/>
      <c r="I49" s="28"/>
      <c r="J49" s="28" t="s">
        <v>2566</v>
      </c>
      <c r="K49" s="27"/>
      <c r="L49" s="27" t="s">
        <v>2566</v>
      </c>
      <c r="M49" s="27" t="s">
        <v>2566</v>
      </c>
      <c r="N49" s="28"/>
      <c r="O49" s="27" t="s">
        <v>2566</v>
      </c>
      <c r="P49" s="28"/>
      <c r="Q49" s="27" t="str">
        <f>IF(Merge2!X50="CRS","X"," ")</f>
        <v xml:space="preserve"> </v>
      </c>
      <c r="R49" s="23">
        <f>VLOOKUP(X49,LPN!$A:$F,3,0)</f>
        <v>23</v>
      </c>
      <c r="S49" s="26" t="str">
        <f>IF(Merge2!X50="CRS","Maintenance, TBS, Repair, CRS","Maintenance, TBS, Repair")</f>
        <v>Maintenance, TBS, Repair</v>
      </c>
      <c r="T49" s="32">
        <f t="shared" si="1"/>
        <v>2.75</v>
      </c>
      <c r="U49" s="29" t="str">
        <f>Merge2!R50</f>
        <v>CM64662</v>
      </c>
      <c r="V49" s="30"/>
      <c r="X49" s="6" t="str">
        <f>Merge2!P50</f>
        <v>64300-210</v>
      </c>
      <c r="AA49" s="6">
        <f t="shared" si="2"/>
        <v>4</v>
      </c>
      <c r="AB49" s="31">
        <f t="shared" si="3"/>
        <v>2.75</v>
      </c>
    </row>
    <row r="50" spans="1:28" ht="16.5" x14ac:dyDescent="0.2">
      <c r="A50" s="22">
        <f>Merge2!H51</f>
        <v>44288</v>
      </c>
      <c r="B50" s="23" t="s">
        <v>2564</v>
      </c>
      <c r="C50" s="24" t="str">
        <f>Merge2!S51</f>
        <v>PANEL-AUDIO SELECTOR_1</v>
      </c>
      <c r="D50" s="24" t="str">
        <f>Merge2!Q51</f>
        <v>10717</v>
      </c>
      <c r="E50" s="25" t="str">
        <f>VLOOKUP(X50,LPN!$A:$D,4,0)</f>
        <v>С3 Comm. and Nav.</v>
      </c>
      <c r="F50" s="26" t="s">
        <v>2565</v>
      </c>
      <c r="G50" s="27" t="s">
        <v>2566</v>
      </c>
      <c r="H50" s="27"/>
      <c r="I50" s="28"/>
      <c r="J50" s="28" t="s">
        <v>2566</v>
      </c>
      <c r="K50" s="27"/>
      <c r="L50" s="27" t="s">
        <v>2566</v>
      </c>
      <c r="M50" s="27" t="s">
        <v>2566</v>
      </c>
      <c r="N50" s="28"/>
      <c r="O50" s="27" t="s">
        <v>2566</v>
      </c>
      <c r="P50" s="28"/>
      <c r="Q50" s="27" t="str">
        <f>IF(Merge2!X51="CRS","X"," ")</f>
        <v xml:space="preserve"> </v>
      </c>
      <c r="R50" s="23">
        <f>VLOOKUP(X50,LPN!$A:$F,3,0)</f>
        <v>23</v>
      </c>
      <c r="S50" s="26" t="str">
        <f>IF(Merge2!X51="CRS","Maintenance, TBS, Repair, CRS","Maintenance, TBS, Repair")</f>
        <v>Maintenance, TBS, Repair</v>
      </c>
      <c r="T50" s="32">
        <f t="shared" si="1"/>
        <v>3.6666666666666665</v>
      </c>
      <c r="U50" s="29" t="str">
        <f>Merge2!R51</f>
        <v>CM64612</v>
      </c>
      <c r="V50" s="30"/>
      <c r="X50" s="6" t="str">
        <f>Merge2!P51</f>
        <v>5145-1-64</v>
      </c>
      <c r="AA50" s="6">
        <f t="shared" si="2"/>
        <v>3</v>
      </c>
      <c r="AB50" s="31">
        <f t="shared" si="3"/>
        <v>3.6666666666666665</v>
      </c>
    </row>
    <row r="51" spans="1:28" ht="16.5" x14ac:dyDescent="0.2">
      <c r="A51" s="22">
        <f>Merge2!H52</f>
        <v>44288</v>
      </c>
      <c r="B51" s="23" t="s">
        <v>2564</v>
      </c>
      <c r="C51" s="24" t="str">
        <f>Merge2!S52</f>
        <v>HEAD SET</v>
      </c>
      <c r="D51" s="24" t="str">
        <f>Merge2!Q52</f>
        <v>N/A</v>
      </c>
      <c r="E51" s="25" t="str">
        <f>VLOOKUP(X51,LPN!$A:$D,4,0)</f>
        <v>С3 Comm. and Nav.</v>
      </c>
      <c r="F51" s="26" t="s">
        <v>2565</v>
      </c>
      <c r="G51" s="27" t="s">
        <v>2566</v>
      </c>
      <c r="H51" s="27"/>
      <c r="I51" s="28"/>
      <c r="J51" s="28" t="s">
        <v>2566</v>
      </c>
      <c r="K51" s="27"/>
      <c r="L51" s="27" t="s">
        <v>2566</v>
      </c>
      <c r="M51" s="27" t="s">
        <v>2566</v>
      </c>
      <c r="N51" s="28"/>
      <c r="O51" s="27" t="s">
        <v>2566</v>
      </c>
      <c r="P51" s="28"/>
      <c r="Q51" s="27" t="str">
        <f>IF(Merge2!X52="CRS","X"," ")</f>
        <v xml:space="preserve"> </v>
      </c>
      <c r="R51" s="23">
        <f>VLOOKUP(X51,LPN!$A:$F,3,0)</f>
        <v>23</v>
      </c>
      <c r="S51" s="26" t="str">
        <f>IF(Merge2!X52="CRS","Maintenance, TBS, Repair, CRS","Maintenance, TBS, Repair")</f>
        <v>Maintenance, TBS, Repair</v>
      </c>
      <c r="T51" s="32">
        <f t="shared" si="1"/>
        <v>3.6666666666666665</v>
      </c>
      <c r="U51" s="29" t="str">
        <f>Merge2!R52</f>
        <v>CM64823</v>
      </c>
      <c r="V51" s="30"/>
      <c r="X51" s="6" t="str">
        <f>Merge2!P52</f>
        <v>64300-200</v>
      </c>
      <c r="AA51" s="6">
        <f t="shared" si="2"/>
        <v>3</v>
      </c>
      <c r="AB51" s="31">
        <f t="shared" si="3"/>
        <v>3.6666666666666665</v>
      </c>
    </row>
    <row r="52" spans="1:28" ht="16.5" x14ac:dyDescent="0.2">
      <c r="A52" s="22">
        <f>Merge2!H53</f>
        <v>44288</v>
      </c>
      <c r="B52" s="23" t="s">
        <v>2564</v>
      </c>
      <c r="C52" s="24" t="str">
        <f>Merge2!S53</f>
        <v>HEAD SET</v>
      </c>
      <c r="D52" s="24" t="str">
        <f>Merge2!Q53</f>
        <v>RD631770</v>
      </c>
      <c r="E52" s="25" t="str">
        <f>VLOOKUP(X52,LPN!$A:$D,4,0)</f>
        <v>С3 Comm. and Nav.</v>
      </c>
      <c r="F52" s="26" t="s">
        <v>2565</v>
      </c>
      <c r="G52" s="27" t="s">
        <v>2566</v>
      </c>
      <c r="H52" s="27"/>
      <c r="I52" s="28"/>
      <c r="J52" s="28" t="s">
        <v>2566</v>
      </c>
      <c r="K52" s="27"/>
      <c r="L52" s="27" t="s">
        <v>2566</v>
      </c>
      <c r="M52" s="27" t="s">
        <v>2566</v>
      </c>
      <c r="N52" s="28"/>
      <c r="O52" s="27" t="s">
        <v>2566</v>
      </c>
      <c r="P52" s="28"/>
      <c r="Q52" s="27" t="str">
        <f>IF(Merge2!X53="CRS","X"," ")</f>
        <v xml:space="preserve"> </v>
      </c>
      <c r="R52" s="23">
        <f>VLOOKUP(X52,LPN!$A:$F,3,0)</f>
        <v>23</v>
      </c>
      <c r="S52" s="26" t="str">
        <f>IF(Merge2!X53="CRS","Maintenance, TBS, Repair, CRS","Maintenance, TBS, Repair")</f>
        <v>Maintenance, TBS, Repair</v>
      </c>
      <c r="T52" s="32">
        <f t="shared" si="1"/>
        <v>3.6666666666666665</v>
      </c>
      <c r="U52" s="29" t="str">
        <f>Merge2!R53</f>
        <v>CM64840</v>
      </c>
      <c r="V52" s="30"/>
      <c r="X52" s="6" t="str">
        <f>Merge2!P53</f>
        <v>64300-200</v>
      </c>
      <c r="AA52" s="6">
        <f t="shared" si="2"/>
        <v>3</v>
      </c>
      <c r="AB52" s="31">
        <f t="shared" si="3"/>
        <v>3.6666666666666665</v>
      </c>
    </row>
    <row r="53" spans="1:28" ht="16.5" x14ac:dyDescent="0.2">
      <c r="A53" s="22">
        <f>Merge2!H54</f>
        <v>44291</v>
      </c>
      <c r="B53" s="23" t="s">
        <v>2564</v>
      </c>
      <c r="C53" s="24" t="str">
        <f>Merge2!S54</f>
        <v>EMERGENCY POWER SUPPLY</v>
      </c>
      <c r="D53" s="24" t="str">
        <f>Merge2!Q54</f>
        <v>24967</v>
      </c>
      <c r="E53" s="25" t="str">
        <f>VLOOKUP(X53,LPN!$A:$D,4,0)</f>
        <v>C5 Electrical Power</v>
      </c>
      <c r="F53" s="26" t="s">
        <v>2565</v>
      </c>
      <c r="G53" s="27" t="s">
        <v>2566</v>
      </c>
      <c r="H53" s="27"/>
      <c r="I53" s="28"/>
      <c r="J53" s="28" t="s">
        <v>2566</v>
      </c>
      <c r="K53" s="27"/>
      <c r="L53" s="27" t="s">
        <v>2566</v>
      </c>
      <c r="M53" s="27" t="s">
        <v>2566</v>
      </c>
      <c r="N53" s="28"/>
      <c r="O53" s="27" t="s">
        <v>2566</v>
      </c>
      <c r="P53" s="28"/>
      <c r="Q53" s="27" t="str">
        <f>IF(Merge2!X54="CRS","X"," ")</f>
        <v xml:space="preserve"> </v>
      </c>
      <c r="R53" s="23">
        <f>VLOOKUP(X53,LPN!$A:$F,3,0)</f>
        <v>24</v>
      </c>
      <c r="S53" s="26" t="str">
        <f>IF(Merge2!X54="CRS","Maintenance, TBS, Repair, CRS","Maintenance, TBS, Repair")</f>
        <v>Maintenance, TBS, Repair</v>
      </c>
      <c r="T53" s="32">
        <f t="shared" si="1"/>
        <v>1.8333333333333333</v>
      </c>
      <c r="U53" s="29" t="str">
        <f>Merge2!R54</f>
        <v>CM64692</v>
      </c>
      <c r="V53" s="30"/>
      <c r="X53" s="6" t="str">
        <f>Merge2!P54</f>
        <v>D717-02-001</v>
      </c>
      <c r="AA53" s="6">
        <f t="shared" si="2"/>
        <v>6</v>
      </c>
      <c r="AB53" s="31">
        <f t="shared" si="3"/>
        <v>1.8333333333333333</v>
      </c>
    </row>
    <row r="54" spans="1:28" ht="16.5" x14ac:dyDescent="0.2">
      <c r="A54" s="22">
        <f>Merge2!H55</f>
        <v>44291</v>
      </c>
      <c r="B54" s="23" t="s">
        <v>2564</v>
      </c>
      <c r="C54" s="24" t="str">
        <f>Merge2!S55</f>
        <v>EMERGENCY POWER SUPPLY</v>
      </c>
      <c r="D54" s="24" t="str">
        <f>Merge2!Q55</f>
        <v>118110</v>
      </c>
      <c r="E54" s="25" t="str">
        <f>VLOOKUP(X54,LPN!$A:$D,4,0)</f>
        <v>C5 Electrical Power</v>
      </c>
      <c r="F54" s="26" t="s">
        <v>2565</v>
      </c>
      <c r="G54" s="27" t="s">
        <v>2566</v>
      </c>
      <c r="H54" s="27"/>
      <c r="I54" s="28"/>
      <c r="J54" s="28" t="s">
        <v>2566</v>
      </c>
      <c r="K54" s="27"/>
      <c r="L54" s="27" t="s">
        <v>2566</v>
      </c>
      <c r="M54" s="27" t="s">
        <v>2566</v>
      </c>
      <c r="N54" s="28"/>
      <c r="O54" s="27" t="s">
        <v>2566</v>
      </c>
      <c r="P54" s="28"/>
      <c r="Q54" s="27" t="str">
        <f>IF(Merge2!X55="CRS","X"," ")</f>
        <v xml:space="preserve"> </v>
      </c>
      <c r="R54" s="23">
        <f>VLOOKUP(X54,LPN!$A:$F,3,0)</f>
        <v>24</v>
      </c>
      <c r="S54" s="26" t="str">
        <f>IF(Merge2!X55="CRS","Maintenance, TBS, Repair, CRS","Maintenance, TBS, Repair")</f>
        <v>Maintenance, TBS, Repair</v>
      </c>
      <c r="T54" s="32">
        <f t="shared" si="1"/>
        <v>1.8333333333333333</v>
      </c>
      <c r="U54" s="29" t="str">
        <f>Merge2!R55</f>
        <v>CM64693</v>
      </c>
      <c r="V54" s="30"/>
      <c r="X54" s="6" t="str">
        <f>Merge2!P55</f>
        <v>D717-02-001</v>
      </c>
      <c r="AA54" s="6">
        <f t="shared" si="2"/>
        <v>6</v>
      </c>
      <c r="AB54" s="31">
        <f t="shared" si="3"/>
        <v>1.8333333333333333</v>
      </c>
    </row>
    <row r="55" spans="1:28" ht="16.5" x14ac:dyDescent="0.2">
      <c r="A55" s="22">
        <f>Merge2!H56</f>
        <v>44291</v>
      </c>
      <c r="B55" s="23" t="s">
        <v>2564</v>
      </c>
      <c r="C55" s="24" t="str">
        <f>Merge2!S56</f>
        <v>EMERGENCY POWER SUPPLY</v>
      </c>
      <c r="D55" s="24" t="str">
        <f>Merge2!Q56</f>
        <v>110893</v>
      </c>
      <c r="E55" s="25" t="str">
        <f>VLOOKUP(X55,LPN!$A:$D,4,0)</f>
        <v>C5 Electrical Power</v>
      </c>
      <c r="F55" s="26" t="s">
        <v>2565</v>
      </c>
      <c r="G55" s="27" t="s">
        <v>2566</v>
      </c>
      <c r="H55" s="27"/>
      <c r="I55" s="28"/>
      <c r="J55" s="28" t="s">
        <v>2566</v>
      </c>
      <c r="K55" s="27"/>
      <c r="L55" s="27" t="s">
        <v>2566</v>
      </c>
      <c r="M55" s="27" t="s">
        <v>2566</v>
      </c>
      <c r="N55" s="28"/>
      <c r="O55" s="27" t="s">
        <v>2566</v>
      </c>
      <c r="P55" s="28"/>
      <c r="Q55" s="27" t="str">
        <f>IF(Merge2!X56="CRS","X"," ")</f>
        <v xml:space="preserve"> </v>
      </c>
      <c r="R55" s="23">
        <f>VLOOKUP(X55,LPN!$A:$F,3,0)</f>
        <v>24</v>
      </c>
      <c r="S55" s="26" t="str">
        <f>IF(Merge2!X56="CRS","Maintenance, TBS, Repair, CRS","Maintenance, TBS, Repair")</f>
        <v>Maintenance, TBS, Repair</v>
      </c>
      <c r="T55" s="32">
        <f t="shared" si="1"/>
        <v>1.8333333333333333</v>
      </c>
      <c r="U55" s="29" t="str">
        <f>Merge2!R56</f>
        <v>CM64919</v>
      </c>
      <c r="V55" s="30"/>
      <c r="X55" s="6" t="str">
        <f>Merge2!P56</f>
        <v>D717-02-001</v>
      </c>
      <c r="AA55" s="6">
        <f t="shared" si="2"/>
        <v>6</v>
      </c>
      <c r="AB55" s="31">
        <f t="shared" si="3"/>
        <v>1.8333333333333333</v>
      </c>
    </row>
    <row r="56" spans="1:28" ht="16.5" x14ac:dyDescent="0.2">
      <c r="A56" s="22">
        <f>Merge2!H57</f>
        <v>44291</v>
      </c>
      <c r="B56" s="23" t="s">
        <v>2564</v>
      </c>
      <c r="C56" s="24" t="str">
        <f>Merge2!S57</f>
        <v>BATTERY,EMERGENCY-NICAD,6VDC,5 AH</v>
      </c>
      <c r="D56" s="24" t="str">
        <f>Merge2!Q57</f>
        <v>011826</v>
      </c>
      <c r="E56" s="25" t="str">
        <f>VLOOKUP(X56,LPN!$A:$D,4,0)</f>
        <v>C5 Electrical Power</v>
      </c>
      <c r="F56" s="26" t="s">
        <v>2565</v>
      </c>
      <c r="G56" s="27" t="s">
        <v>2566</v>
      </c>
      <c r="H56" s="27"/>
      <c r="I56" s="28"/>
      <c r="J56" s="28" t="s">
        <v>2566</v>
      </c>
      <c r="K56" s="27"/>
      <c r="L56" s="27" t="s">
        <v>2566</v>
      </c>
      <c r="M56" s="27" t="s">
        <v>2566</v>
      </c>
      <c r="N56" s="28"/>
      <c r="O56" s="27" t="s">
        <v>2566</v>
      </c>
      <c r="P56" s="28"/>
      <c r="Q56" s="27" t="str">
        <f>IF(Merge2!X57="CRS","X"," ")</f>
        <v xml:space="preserve"> </v>
      </c>
      <c r="R56" s="23">
        <f>VLOOKUP(X56,LPN!$A:$F,3,0)</f>
        <v>33</v>
      </c>
      <c r="S56" s="26" t="str">
        <f>IF(Merge2!X57="CRS","Maintenance, TBS, Repair, CRS","Maintenance, TBS, Repair")</f>
        <v>Maintenance, TBS, Repair</v>
      </c>
      <c r="T56" s="32">
        <f t="shared" si="1"/>
        <v>1.8333333333333333</v>
      </c>
      <c r="U56" s="29" t="str">
        <f>Merge2!R57</f>
        <v>CM65240</v>
      </c>
      <c r="V56" s="30"/>
      <c r="X56" s="6" t="str">
        <f>Merge2!P57</f>
        <v>3400-22-10</v>
      </c>
      <c r="AA56" s="6">
        <f t="shared" si="2"/>
        <v>6</v>
      </c>
      <c r="AB56" s="31">
        <f t="shared" si="3"/>
        <v>1.8333333333333333</v>
      </c>
    </row>
    <row r="57" spans="1:28" ht="16.5" x14ac:dyDescent="0.2">
      <c r="A57" s="22">
        <f>Merge2!H58</f>
        <v>44291</v>
      </c>
      <c r="B57" s="23" t="s">
        <v>2564</v>
      </c>
      <c r="C57" s="24" t="str">
        <f>Merge2!S58</f>
        <v>BATTERY NICD, CONJ</v>
      </c>
      <c r="D57" s="24" t="str">
        <f>Merge2!Q58</f>
        <v>060249</v>
      </c>
      <c r="E57" s="25" t="str">
        <f>VLOOKUP(X57,LPN!$A:$D,4,0)</f>
        <v>C5 Electrical Power</v>
      </c>
      <c r="F57" s="26" t="s">
        <v>2565</v>
      </c>
      <c r="G57" s="27" t="s">
        <v>2566</v>
      </c>
      <c r="H57" s="27"/>
      <c r="I57" s="28"/>
      <c r="J57" s="28" t="s">
        <v>2566</v>
      </c>
      <c r="K57" s="27"/>
      <c r="L57" s="27" t="s">
        <v>2566</v>
      </c>
      <c r="M57" s="27" t="s">
        <v>2566</v>
      </c>
      <c r="N57" s="28"/>
      <c r="O57" s="27" t="s">
        <v>2566</v>
      </c>
      <c r="P57" s="28"/>
      <c r="Q57" s="27" t="str">
        <f>IF(Merge2!X58="CRS","X"," ")</f>
        <v xml:space="preserve"> </v>
      </c>
      <c r="R57" s="23">
        <f>VLOOKUP(X57,LPN!$A:$F,3,0)</f>
        <v>33</v>
      </c>
      <c r="S57" s="26" t="str">
        <f>IF(Merge2!X58="CRS","Maintenance, TBS, Repair, CRS","Maintenance, TBS, Repair")</f>
        <v>Maintenance, TBS, Repair</v>
      </c>
      <c r="T57" s="32">
        <f t="shared" si="1"/>
        <v>1.8333333333333333</v>
      </c>
      <c r="U57" s="29" t="str">
        <f>Merge2!R58</f>
        <v>CM65929</v>
      </c>
      <c r="V57" s="30"/>
      <c r="X57" s="6" t="str">
        <f>Merge2!P58</f>
        <v>3301-31</v>
      </c>
      <c r="AA57" s="6">
        <f t="shared" si="2"/>
        <v>6</v>
      </c>
      <c r="AB57" s="31">
        <f t="shared" si="3"/>
        <v>1.8333333333333333</v>
      </c>
    </row>
    <row r="58" spans="1:28" ht="16.5" x14ac:dyDescent="0.2">
      <c r="A58" s="22">
        <f>Merge2!H59</f>
        <v>44291</v>
      </c>
      <c r="B58" s="23" t="s">
        <v>2564</v>
      </c>
      <c r="C58" s="24" t="str">
        <f>Merge2!S59</f>
        <v>BATTERY NICD, CONJ</v>
      </c>
      <c r="D58" s="24" t="str">
        <f>Merge2!Q59</f>
        <v>063536</v>
      </c>
      <c r="E58" s="25" t="str">
        <f>VLOOKUP(X58,LPN!$A:$D,4,0)</f>
        <v>C5 Electrical Power</v>
      </c>
      <c r="F58" s="26" t="s">
        <v>2565</v>
      </c>
      <c r="G58" s="27" t="s">
        <v>2566</v>
      </c>
      <c r="H58" s="27"/>
      <c r="I58" s="28"/>
      <c r="J58" s="28" t="s">
        <v>2566</v>
      </c>
      <c r="K58" s="27"/>
      <c r="L58" s="27" t="s">
        <v>2566</v>
      </c>
      <c r="M58" s="27" t="s">
        <v>2566</v>
      </c>
      <c r="N58" s="28"/>
      <c r="O58" s="27" t="s">
        <v>2566</v>
      </c>
      <c r="P58" s="28"/>
      <c r="Q58" s="27" t="str">
        <f>IF(Merge2!X59="CRS","X"," ")</f>
        <v xml:space="preserve"> </v>
      </c>
      <c r="R58" s="23">
        <f>VLOOKUP(X58,LPN!$A:$F,3,0)</f>
        <v>33</v>
      </c>
      <c r="S58" s="26" t="str">
        <f>IF(Merge2!X59="CRS","Maintenance, TBS, Repair, CRS","Maintenance, TBS, Repair")</f>
        <v>Maintenance, TBS, Repair</v>
      </c>
      <c r="T58" s="32">
        <f t="shared" si="1"/>
        <v>1.8333333333333333</v>
      </c>
      <c r="U58" s="29" t="str">
        <f>Merge2!R59</f>
        <v>CM65240</v>
      </c>
      <c r="V58" s="30"/>
      <c r="X58" s="6" t="str">
        <f>Merge2!P59</f>
        <v>3301-31</v>
      </c>
      <c r="AA58" s="6">
        <f t="shared" si="2"/>
        <v>6</v>
      </c>
      <c r="AB58" s="31">
        <f t="shared" si="3"/>
        <v>1.8333333333333333</v>
      </c>
    </row>
    <row r="59" spans="1:28" ht="16.5" x14ac:dyDescent="0.2">
      <c r="A59" s="22">
        <f>Merge2!H60</f>
        <v>0</v>
      </c>
      <c r="B59" s="23" t="s">
        <v>2564</v>
      </c>
      <c r="C59" s="24">
        <f>Merge2!S60</f>
        <v>0</v>
      </c>
      <c r="D59" s="24">
        <f>Merge2!Q60</f>
        <v>0</v>
      </c>
      <c r="E59" s="25" t="e">
        <f>VLOOKUP(X59,LPN!$A:$D,4,0)</f>
        <v>#N/A</v>
      </c>
      <c r="F59" s="26" t="s">
        <v>2565</v>
      </c>
      <c r="G59" s="27" t="s">
        <v>2566</v>
      </c>
      <c r="H59" s="27"/>
      <c r="I59" s="28"/>
      <c r="J59" s="28" t="s">
        <v>2566</v>
      </c>
      <c r="K59" s="27"/>
      <c r="L59" s="27" t="s">
        <v>2566</v>
      </c>
      <c r="M59" s="27" t="s">
        <v>2566</v>
      </c>
      <c r="N59" s="28"/>
      <c r="O59" s="27" t="s">
        <v>2566</v>
      </c>
      <c r="P59" s="28"/>
      <c r="Q59" s="27" t="str">
        <f>IF(Merge2!X60="CRS","X"," ")</f>
        <v xml:space="preserve"> </v>
      </c>
      <c r="R59" s="23" t="e">
        <f>VLOOKUP(X59,LPN!$A:$F,3,0)</f>
        <v>#N/A</v>
      </c>
      <c r="S59" s="26" t="str">
        <f>IF(Merge2!X60="CRS","Maintenance, TBS, Repair, CRS","Maintenance, TBS, Repair")</f>
        <v>Maintenance, TBS, Repair</v>
      </c>
      <c r="T59" s="32">
        <f t="shared" si="1"/>
        <v>0.17741935483870969</v>
      </c>
      <c r="U59" s="29">
        <f>Merge2!R60</f>
        <v>0</v>
      </c>
      <c r="V59" s="30"/>
      <c r="X59" s="6">
        <f>Merge2!P60</f>
        <v>0</v>
      </c>
      <c r="AA59" s="6">
        <f t="shared" si="2"/>
        <v>62</v>
      </c>
      <c r="AB59" s="31">
        <f t="shared" si="3"/>
        <v>0.17741935483870969</v>
      </c>
    </row>
    <row r="60" spans="1:28" ht="16.5" x14ac:dyDescent="0.2">
      <c r="A60" s="22">
        <f>Merge2!H61</f>
        <v>0</v>
      </c>
      <c r="B60" s="23" t="s">
        <v>2564</v>
      </c>
      <c r="C60" s="24">
        <f>Merge2!S61</f>
        <v>0</v>
      </c>
      <c r="D60" s="24">
        <f>Merge2!Q61</f>
        <v>0</v>
      </c>
      <c r="E60" s="25" t="e">
        <f>VLOOKUP(X60,LPN!$A:$D,4,0)</f>
        <v>#N/A</v>
      </c>
      <c r="F60" s="26" t="s">
        <v>2565</v>
      </c>
      <c r="G60" s="27" t="s">
        <v>2566</v>
      </c>
      <c r="H60" s="27"/>
      <c r="I60" s="28"/>
      <c r="J60" s="28" t="s">
        <v>2566</v>
      </c>
      <c r="K60" s="27"/>
      <c r="L60" s="27" t="s">
        <v>2566</v>
      </c>
      <c r="M60" s="27" t="s">
        <v>2566</v>
      </c>
      <c r="N60" s="28"/>
      <c r="O60" s="27" t="s">
        <v>2566</v>
      </c>
      <c r="P60" s="28"/>
      <c r="Q60" s="27" t="str">
        <f>IF(Merge2!X61="CRS","X"," ")</f>
        <v xml:space="preserve"> </v>
      </c>
      <c r="R60" s="23" t="e">
        <f>VLOOKUP(X60,LPN!$A:$F,3,0)</f>
        <v>#N/A</v>
      </c>
      <c r="S60" s="26" t="str">
        <f>IF(Merge2!X61="CRS","Maintenance, TBS, Repair, CRS","Maintenance, TBS, Repair")</f>
        <v>Maintenance, TBS, Repair</v>
      </c>
      <c r="T60" s="32">
        <f t="shared" si="1"/>
        <v>0.17741935483870969</v>
      </c>
      <c r="U60" s="29">
        <f>Merge2!R61</f>
        <v>0</v>
      </c>
      <c r="V60" s="30"/>
      <c r="X60" s="6">
        <f>Merge2!P61</f>
        <v>0</v>
      </c>
      <c r="AA60" s="6">
        <f t="shared" si="2"/>
        <v>62</v>
      </c>
      <c r="AB60" s="31">
        <f t="shared" si="3"/>
        <v>0.17741935483870969</v>
      </c>
    </row>
    <row r="61" spans="1:28" ht="16.5" x14ac:dyDescent="0.2">
      <c r="A61" s="22">
        <f>Merge2!H62</f>
        <v>0</v>
      </c>
      <c r="B61" s="23" t="s">
        <v>2564</v>
      </c>
      <c r="C61" s="24">
        <f>Merge2!S62</f>
        <v>0</v>
      </c>
      <c r="D61" s="24">
        <f>Merge2!Q62</f>
        <v>0</v>
      </c>
      <c r="E61" s="25" t="e">
        <f>VLOOKUP(X61,LPN!$A:$D,4,0)</f>
        <v>#N/A</v>
      </c>
      <c r="F61" s="26" t="s">
        <v>2565</v>
      </c>
      <c r="G61" s="27" t="s">
        <v>2566</v>
      </c>
      <c r="H61" s="27"/>
      <c r="I61" s="28"/>
      <c r="J61" s="28" t="s">
        <v>2566</v>
      </c>
      <c r="K61" s="27"/>
      <c r="L61" s="27" t="s">
        <v>2566</v>
      </c>
      <c r="M61" s="27" t="s">
        <v>2566</v>
      </c>
      <c r="N61" s="28"/>
      <c r="O61" s="27" t="s">
        <v>2566</v>
      </c>
      <c r="P61" s="28"/>
      <c r="Q61" s="27" t="str">
        <f>IF(Merge2!X62="CRS","X"," ")</f>
        <v xml:space="preserve"> </v>
      </c>
      <c r="R61" s="23" t="e">
        <f>VLOOKUP(X61,LPN!$A:$F,3,0)</f>
        <v>#N/A</v>
      </c>
      <c r="S61" s="26" t="str">
        <f>IF(Merge2!X62="CRS","Maintenance, TBS, Repair, CRS","Maintenance, TBS, Repair")</f>
        <v>Maintenance, TBS, Repair</v>
      </c>
      <c r="T61" s="32">
        <f t="shared" si="1"/>
        <v>0.17741935483870969</v>
      </c>
      <c r="U61" s="29">
        <f>Merge2!R62</f>
        <v>0</v>
      </c>
      <c r="V61" s="30"/>
      <c r="X61" s="6">
        <f>Merge2!P62</f>
        <v>0</v>
      </c>
      <c r="AA61" s="6">
        <f t="shared" si="2"/>
        <v>62</v>
      </c>
      <c r="AB61" s="31">
        <f t="shared" si="3"/>
        <v>0.17741935483870969</v>
      </c>
    </row>
    <row r="62" spans="1:28" ht="16.5" x14ac:dyDescent="0.2">
      <c r="A62" s="22">
        <f>Merge2!H63</f>
        <v>0</v>
      </c>
      <c r="B62" s="23" t="s">
        <v>2564</v>
      </c>
      <c r="C62" s="24">
        <f>Merge2!S63</f>
        <v>0</v>
      </c>
      <c r="D62" s="24">
        <f>Merge2!Q63</f>
        <v>0</v>
      </c>
      <c r="E62" s="25" t="e">
        <f>VLOOKUP(X62,LPN!$A:$D,4,0)</f>
        <v>#N/A</v>
      </c>
      <c r="F62" s="26" t="s">
        <v>2565</v>
      </c>
      <c r="G62" s="27" t="s">
        <v>2566</v>
      </c>
      <c r="H62" s="27"/>
      <c r="I62" s="28"/>
      <c r="J62" s="28" t="s">
        <v>2566</v>
      </c>
      <c r="K62" s="27"/>
      <c r="L62" s="27" t="s">
        <v>2566</v>
      </c>
      <c r="M62" s="27" t="s">
        <v>2566</v>
      </c>
      <c r="N62" s="28"/>
      <c r="O62" s="27" t="s">
        <v>2566</v>
      </c>
      <c r="P62" s="28"/>
      <c r="Q62" s="27" t="str">
        <f>IF(Merge2!X63="CRS","X"," ")</f>
        <v xml:space="preserve"> </v>
      </c>
      <c r="R62" s="23" t="e">
        <f>VLOOKUP(X62,LPN!$A:$F,3,0)</f>
        <v>#N/A</v>
      </c>
      <c r="S62" s="26" t="str">
        <f>IF(Merge2!X63="CRS","Maintenance, TBS, Repair, CRS","Maintenance, TBS, Repair")</f>
        <v>Maintenance, TBS, Repair</v>
      </c>
      <c r="T62" s="32">
        <f t="shared" si="1"/>
        <v>0.17741935483870969</v>
      </c>
      <c r="U62" s="29">
        <f>Merge2!R63</f>
        <v>0</v>
      </c>
      <c r="V62" s="30"/>
      <c r="X62" s="6">
        <f>Merge2!P63</f>
        <v>0</v>
      </c>
      <c r="AA62" s="6">
        <f t="shared" si="2"/>
        <v>62</v>
      </c>
      <c r="AB62" s="31">
        <f t="shared" si="3"/>
        <v>0.17741935483870969</v>
      </c>
    </row>
    <row r="63" spans="1:28" ht="16.5" x14ac:dyDescent="0.2">
      <c r="A63" s="22">
        <f>Merge2!H64</f>
        <v>0</v>
      </c>
      <c r="B63" s="23" t="s">
        <v>2564</v>
      </c>
      <c r="C63" s="24">
        <f>Merge2!S64</f>
        <v>0</v>
      </c>
      <c r="D63" s="24">
        <f>Merge2!Q64</f>
        <v>0</v>
      </c>
      <c r="E63" s="25" t="e">
        <f>VLOOKUP(X63,LPN!$A:$D,4,0)</f>
        <v>#N/A</v>
      </c>
      <c r="F63" s="26" t="s">
        <v>2565</v>
      </c>
      <c r="G63" s="27" t="s">
        <v>2566</v>
      </c>
      <c r="H63" s="27"/>
      <c r="I63" s="28"/>
      <c r="J63" s="28" t="s">
        <v>2566</v>
      </c>
      <c r="K63" s="27"/>
      <c r="L63" s="27" t="s">
        <v>2566</v>
      </c>
      <c r="M63" s="27" t="s">
        <v>2566</v>
      </c>
      <c r="N63" s="28"/>
      <c r="O63" s="27" t="s">
        <v>2566</v>
      </c>
      <c r="P63" s="28"/>
      <c r="Q63" s="27" t="str">
        <f>IF(Merge2!X64="CRS","X"," ")</f>
        <v xml:space="preserve"> </v>
      </c>
      <c r="R63" s="23" t="e">
        <f>VLOOKUP(X63,LPN!$A:$F,3,0)</f>
        <v>#N/A</v>
      </c>
      <c r="S63" s="26" t="str">
        <f>IF(Merge2!X64="CRS","Maintenance, TBS, Repair, CRS","Maintenance, TBS, Repair")</f>
        <v>Maintenance, TBS, Repair</v>
      </c>
      <c r="T63" s="32">
        <f t="shared" si="1"/>
        <v>0.17741935483870969</v>
      </c>
      <c r="U63" s="29">
        <f>Merge2!R64</f>
        <v>0</v>
      </c>
      <c r="V63" s="30"/>
      <c r="X63" s="6">
        <f>Merge2!P64</f>
        <v>0</v>
      </c>
      <c r="AA63" s="6">
        <f t="shared" si="2"/>
        <v>62</v>
      </c>
      <c r="AB63" s="31">
        <f t="shared" si="3"/>
        <v>0.17741935483870969</v>
      </c>
    </row>
    <row r="64" spans="1:28" ht="16.5" x14ac:dyDescent="0.2">
      <c r="A64" s="22">
        <f>Merge2!H65</f>
        <v>0</v>
      </c>
      <c r="B64" s="23" t="s">
        <v>2564</v>
      </c>
      <c r="C64" s="24">
        <f>Merge2!S65</f>
        <v>0</v>
      </c>
      <c r="D64" s="24">
        <f>Merge2!Q65</f>
        <v>0</v>
      </c>
      <c r="E64" s="25" t="e">
        <f>VLOOKUP(X64,LPN!$A:$D,4,0)</f>
        <v>#N/A</v>
      </c>
      <c r="F64" s="26" t="s">
        <v>2565</v>
      </c>
      <c r="G64" s="27" t="s">
        <v>2566</v>
      </c>
      <c r="H64" s="27"/>
      <c r="I64" s="28"/>
      <c r="J64" s="28" t="s">
        <v>2566</v>
      </c>
      <c r="K64" s="27"/>
      <c r="L64" s="27" t="s">
        <v>2566</v>
      </c>
      <c r="M64" s="27" t="s">
        <v>2566</v>
      </c>
      <c r="N64" s="28"/>
      <c r="O64" s="27" t="s">
        <v>2566</v>
      </c>
      <c r="P64" s="28"/>
      <c r="Q64" s="27" t="str">
        <f>IF(Merge2!X65="CRS","X"," ")</f>
        <v xml:space="preserve"> </v>
      </c>
      <c r="R64" s="23" t="e">
        <f>VLOOKUP(X64,LPN!$A:$F,3,0)</f>
        <v>#N/A</v>
      </c>
      <c r="S64" s="26" t="str">
        <f>IF(Merge2!X65="CRS","Maintenance, TBS, Repair, CRS","Maintenance, TBS, Repair")</f>
        <v>Maintenance, TBS, Repair</v>
      </c>
      <c r="T64" s="32">
        <f t="shared" si="1"/>
        <v>0.17741935483870969</v>
      </c>
      <c r="U64" s="29">
        <f>Merge2!R65</f>
        <v>0</v>
      </c>
      <c r="V64" s="30"/>
      <c r="X64" s="6">
        <f>Merge2!P65</f>
        <v>0</v>
      </c>
      <c r="AA64" s="6">
        <f t="shared" si="2"/>
        <v>62</v>
      </c>
      <c r="AB64" s="31">
        <f t="shared" si="3"/>
        <v>0.17741935483870969</v>
      </c>
    </row>
    <row r="65" spans="1:28" ht="16.5" x14ac:dyDescent="0.2">
      <c r="A65" s="22">
        <f>Merge2!H66</f>
        <v>0</v>
      </c>
      <c r="B65" s="23" t="s">
        <v>2564</v>
      </c>
      <c r="C65" s="24">
        <f>Merge2!S66</f>
        <v>0</v>
      </c>
      <c r="D65" s="24">
        <f>Merge2!Q66</f>
        <v>0</v>
      </c>
      <c r="E65" s="25" t="e">
        <f>VLOOKUP(X65,LPN!$A:$D,4,0)</f>
        <v>#N/A</v>
      </c>
      <c r="F65" s="26" t="s">
        <v>2565</v>
      </c>
      <c r="G65" s="27" t="s">
        <v>2566</v>
      </c>
      <c r="H65" s="27"/>
      <c r="I65" s="28"/>
      <c r="J65" s="28" t="s">
        <v>2566</v>
      </c>
      <c r="K65" s="27"/>
      <c r="L65" s="27" t="s">
        <v>2566</v>
      </c>
      <c r="M65" s="27" t="s">
        <v>2566</v>
      </c>
      <c r="N65" s="28"/>
      <c r="O65" s="27" t="s">
        <v>2566</v>
      </c>
      <c r="P65" s="28"/>
      <c r="Q65" s="27" t="str">
        <f>IF(Merge2!X66="CRS","X"," ")</f>
        <v xml:space="preserve"> </v>
      </c>
      <c r="R65" s="23" t="e">
        <f>VLOOKUP(X65,LPN!$A:$F,3,0)</f>
        <v>#N/A</v>
      </c>
      <c r="S65" s="26" t="str">
        <f>IF(Merge2!X66="CRS","Maintenance, TBS, Repair, CRS","Maintenance, TBS, Repair")</f>
        <v>Maintenance, TBS, Repair</v>
      </c>
      <c r="T65" s="32">
        <f t="shared" si="1"/>
        <v>0.17741935483870969</v>
      </c>
      <c r="U65" s="29">
        <f>Merge2!R66</f>
        <v>0</v>
      </c>
      <c r="V65" s="30"/>
      <c r="X65" s="6">
        <f>Merge2!P66</f>
        <v>0</v>
      </c>
      <c r="AA65" s="6">
        <f t="shared" si="2"/>
        <v>62</v>
      </c>
      <c r="AB65" s="31">
        <f t="shared" si="3"/>
        <v>0.17741935483870969</v>
      </c>
    </row>
    <row r="66" spans="1:28" ht="16.5" x14ac:dyDescent="0.2">
      <c r="A66" s="22">
        <f>Merge2!H67</f>
        <v>0</v>
      </c>
      <c r="B66" s="23" t="s">
        <v>2564</v>
      </c>
      <c r="C66" s="24">
        <f>Merge2!S67</f>
        <v>0</v>
      </c>
      <c r="D66" s="24">
        <f>Merge2!Q67</f>
        <v>0</v>
      </c>
      <c r="E66" s="25" t="e">
        <f>VLOOKUP(X66,LPN!$A:$D,4,0)</f>
        <v>#N/A</v>
      </c>
      <c r="F66" s="26" t="s">
        <v>2565</v>
      </c>
      <c r="G66" s="27" t="s">
        <v>2566</v>
      </c>
      <c r="H66" s="27"/>
      <c r="I66" s="28"/>
      <c r="J66" s="28" t="s">
        <v>2566</v>
      </c>
      <c r="K66" s="27"/>
      <c r="L66" s="27" t="s">
        <v>2566</v>
      </c>
      <c r="M66" s="27" t="s">
        <v>2566</v>
      </c>
      <c r="N66" s="28"/>
      <c r="O66" s="27" t="s">
        <v>2566</v>
      </c>
      <c r="P66" s="28"/>
      <c r="Q66" s="27" t="str">
        <f>IF(Merge2!X67="CRS","X"," ")</f>
        <v xml:space="preserve"> </v>
      </c>
      <c r="R66" s="23" t="e">
        <f>VLOOKUP(X66,LPN!$A:$F,3,0)</f>
        <v>#N/A</v>
      </c>
      <c r="S66" s="26" t="str">
        <f>IF(Merge2!X67="CRS","Maintenance, TBS, Repair, CRS","Maintenance, TBS, Repair")</f>
        <v>Maintenance, TBS, Repair</v>
      </c>
      <c r="T66" s="32">
        <f t="shared" ref="T66:T69" si="4">AB66</f>
        <v>0.17741935483870969</v>
      </c>
      <c r="U66" s="29">
        <f>Merge2!R67</f>
        <v>0</v>
      </c>
      <c r="V66" s="30"/>
      <c r="X66" s="6">
        <f>Merge2!P67</f>
        <v>0</v>
      </c>
      <c r="AA66" s="6">
        <f t="shared" ref="AA66:AA69" si="5">COUNTIF(dates,A66)</f>
        <v>62</v>
      </c>
      <c r="AB66" s="31">
        <f t="shared" ref="AB66:AB69" si="6">11/AA66</f>
        <v>0.17741935483870969</v>
      </c>
    </row>
    <row r="67" spans="1:28" ht="24.75" x14ac:dyDescent="0.2">
      <c r="A67" s="22">
        <f>Merge2!H68</f>
        <v>0</v>
      </c>
      <c r="B67" s="23" t="s">
        <v>2564</v>
      </c>
      <c r="C67" s="24">
        <f>Merge2!S68</f>
        <v>0</v>
      </c>
      <c r="D67" s="24">
        <f>Merge2!Q68</f>
        <v>0</v>
      </c>
      <c r="E67" s="25" t="e">
        <f>VLOOKUP(X67,LPN!$A:$D,4,0)</f>
        <v>#N/A</v>
      </c>
      <c r="F67" s="26" t="s">
        <v>2565</v>
      </c>
      <c r="G67" s="27" t="s">
        <v>2566</v>
      </c>
      <c r="H67" s="27"/>
      <c r="I67" s="28"/>
      <c r="J67" s="28" t="s">
        <v>2566</v>
      </c>
      <c r="K67" s="27"/>
      <c r="L67" s="27" t="s">
        <v>2566</v>
      </c>
      <c r="M67" s="27" t="s">
        <v>2566</v>
      </c>
      <c r="N67" s="28"/>
      <c r="O67" s="27" t="s">
        <v>2566</v>
      </c>
      <c r="P67" s="28"/>
      <c r="Q67" s="27" t="str">
        <f>IF(Merge2!X68="CRS","X"," ")</f>
        <v xml:space="preserve"> </v>
      </c>
      <c r="R67" s="23" t="e">
        <f>VLOOKUP(X67,LPN!$A:$F,3,0)</f>
        <v>#N/A</v>
      </c>
      <c r="S67" s="26" t="str">
        <f>IF(Merge2!X68="CRS","Maintenance, TBS, Repair, CRS","Maintenance, TBS, Repair")</f>
        <v>Maintenance, TBS, Repair</v>
      </c>
      <c r="T67" s="32">
        <f t="shared" si="4"/>
        <v>0.17741935483870969</v>
      </c>
      <c r="U67" s="29">
        <f>Merge2!R68</f>
        <v>0</v>
      </c>
      <c r="V67" s="30"/>
      <c r="X67" s="6">
        <f>Merge2!P68</f>
        <v>0</v>
      </c>
      <c r="AA67" s="6">
        <f t="shared" si="5"/>
        <v>62</v>
      </c>
      <c r="AB67" s="31">
        <f t="shared" si="6"/>
        <v>0.17741935483870969</v>
      </c>
    </row>
    <row r="68" spans="1:28" ht="24.75" x14ac:dyDescent="0.2">
      <c r="A68" s="22">
        <f>Merge2!H69</f>
        <v>0</v>
      </c>
      <c r="B68" s="23" t="s">
        <v>2564</v>
      </c>
      <c r="C68" s="24">
        <f>Merge2!S69</f>
        <v>0</v>
      </c>
      <c r="D68" s="24">
        <f>Merge2!Q69</f>
        <v>0</v>
      </c>
      <c r="E68" s="25" t="e">
        <f>VLOOKUP(X68,LPN!$A:$D,4,0)</f>
        <v>#N/A</v>
      </c>
      <c r="F68" s="26" t="s">
        <v>2565</v>
      </c>
      <c r="G68" s="27" t="s">
        <v>2566</v>
      </c>
      <c r="H68" s="27"/>
      <c r="I68" s="28"/>
      <c r="J68" s="28" t="s">
        <v>2566</v>
      </c>
      <c r="K68" s="27"/>
      <c r="L68" s="27" t="s">
        <v>2566</v>
      </c>
      <c r="M68" s="27" t="s">
        <v>2566</v>
      </c>
      <c r="N68" s="28"/>
      <c r="O68" s="27" t="s">
        <v>2566</v>
      </c>
      <c r="P68" s="28"/>
      <c r="Q68" s="27" t="str">
        <f>IF(Merge2!X69="CRS","X"," ")</f>
        <v xml:space="preserve"> </v>
      </c>
      <c r="R68" s="23" t="e">
        <f>VLOOKUP(X68,LPN!$A:$F,3,0)</f>
        <v>#N/A</v>
      </c>
      <c r="S68" s="26" t="str">
        <f>IF(Merge2!X69="CRS","Maintenance, TBS, Repair, CRS","Maintenance, TBS, Repair")</f>
        <v>Maintenance, TBS, Repair</v>
      </c>
      <c r="T68" s="32">
        <f t="shared" si="4"/>
        <v>0.17741935483870969</v>
      </c>
      <c r="U68" s="29">
        <f>Merge2!R69</f>
        <v>0</v>
      </c>
      <c r="V68" s="30"/>
      <c r="X68" s="6">
        <f>Merge2!P69</f>
        <v>0</v>
      </c>
      <c r="AA68" s="6">
        <f t="shared" si="5"/>
        <v>62</v>
      </c>
      <c r="AB68" s="31">
        <f t="shared" si="6"/>
        <v>0.17741935483870969</v>
      </c>
    </row>
    <row r="69" spans="1:28" ht="24.75" x14ac:dyDescent="0.2">
      <c r="A69" s="22">
        <f>Merge2!H70</f>
        <v>0</v>
      </c>
      <c r="B69" s="23" t="s">
        <v>2564</v>
      </c>
      <c r="C69" s="24">
        <f>Merge2!S70</f>
        <v>0</v>
      </c>
      <c r="D69" s="24">
        <f>Merge2!Q70</f>
        <v>0</v>
      </c>
      <c r="E69" s="25" t="e">
        <f>VLOOKUP(X69,LPN!$A:$D,4,0)</f>
        <v>#N/A</v>
      </c>
      <c r="F69" s="26" t="s">
        <v>2565</v>
      </c>
      <c r="G69" s="27" t="s">
        <v>2566</v>
      </c>
      <c r="H69" s="27"/>
      <c r="I69" s="28"/>
      <c r="J69" s="28" t="s">
        <v>2566</v>
      </c>
      <c r="K69" s="27"/>
      <c r="L69" s="27" t="s">
        <v>2566</v>
      </c>
      <c r="M69" s="27" t="s">
        <v>2566</v>
      </c>
      <c r="N69" s="28"/>
      <c r="O69" s="27" t="s">
        <v>2566</v>
      </c>
      <c r="P69" s="28"/>
      <c r="Q69" s="27" t="str">
        <f>IF(Merge2!X70="CRS","X"," ")</f>
        <v xml:space="preserve"> </v>
      </c>
      <c r="R69" s="23" t="e">
        <f>VLOOKUP(X69,LPN!$A:$F,3,0)</f>
        <v>#N/A</v>
      </c>
      <c r="S69" s="26" t="str">
        <f>IF(Merge2!X70="CRS","Maintenance, TBS, Repair, CRS","Maintenance, TBS, Repair")</f>
        <v>Maintenance, TBS, Repair</v>
      </c>
      <c r="T69" s="32">
        <f t="shared" si="4"/>
        <v>0.17741935483870969</v>
      </c>
      <c r="U69" s="29">
        <f>Merge2!R70</f>
        <v>0</v>
      </c>
      <c r="V69" s="30"/>
      <c r="X69" s="6">
        <f>Merge2!P70</f>
        <v>0</v>
      </c>
      <c r="AA69" s="6">
        <f t="shared" si="5"/>
        <v>62</v>
      </c>
      <c r="AB69" s="31">
        <f t="shared" si="6"/>
        <v>0.17741935483870969</v>
      </c>
    </row>
    <row r="70" spans="1:28" ht="16.5" x14ac:dyDescent="0.2">
      <c r="A70" s="22">
        <f>Merge2!H71</f>
        <v>0</v>
      </c>
      <c r="B70" s="23" t="s">
        <v>2564</v>
      </c>
      <c r="C70" s="24">
        <f>Merge2!S71</f>
        <v>0</v>
      </c>
      <c r="D70" s="24">
        <f>Merge2!Q71</f>
        <v>0</v>
      </c>
      <c r="E70" s="25" t="e">
        <f>VLOOKUP(X70,LPN!$A:$D,4,0)</f>
        <v>#N/A</v>
      </c>
      <c r="F70" s="26" t="s">
        <v>2565</v>
      </c>
      <c r="G70" s="27" t="s">
        <v>2566</v>
      </c>
      <c r="H70" s="27"/>
      <c r="I70" s="28"/>
      <c r="J70" s="28" t="s">
        <v>2566</v>
      </c>
      <c r="K70" s="27"/>
      <c r="L70" s="27" t="s">
        <v>2566</v>
      </c>
      <c r="M70" s="27" t="s">
        <v>2566</v>
      </c>
      <c r="N70" s="28"/>
      <c r="O70" s="27" t="s">
        <v>2566</v>
      </c>
      <c r="P70" s="28"/>
      <c r="Q70" s="27" t="str">
        <f>IF(Merge2!X71="CRS","X"," ")</f>
        <v xml:space="preserve"> </v>
      </c>
      <c r="R70" s="23" t="e">
        <f>VLOOKUP(X70,LPN!$A:$F,3,0)</f>
        <v>#N/A</v>
      </c>
      <c r="S70" s="26" t="str">
        <f>IF(Merge2!X71="CRS","Maintenance, TBS, Repair, CRS","Maintenance, TBS, Repair")</f>
        <v>Maintenance, TBS, Repair</v>
      </c>
      <c r="T70" s="32">
        <f t="shared" ref="T70:T120" si="7">AB70</f>
        <v>0.17741935483870969</v>
      </c>
      <c r="U70" s="29">
        <f>Merge2!R71</f>
        <v>0</v>
      </c>
      <c r="V70" s="30"/>
      <c r="X70" s="6">
        <f>Merge2!P71</f>
        <v>0</v>
      </c>
      <c r="AA70" s="6">
        <f t="shared" ref="AA70:AA120" si="8">COUNTIF(dates,A70)</f>
        <v>62</v>
      </c>
      <c r="AB70" s="31">
        <f t="shared" ref="AB70:AB120" si="9">11/AA70</f>
        <v>0.17741935483870969</v>
      </c>
    </row>
    <row r="71" spans="1:28" ht="16.5" x14ac:dyDescent="0.2">
      <c r="A71" s="22">
        <f>Merge2!H72</f>
        <v>0</v>
      </c>
      <c r="B71" s="23" t="s">
        <v>2564</v>
      </c>
      <c r="C71" s="24">
        <f>Merge2!S72</f>
        <v>0</v>
      </c>
      <c r="D71" s="24">
        <f>Merge2!Q72</f>
        <v>0</v>
      </c>
      <c r="E71" s="25" t="e">
        <f>VLOOKUP(X71,LPN!$A:$D,4,0)</f>
        <v>#N/A</v>
      </c>
      <c r="F71" s="26" t="s">
        <v>2565</v>
      </c>
      <c r="G71" s="27" t="s">
        <v>2566</v>
      </c>
      <c r="H71" s="27"/>
      <c r="I71" s="28"/>
      <c r="J71" s="28" t="s">
        <v>2566</v>
      </c>
      <c r="K71" s="27"/>
      <c r="L71" s="27" t="s">
        <v>2566</v>
      </c>
      <c r="M71" s="27" t="s">
        <v>2566</v>
      </c>
      <c r="N71" s="28"/>
      <c r="O71" s="27" t="s">
        <v>2566</v>
      </c>
      <c r="P71" s="28"/>
      <c r="Q71" s="27" t="str">
        <f>IF(Merge2!X72="CRS","X"," ")</f>
        <v xml:space="preserve"> </v>
      </c>
      <c r="R71" s="23" t="e">
        <f>VLOOKUP(X71,LPN!$A:$F,3,0)</f>
        <v>#N/A</v>
      </c>
      <c r="S71" s="26" t="str">
        <f>IF(Merge2!X72="CRS","Maintenance, TBS, Repair, CRS","Maintenance, TBS, Repair")</f>
        <v>Maintenance, TBS, Repair</v>
      </c>
      <c r="T71" s="32">
        <f t="shared" si="7"/>
        <v>0.17741935483870969</v>
      </c>
      <c r="U71" s="29">
        <f>Merge2!R72</f>
        <v>0</v>
      </c>
      <c r="V71" s="30"/>
      <c r="X71" s="6">
        <f>Merge2!P72</f>
        <v>0</v>
      </c>
      <c r="AA71" s="6">
        <f t="shared" si="8"/>
        <v>62</v>
      </c>
      <c r="AB71" s="31">
        <f t="shared" si="9"/>
        <v>0.17741935483870969</v>
      </c>
    </row>
    <row r="72" spans="1:28" ht="16.5" x14ac:dyDescent="0.2">
      <c r="A72" s="22">
        <f>Merge2!H73</f>
        <v>0</v>
      </c>
      <c r="B72" s="23" t="s">
        <v>2564</v>
      </c>
      <c r="C72" s="24">
        <f>Merge2!S73</f>
        <v>0</v>
      </c>
      <c r="D72" s="24">
        <f>Merge2!Q73</f>
        <v>0</v>
      </c>
      <c r="E72" s="25" t="e">
        <f>VLOOKUP(X72,LPN!$A:$D,4,0)</f>
        <v>#N/A</v>
      </c>
      <c r="F72" s="26" t="s">
        <v>2565</v>
      </c>
      <c r="G72" s="27" t="s">
        <v>2566</v>
      </c>
      <c r="H72" s="27"/>
      <c r="I72" s="28"/>
      <c r="J72" s="28" t="s">
        <v>2566</v>
      </c>
      <c r="K72" s="27"/>
      <c r="L72" s="27" t="s">
        <v>2566</v>
      </c>
      <c r="M72" s="27" t="s">
        <v>2566</v>
      </c>
      <c r="N72" s="28"/>
      <c r="O72" s="27" t="s">
        <v>2566</v>
      </c>
      <c r="P72" s="28"/>
      <c r="Q72" s="27" t="str">
        <f>IF(Merge2!X73="CRS","X"," ")</f>
        <v xml:space="preserve"> </v>
      </c>
      <c r="R72" s="23" t="e">
        <f>VLOOKUP(X72,LPN!$A:$F,3,0)</f>
        <v>#N/A</v>
      </c>
      <c r="S72" s="26" t="str">
        <f>IF(Merge2!X73="CRS","Maintenance, TBS, Repair, CRS","Maintenance, TBS, Repair")</f>
        <v>Maintenance, TBS, Repair</v>
      </c>
      <c r="T72" s="32">
        <f t="shared" si="7"/>
        <v>0.17741935483870969</v>
      </c>
      <c r="U72" s="29">
        <f>Merge2!R73</f>
        <v>0</v>
      </c>
      <c r="V72" s="30"/>
      <c r="X72" s="6">
        <f>Merge2!P73</f>
        <v>0</v>
      </c>
      <c r="AA72" s="6">
        <f t="shared" si="8"/>
        <v>62</v>
      </c>
      <c r="AB72" s="31">
        <f t="shared" si="9"/>
        <v>0.17741935483870969</v>
      </c>
    </row>
    <row r="73" spans="1:28" ht="16.5" x14ac:dyDescent="0.2">
      <c r="A73" s="22">
        <f>Merge2!H74</f>
        <v>0</v>
      </c>
      <c r="B73" s="23" t="s">
        <v>2564</v>
      </c>
      <c r="C73" s="24">
        <f>Merge2!S74</f>
        <v>0</v>
      </c>
      <c r="D73" s="24">
        <f>Merge2!Q74</f>
        <v>0</v>
      </c>
      <c r="E73" s="25" t="e">
        <f>VLOOKUP(X73,LPN!$A:$D,4,0)</f>
        <v>#N/A</v>
      </c>
      <c r="F73" s="26" t="s">
        <v>2565</v>
      </c>
      <c r="G73" s="27" t="s">
        <v>2566</v>
      </c>
      <c r="H73" s="27"/>
      <c r="I73" s="28"/>
      <c r="J73" s="28" t="s">
        <v>2566</v>
      </c>
      <c r="K73" s="27"/>
      <c r="L73" s="27" t="s">
        <v>2566</v>
      </c>
      <c r="M73" s="27" t="s">
        <v>2566</v>
      </c>
      <c r="N73" s="28"/>
      <c r="O73" s="27" t="s">
        <v>2566</v>
      </c>
      <c r="P73" s="28"/>
      <c r="Q73" s="27" t="str">
        <f>IF(Merge2!X74="CRS","X"," ")</f>
        <v xml:space="preserve"> </v>
      </c>
      <c r="R73" s="23" t="e">
        <f>VLOOKUP(X73,LPN!$A:$F,3,0)</f>
        <v>#N/A</v>
      </c>
      <c r="S73" s="26" t="str">
        <f>IF(Merge2!X74="CRS","Maintenance, TBS, Repair, CRS","Maintenance, TBS, Repair")</f>
        <v>Maintenance, TBS, Repair</v>
      </c>
      <c r="T73" s="32">
        <f t="shared" si="7"/>
        <v>0.17741935483870969</v>
      </c>
      <c r="U73" s="29">
        <f>Merge2!R74</f>
        <v>0</v>
      </c>
      <c r="V73" s="30"/>
      <c r="X73" s="6">
        <f>Merge2!P74</f>
        <v>0</v>
      </c>
      <c r="AA73" s="6">
        <f t="shared" si="8"/>
        <v>62</v>
      </c>
      <c r="AB73" s="31">
        <f t="shared" si="9"/>
        <v>0.17741935483870969</v>
      </c>
    </row>
    <row r="74" spans="1:28" ht="16.5" x14ac:dyDescent="0.2">
      <c r="A74" s="22">
        <f>Merge2!H75</f>
        <v>0</v>
      </c>
      <c r="B74" s="23" t="s">
        <v>2564</v>
      </c>
      <c r="C74" s="24">
        <f>Merge2!S75</f>
        <v>0</v>
      </c>
      <c r="D74" s="24">
        <f>Merge2!Q75</f>
        <v>0</v>
      </c>
      <c r="E74" s="25" t="e">
        <f>VLOOKUP(X74,LPN!$A:$D,4,0)</f>
        <v>#N/A</v>
      </c>
      <c r="F74" s="26" t="s">
        <v>2565</v>
      </c>
      <c r="G74" s="27" t="s">
        <v>2566</v>
      </c>
      <c r="H74" s="27"/>
      <c r="I74" s="28"/>
      <c r="J74" s="28" t="s">
        <v>2566</v>
      </c>
      <c r="K74" s="27"/>
      <c r="L74" s="27" t="s">
        <v>2566</v>
      </c>
      <c r="M74" s="27" t="s">
        <v>2566</v>
      </c>
      <c r="N74" s="28"/>
      <c r="O74" s="27" t="s">
        <v>2566</v>
      </c>
      <c r="P74" s="28"/>
      <c r="Q74" s="27" t="str">
        <f>IF(Merge2!X75="CRS","X"," ")</f>
        <v xml:space="preserve"> </v>
      </c>
      <c r="R74" s="23" t="e">
        <f>VLOOKUP(X74,LPN!$A:$F,3,0)</f>
        <v>#N/A</v>
      </c>
      <c r="S74" s="26" t="str">
        <f>IF(Merge2!X75="CRS","Maintenance, TBS, Repair, CRS","Maintenance, TBS, Repair")</f>
        <v>Maintenance, TBS, Repair</v>
      </c>
      <c r="T74" s="32">
        <f t="shared" si="7"/>
        <v>0.17741935483870969</v>
      </c>
      <c r="U74" s="29">
        <f>Merge2!R75</f>
        <v>0</v>
      </c>
      <c r="V74" s="30"/>
      <c r="X74" s="6">
        <f>Merge2!P75</f>
        <v>0</v>
      </c>
      <c r="AA74" s="6">
        <f t="shared" si="8"/>
        <v>62</v>
      </c>
      <c r="AB74" s="31">
        <f t="shared" si="9"/>
        <v>0.17741935483870969</v>
      </c>
    </row>
    <row r="75" spans="1:28" ht="16.5" x14ac:dyDescent="0.2">
      <c r="A75" s="22">
        <f>Merge2!H76</f>
        <v>0</v>
      </c>
      <c r="B75" s="23" t="s">
        <v>2564</v>
      </c>
      <c r="C75" s="24">
        <f>Merge2!S76</f>
        <v>0</v>
      </c>
      <c r="D75" s="24">
        <f>Merge2!Q76</f>
        <v>0</v>
      </c>
      <c r="E75" s="25" t="e">
        <f>VLOOKUP(X75,LPN!$A:$D,4,0)</f>
        <v>#N/A</v>
      </c>
      <c r="F75" s="26" t="s">
        <v>2565</v>
      </c>
      <c r="G75" s="27" t="s">
        <v>2566</v>
      </c>
      <c r="H75" s="27"/>
      <c r="I75" s="28"/>
      <c r="J75" s="28" t="s">
        <v>2566</v>
      </c>
      <c r="K75" s="27"/>
      <c r="L75" s="27" t="s">
        <v>2566</v>
      </c>
      <c r="M75" s="27" t="s">
        <v>2566</v>
      </c>
      <c r="N75" s="28"/>
      <c r="O75" s="27" t="s">
        <v>2566</v>
      </c>
      <c r="P75" s="28"/>
      <c r="Q75" s="27" t="str">
        <f>IF(Merge2!X76="CRS","X"," ")</f>
        <v xml:space="preserve"> </v>
      </c>
      <c r="R75" s="23" t="e">
        <f>VLOOKUP(X75,LPN!$A:$F,3,0)</f>
        <v>#N/A</v>
      </c>
      <c r="S75" s="26" t="str">
        <f>IF(Merge2!X76="CRS","Maintenance, TBS, Repair, CRS","Maintenance, TBS, Repair")</f>
        <v>Maintenance, TBS, Repair</v>
      </c>
      <c r="T75" s="32">
        <f t="shared" si="7"/>
        <v>0.17741935483870969</v>
      </c>
      <c r="U75" s="29">
        <f>Merge2!R76</f>
        <v>0</v>
      </c>
      <c r="V75" s="30"/>
      <c r="X75" s="6">
        <f>Merge2!P76</f>
        <v>0</v>
      </c>
      <c r="AA75" s="6">
        <f t="shared" si="8"/>
        <v>62</v>
      </c>
      <c r="AB75" s="31">
        <f t="shared" si="9"/>
        <v>0.17741935483870969</v>
      </c>
    </row>
    <row r="76" spans="1:28" ht="16.5" x14ac:dyDescent="0.2">
      <c r="A76" s="22">
        <f>Merge2!H77</f>
        <v>0</v>
      </c>
      <c r="B76" s="23" t="s">
        <v>2564</v>
      </c>
      <c r="C76" s="24">
        <f>Merge2!S77</f>
        <v>0</v>
      </c>
      <c r="D76" s="24">
        <f>Merge2!Q77</f>
        <v>0</v>
      </c>
      <c r="E76" s="25" t="e">
        <f>VLOOKUP(X76,LPN!$A:$D,4,0)</f>
        <v>#N/A</v>
      </c>
      <c r="F76" s="26" t="s">
        <v>2565</v>
      </c>
      <c r="G76" s="27" t="s">
        <v>2566</v>
      </c>
      <c r="H76" s="27"/>
      <c r="I76" s="28"/>
      <c r="J76" s="28" t="s">
        <v>2566</v>
      </c>
      <c r="K76" s="27"/>
      <c r="L76" s="27" t="s">
        <v>2566</v>
      </c>
      <c r="M76" s="27" t="s">
        <v>2566</v>
      </c>
      <c r="N76" s="28"/>
      <c r="O76" s="27" t="s">
        <v>2566</v>
      </c>
      <c r="P76" s="28"/>
      <c r="Q76" s="27" t="str">
        <f>IF(Merge2!X77="CRS","X"," ")</f>
        <v xml:space="preserve"> </v>
      </c>
      <c r="R76" s="23" t="e">
        <f>VLOOKUP(X76,LPN!$A:$F,3,0)</f>
        <v>#N/A</v>
      </c>
      <c r="S76" s="26" t="str">
        <f>IF(Merge2!X77="CRS","Maintenance, TBS, Repair, CRS","Maintenance, TBS, Repair")</f>
        <v>Maintenance, TBS, Repair</v>
      </c>
      <c r="T76" s="32">
        <f t="shared" si="7"/>
        <v>0.17741935483870969</v>
      </c>
      <c r="U76" s="29">
        <f>Merge2!R77</f>
        <v>0</v>
      </c>
      <c r="V76" s="30"/>
      <c r="X76" s="6">
        <f>Merge2!P77</f>
        <v>0</v>
      </c>
      <c r="AA76" s="6">
        <f t="shared" si="8"/>
        <v>62</v>
      </c>
      <c r="AB76" s="31">
        <f t="shared" si="9"/>
        <v>0.17741935483870969</v>
      </c>
    </row>
    <row r="77" spans="1:28" ht="16.5" x14ac:dyDescent="0.2">
      <c r="A77" s="22">
        <f>Merge2!H78</f>
        <v>0</v>
      </c>
      <c r="B77" s="23" t="s">
        <v>2564</v>
      </c>
      <c r="C77" s="24">
        <f>Merge2!S78</f>
        <v>0</v>
      </c>
      <c r="D77" s="24">
        <f>Merge2!Q78</f>
        <v>0</v>
      </c>
      <c r="E77" s="25" t="e">
        <f>VLOOKUP(X77,LPN!$A:$D,4,0)</f>
        <v>#N/A</v>
      </c>
      <c r="F77" s="26" t="s">
        <v>2565</v>
      </c>
      <c r="G77" s="27" t="s">
        <v>2566</v>
      </c>
      <c r="H77" s="27"/>
      <c r="I77" s="28"/>
      <c r="J77" s="28" t="s">
        <v>2566</v>
      </c>
      <c r="K77" s="27"/>
      <c r="L77" s="27" t="s">
        <v>2566</v>
      </c>
      <c r="M77" s="27" t="s">
        <v>2566</v>
      </c>
      <c r="N77" s="28"/>
      <c r="O77" s="27" t="s">
        <v>2566</v>
      </c>
      <c r="P77" s="28"/>
      <c r="Q77" s="27" t="str">
        <f>IF(Merge2!X78="CRS","X"," ")</f>
        <v xml:space="preserve"> </v>
      </c>
      <c r="R77" s="23" t="e">
        <f>VLOOKUP(X77,LPN!$A:$F,3,0)</f>
        <v>#N/A</v>
      </c>
      <c r="S77" s="26" t="str">
        <f>IF(Merge2!X78="CRS","Maintenance, TBS, Repair, CRS","Maintenance, TBS, Repair")</f>
        <v>Maintenance, TBS, Repair</v>
      </c>
      <c r="T77" s="32">
        <f t="shared" si="7"/>
        <v>0.17741935483870969</v>
      </c>
      <c r="U77" s="29">
        <f>Merge2!R78</f>
        <v>0</v>
      </c>
      <c r="V77" s="30"/>
      <c r="X77" s="6">
        <f>Merge2!P78</f>
        <v>0</v>
      </c>
      <c r="AA77" s="6">
        <f t="shared" si="8"/>
        <v>62</v>
      </c>
      <c r="AB77" s="31">
        <f t="shared" si="9"/>
        <v>0.17741935483870969</v>
      </c>
    </row>
    <row r="78" spans="1:28" ht="16.5" x14ac:dyDescent="0.2">
      <c r="A78" s="22">
        <f>Merge2!H79</f>
        <v>0</v>
      </c>
      <c r="B78" s="23" t="s">
        <v>2564</v>
      </c>
      <c r="C78" s="24">
        <f>Merge2!S79</f>
        <v>0</v>
      </c>
      <c r="D78" s="24">
        <f>Merge2!Q79</f>
        <v>0</v>
      </c>
      <c r="E78" s="25" t="e">
        <f>VLOOKUP(X78,LPN!$A:$D,4,0)</f>
        <v>#N/A</v>
      </c>
      <c r="F78" s="26" t="s">
        <v>2565</v>
      </c>
      <c r="G78" s="27" t="s">
        <v>2566</v>
      </c>
      <c r="H78" s="27"/>
      <c r="I78" s="28"/>
      <c r="J78" s="28" t="s">
        <v>2566</v>
      </c>
      <c r="K78" s="27"/>
      <c r="L78" s="27" t="s">
        <v>2566</v>
      </c>
      <c r="M78" s="27" t="s">
        <v>2566</v>
      </c>
      <c r="N78" s="28"/>
      <c r="O78" s="27" t="s">
        <v>2566</v>
      </c>
      <c r="P78" s="28"/>
      <c r="Q78" s="27" t="str">
        <f>IF(Merge2!X79="CRS","X"," ")</f>
        <v xml:space="preserve"> </v>
      </c>
      <c r="R78" s="23" t="e">
        <f>VLOOKUP(X78,LPN!$A:$F,3,0)</f>
        <v>#N/A</v>
      </c>
      <c r="S78" s="26" t="str">
        <f>IF(Merge2!X79="CRS","Maintenance, TBS, Repair, CRS","Maintenance, TBS, Repair")</f>
        <v>Maintenance, TBS, Repair</v>
      </c>
      <c r="T78" s="32">
        <f t="shared" si="7"/>
        <v>0.17741935483870969</v>
      </c>
      <c r="U78" s="29">
        <f>Merge2!R79</f>
        <v>0</v>
      </c>
      <c r="V78" s="30"/>
      <c r="X78" s="6">
        <f>Merge2!P79</f>
        <v>0</v>
      </c>
      <c r="AA78" s="6">
        <f t="shared" si="8"/>
        <v>62</v>
      </c>
      <c r="AB78" s="31">
        <f t="shared" si="9"/>
        <v>0.17741935483870969</v>
      </c>
    </row>
    <row r="79" spans="1:28" ht="16.5" x14ac:dyDescent="0.2">
      <c r="A79" s="22">
        <f>Merge2!H80</f>
        <v>0</v>
      </c>
      <c r="B79" s="23" t="s">
        <v>2564</v>
      </c>
      <c r="C79" s="24">
        <f>Merge2!S80</f>
        <v>0</v>
      </c>
      <c r="D79" s="24">
        <f>Merge2!Q80</f>
        <v>0</v>
      </c>
      <c r="E79" s="25" t="e">
        <f>VLOOKUP(X79,LPN!$A:$D,4,0)</f>
        <v>#N/A</v>
      </c>
      <c r="F79" s="26" t="s">
        <v>2565</v>
      </c>
      <c r="G79" s="27" t="s">
        <v>2566</v>
      </c>
      <c r="H79" s="27"/>
      <c r="I79" s="28"/>
      <c r="J79" s="28" t="s">
        <v>2566</v>
      </c>
      <c r="K79" s="27"/>
      <c r="L79" s="27" t="s">
        <v>2566</v>
      </c>
      <c r="M79" s="27" t="s">
        <v>2566</v>
      </c>
      <c r="N79" s="28"/>
      <c r="O79" s="27" t="s">
        <v>2566</v>
      </c>
      <c r="P79" s="28"/>
      <c r="Q79" s="27" t="str">
        <f>IF(Merge2!X80="CRS","X"," ")</f>
        <v xml:space="preserve"> </v>
      </c>
      <c r="R79" s="23" t="e">
        <f>VLOOKUP(X79,LPN!$A:$F,3,0)</f>
        <v>#N/A</v>
      </c>
      <c r="S79" s="26" t="str">
        <f>IF(Merge2!X80="CRS","Maintenance, TBS, Repair, CRS","Maintenance, TBS, Repair")</f>
        <v>Maintenance, TBS, Repair</v>
      </c>
      <c r="T79" s="32">
        <f t="shared" si="7"/>
        <v>0.17741935483870969</v>
      </c>
      <c r="U79" s="29">
        <f>Merge2!R80</f>
        <v>0</v>
      </c>
      <c r="V79" s="30"/>
      <c r="X79" s="6">
        <f>Merge2!P80</f>
        <v>0</v>
      </c>
      <c r="AA79" s="6">
        <f t="shared" si="8"/>
        <v>62</v>
      </c>
      <c r="AB79" s="31">
        <f t="shared" si="9"/>
        <v>0.17741935483870969</v>
      </c>
    </row>
    <row r="80" spans="1:28" ht="16.5" x14ac:dyDescent="0.2">
      <c r="A80" s="22">
        <f>Merge2!H81</f>
        <v>0</v>
      </c>
      <c r="B80" s="23" t="s">
        <v>2564</v>
      </c>
      <c r="C80" s="24">
        <f>Merge2!S81</f>
        <v>0</v>
      </c>
      <c r="D80" s="24">
        <f>Merge2!Q81</f>
        <v>0</v>
      </c>
      <c r="E80" s="25" t="e">
        <f>VLOOKUP(X80,LPN!$A:$D,4,0)</f>
        <v>#N/A</v>
      </c>
      <c r="F80" s="26" t="s">
        <v>2565</v>
      </c>
      <c r="G80" s="27" t="s">
        <v>2566</v>
      </c>
      <c r="H80" s="27"/>
      <c r="I80" s="28"/>
      <c r="J80" s="28" t="s">
        <v>2566</v>
      </c>
      <c r="K80" s="27"/>
      <c r="L80" s="27" t="s">
        <v>2566</v>
      </c>
      <c r="M80" s="27" t="s">
        <v>2566</v>
      </c>
      <c r="N80" s="28"/>
      <c r="O80" s="27" t="s">
        <v>2566</v>
      </c>
      <c r="P80" s="28"/>
      <c r="Q80" s="27" t="str">
        <f>IF(Merge2!X81="CRS","X"," ")</f>
        <v xml:space="preserve"> </v>
      </c>
      <c r="R80" s="23" t="e">
        <f>VLOOKUP(X80,LPN!$A:$F,3,0)</f>
        <v>#N/A</v>
      </c>
      <c r="S80" s="26" t="str">
        <f>IF(Merge2!X81="CRS","Maintenance, TBS, Repair, CRS","Maintenance, TBS, Repair")</f>
        <v>Maintenance, TBS, Repair</v>
      </c>
      <c r="T80" s="32">
        <f t="shared" si="7"/>
        <v>0.17741935483870969</v>
      </c>
      <c r="U80" s="29">
        <f>Merge2!R81</f>
        <v>0</v>
      </c>
      <c r="V80" s="30"/>
      <c r="X80" s="6">
        <f>Merge2!P81</f>
        <v>0</v>
      </c>
      <c r="AA80" s="6">
        <f t="shared" si="8"/>
        <v>62</v>
      </c>
      <c r="AB80" s="31">
        <f t="shared" si="9"/>
        <v>0.17741935483870969</v>
      </c>
    </row>
    <row r="81" spans="1:28" ht="16.5" x14ac:dyDescent="0.2">
      <c r="A81" s="22">
        <f>Merge2!H82</f>
        <v>0</v>
      </c>
      <c r="B81" s="23" t="s">
        <v>2564</v>
      </c>
      <c r="C81" s="24">
        <f>Merge2!S82</f>
        <v>0</v>
      </c>
      <c r="D81" s="24">
        <f>Merge2!Q82</f>
        <v>0</v>
      </c>
      <c r="E81" s="25" t="e">
        <f>VLOOKUP(X81,LPN!$A:$D,4,0)</f>
        <v>#N/A</v>
      </c>
      <c r="F81" s="26" t="s">
        <v>2565</v>
      </c>
      <c r="G81" s="27" t="s">
        <v>2566</v>
      </c>
      <c r="H81" s="27"/>
      <c r="I81" s="28"/>
      <c r="J81" s="28" t="s">
        <v>2566</v>
      </c>
      <c r="K81" s="27"/>
      <c r="L81" s="27" t="s">
        <v>2566</v>
      </c>
      <c r="M81" s="27" t="s">
        <v>2566</v>
      </c>
      <c r="N81" s="28"/>
      <c r="O81" s="27" t="s">
        <v>2566</v>
      </c>
      <c r="P81" s="28"/>
      <c r="Q81" s="27" t="str">
        <f>IF(Merge2!X82="CRS","X"," ")</f>
        <v xml:space="preserve"> </v>
      </c>
      <c r="R81" s="23" t="e">
        <f>VLOOKUP(X81,LPN!$A:$F,3,0)</f>
        <v>#N/A</v>
      </c>
      <c r="S81" s="26" t="str">
        <f>IF(Merge2!X82="CRS","Maintenance, TBS, Repair, CRS","Maintenance, TBS, Repair")</f>
        <v>Maintenance, TBS, Repair</v>
      </c>
      <c r="T81" s="32">
        <f t="shared" si="7"/>
        <v>0.17741935483870969</v>
      </c>
      <c r="U81" s="29">
        <f>Merge2!R82</f>
        <v>0</v>
      </c>
      <c r="V81" s="30"/>
      <c r="X81" s="6">
        <f>Merge2!P82</f>
        <v>0</v>
      </c>
      <c r="AA81" s="6">
        <f t="shared" si="8"/>
        <v>62</v>
      </c>
      <c r="AB81" s="31">
        <f t="shared" si="9"/>
        <v>0.17741935483870969</v>
      </c>
    </row>
    <row r="82" spans="1:28" ht="16.5" x14ac:dyDescent="0.2">
      <c r="A82" s="22">
        <f>Merge2!H83</f>
        <v>0</v>
      </c>
      <c r="B82" s="23" t="s">
        <v>2564</v>
      </c>
      <c r="C82" s="24">
        <f>Merge2!S83</f>
        <v>0</v>
      </c>
      <c r="D82" s="24">
        <f>Merge2!Q83</f>
        <v>0</v>
      </c>
      <c r="E82" s="25" t="e">
        <f>VLOOKUP(X82,LPN!$A:$D,4,0)</f>
        <v>#N/A</v>
      </c>
      <c r="F82" s="26" t="s">
        <v>2565</v>
      </c>
      <c r="G82" s="27" t="s">
        <v>2566</v>
      </c>
      <c r="H82" s="27"/>
      <c r="I82" s="28"/>
      <c r="J82" s="28" t="s">
        <v>2566</v>
      </c>
      <c r="K82" s="27"/>
      <c r="L82" s="27" t="s">
        <v>2566</v>
      </c>
      <c r="M82" s="27" t="s">
        <v>2566</v>
      </c>
      <c r="N82" s="28"/>
      <c r="O82" s="27" t="s">
        <v>2566</v>
      </c>
      <c r="P82" s="28"/>
      <c r="Q82" s="27" t="str">
        <f>IF(Merge2!X83="CRS","X"," ")</f>
        <v xml:space="preserve"> </v>
      </c>
      <c r="R82" s="23" t="e">
        <f>VLOOKUP(X82,LPN!$A:$F,3,0)</f>
        <v>#N/A</v>
      </c>
      <c r="S82" s="26" t="str">
        <f>IF(Merge2!X83="CRS","Maintenance, TBS, Repair, CRS","Maintenance, TBS, Repair")</f>
        <v>Maintenance, TBS, Repair</v>
      </c>
      <c r="T82" s="32">
        <f t="shared" si="7"/>
        <v>0.17741935483870969</v>
      </c>
      <c r="U82" s="29">
        <f>Merge2!R83</f>
        <v>0</v>
      </c>
      <c r="V82" s="30"/>
      <c r="X82" s="6">
        <f>Merge2!P83</f>
        <v>0</v>
      </c>
      <c r="AA82" s="6">
        <f t="shared" si="8"/>
        <v>62</v>
      </c>
      <c r="AB82" s="31">
        <f t="shared" si="9"/>
        <v>0.17741935483870969</v>
      </c>
    </row>
    <row r="83" spans="1:28" ht="16.5" x14ac:dyDescent="0.2">
      <c r="A83" s="22">
        <f>Merge2!H84</f>
        <v>0</v>
      </c>
      <c r="B83" s="23" t="s">
        <v>2564</v>
      </c>
      <c r="C83" s="24">
        <f>Merge2!S84</f>
        <v>0</v>
      </c>
      <c r="D83" s="24">
        <f>Merge2!Q84</f>
        <v>0</v>
      </c>
      <c r="E83" s="25" t="e">
        <f>VLOOKUP(X83,LPN!$A:$D,4,0)</f>
        <v>#N/A</v>
      </c>
      <c r="F83" s="26" t="s">
        <v>2565</v>
      </c>
      <c r="G83" s="27" t="s">
        <v>2566</v>
      </c>
      <c r="H83" s="27"/>
      <c r="I83" s="28"/>
      <c r="J83" s="28" t="s">
        <v>2566</v>
      </c>
      <c r="K83" s="27"/>
      <c r="L83" s="27" t="s">
        <v>2566</v>
      </c>
      <c r="M83" s="27" t="s">
        <v>2566</v>
      </c>
      <c r="N83" s="28"/>
      <c r="O83" s="27" t="s">
        <v>2566</v>
      </c>
      <c r="P83" s="28"/>
      <c r="Q83" s="27" t="str">
        <f>IF(Merge2!X84="CRS","X"," ")</f>
        <v xml:space="preserve"> </v>
      </c>
      <c r="R83" s="23" t="e">
        <f>VLOOKUP(X83,LPN!$A:$F,3,0)</f>
        <v>#N/A</v>
      </c>
      <c r="S83" s="26" t="str">
        <f>IF(Merge2!X84="CRS","Maintenance, TBS, Repair, CRS","Maintenance, TBS, Repair")</f>
        <v>Maintenance, TBS, Repair</v>
      </c>
      <c r="T83" s="32">
        <f t="shared" si="7"/>
        <v>0.17741935483870969</v>
      </c>
      <c r="U83" s="29">
        <f>Merge2!R84</f>
        <v>0</v>
      </c>
      <c r="V83" s="30"/>
      <c r="X83" s="6">
        <f>Merge2!P84</f>
        <v>0</v>
      </c>
      <c r="AA83" s="6">
        <f t="shared" si="8"/>
        <v>62</v>
      </c>
      <c r="AB83" s="31">
        <f t="shared" si="9"/>
        <v>0.17741935483870969</v>
      </c>
    </row>
    <row r="84" spans="1:28" ht="16.5" x14ac:dyDescent="0.2">
      <c r="A84" s="22">
        <f>Merge2!H85</f>
        <v>0</v>
      </c>
      <c r="B84" s="23" t="s">
        <v>2564</v>
      </c>
      <c r="C84" s="24">
        <f>Merge2!S85</f>
        <v>0</v>
      </c>
      <c r="D84" s="24">
        <f>Merge2!Q85</f>
        <v>0</v>
      </c>
      <c r="E84" s="25" t="e">
        <f>VLOOKUP(X84,LPN!$A:$D,4,0)</f>
        <v>#N/A</v>
      </c>
      <c r="F84" s="26" t="s">
        <v>2565</v>
      </c>
      <c r="G84" s="27" t="s">
        <v>2566</v>
      </c>
      <c r="H84" s="27"/>
      <c r="I84" s="28"/>
      <c r="J84" s="28" t="s">
        <v>2566</v>
      </c>
      <c r="K84" s="27"/>
      <c r="L84" s="27" t="s">
        <v>2566</v>
      </c>
      <c r="M84" s="27" t="s">
        <v>2566</v>
      </c>
      <c r="N84" s="28"/>
      <c r="O84" s="27" t="s">
        <v>2566</v>
      </c>
      <c r="P84" s="28"/>
      <c r="Q84" s="27" t="str">
        <f>IF(Merge2!X85="CRS","X"," ")</f>
        <v xml:space="preserve"> </v>
      </c>
      <c r="R84" s="23" t="e">
        <f>VLOOKUP(X84,LPN!$A:$F,3,0)</f>
        <v>#N/A</v>
      </c>
      <c r="S84" s="26" t="str">
        <f>IF(Merge2!X85="CRS","Maintenance, TBS, Repair, CRS","Maintenance, TBS, Repair")</f>
        <v>Maintenance, TBS, Repair</v>
      </c>
      <c r="T84" s="32">
        <f t="shared" si="7"/>
        <v>0.17741935483870969</v>
      </c>
      <c r="U84" s="29">
        <f>Merge2!R85</f>
        <v>0</v>
      </c>
      <c r="V84" s="30"/>
      <c r="X84" s="6">
        <f>Merge2!P85</f>
        <v>0</v>
      </c>
      <c r="AA84" s="6">
        <f t="shared" si="8"/>
        <v>62</v>
      </c>
      <c r="AB84" s="31">
        <f t="shared" si="9"/>
        <v>0.17741935483870969</v>
      </c>
    </row>
    <row r="85" spans="1:28" ht="24.75" x14ac:dyDescent="0.2">
      <c r="A85" s="22">
        <f>Merge2!H86</f>
        <v>0</v>
      </c>
      <c r="B85" s="23" t="s">
        <v>2564</v>
      </c>
      <c r="C85" s="24">
        <f>Merge2!S86</f>
        <v>0</v>
      </c>
      <c r="D85" s="24">
        <f>Merge2!Q86</f>
        <v>0</v>
      </c>
      <c r="E85" s="25" t="e">
        <f>VLOOKUP(X85,LPN!$A:$D,4,0)</f>
        <v>#N/A</v>
      </c>
      <c r="F85" s="26" t="s">
        <v>2565</v>
      </c>
      <c r="G85" s="27" t="s">
        <v>2566</v>
      </c>
      <c r="H85" s="27"/>
      <c r="I85" s="28"/>
      <c r="J85" s="28" t="s">
        <v>2566</v>
      </c>
      <c r="K85" s="27"/>
      <c r="L85" s="27" t="s">
        <v>2566</v>
      </c>
      <c r="M85" s="27" t="s">
        <v>2566</v>
      </c>
      <c r="N85" s="28"/>
      <c r="O85" s="27" t="s">
        <v>2566</v>
      </c>
      <c r="P85" s="28"/>
      <c r="Q85" s="27" t="str">
        <f>IF(Merge2!X86="CRS","X"," ")</f>
        <v xml:space="preserve"> </v>
      </c>
      <c r="R85" s="23" t="e">
        <f>VLOOKUP(X85,LPN!$A:$F,3,0)</f>
        <v>#N/A</v>
      </c>
      <c r="S85" s="26" t="str">
        <f>IF(Merge2!X86="CRS","Maintenance, TBS, Repair, CRS","Maintenance, TBS, Repair")</f>
        <v>Maintenance, TBS, Repair</v>
      </c>
      <c r="T85" s="32">
        <f t="shared" si="7"/>
        <v>0.17741935483870969</v>
      </c>
      <c r="U85" s="29">
        <f>Merge2!R86</f>
        <v>0</v>
      </c>
      <c r="V85" s="30"/>
      <c r="X85" s="6">
        <f>Merge2!P86</f>
        <v>0</v>
      </c>
      <c r="AA85" s="6">
        <f t="shared" si="8"/>
        <v>62</v>
      </c>
      <c r="AB85" s="31">
        <f t="shared" si="9"/>
        <v>0.17741935483870969</v>
      </c>
    </row>
    <row r="86" spans="1:28" ht="24.75" x14ac:dyDescent="0.2">
      <c r="A86" s="22">
        <f>Merge2!H87</f>
        <v>0</v>
      </c>
      <c r="B86" s="23" t="s">
        <v>2564</v>
      </c>
      <c r="C86" s="24">
        <f>Merge2!S87</f>
        <v>0</v>
      </c>
      <c r="D86" s="24">
        <f>Merge2!Q87</f>
        <v>0</v>
      </c>
      <c r="E86" s="25" t="e">
        <f>VLOOKUP(X86,LPN!$A:$D,4,0)</f>
        <v>#N/A</v>
      </c>
      <c r="F86" s="26" t="s">
        <v>2565</v>
      </c>
      <c r="G86" s="27" t="s">
        <v>2566</v>
      </c>
      <c r="H86" s="27"/>
      <c r="I86" s="28"/>
      <c r="J86" s="28" t="s">
        <v>2566</v>
      </c>
      <c r="K86" s="27"/>
      <c r="L86" s="27" t="s">
        <v>2566</v>
      </c>
      <c r="M86" s="27" t="s">
        <v>2566</v>
      </c>
      <c r="N86" s="28"/>
      <c r="O86" s="27" t="s">
        <v>2566</v>
      </c>
      <c r="P86" s="28"/>
      <c r="Q86" s="27" t="str">
        <f>IF(Merge2!X87="CRS","X"," ")</f>
        <v xml:space="preserve"> </v>
      </c>
      <c r="R86" s="23" t="e">
        <f>VLOOKUP(X86,LPN!$A:$F,3,0)</f>
        <v>#N/A</v>
      </c>
      <c r="S86" s="26" t="str">
        <f>IF(Merge2!X87="CRS","Maintenance, TBS, Repair, CRS","Maintenance, TBS, Repair")</f>
        <v>Maintenance, TBS, Repair</v>
      </c>
      <c r="T86" s="32">
        <f t="shared" si="7"/>
        <v>0.17741935483870969</v>
      </c>
      <c r="U86" s="29">
        <f>Merge2!R87</f>
        <v>0</v>
      </c>
      <c r="V86" s="30"/>
      <c r="X86" s="6">
        <f>Merge2!P87</f>
        <v>0</v>
      </c>
      <c r="AA86" s="6">
        <f t="shared" si="8"/>
        <v>62</v>
      </c>
      <c r="AB86" s="31">
        <f t="shared" si="9"/>
        <v>0.17741935483870969</v>
      </c>
    </row>
    <row r="87" spans="1:28" ht="16.5" x14ac:dyDescent="0.2">
      <c r="A87" s="22">
        <f>Merge2!H88</f>
        <v>0</v>
      </c>
      <c r="B87" s="23" t="s">
        <v>2564</v>
      </c>
      <c r="C87" s="24">
        <f>Merge2!S88</f>
        <v>0</v>
      </c>
      <c r="D87" s="24">
        <f>Merge2!Q88</f>
        <v>0</v>
      </c>
      <c r="E87" s="25" t="e">
        <f>VLOOKUP(X87,LPN!$A:$D,4,0)</f>
        <v>#N/A</v>
      </c>
      <c r="F87" s="26" t="s">
        <v>2565</v>
      </c>
      <c r="G87" s="27" t="s">
        <v>2566</v>
      </c>
      <c r="H87" s="27"/>
      <c r="I87" s="28"/>
      <c r="J87" s="28" t="s">
        <v>2566</v>
      </c>
      <c r="K87" s="27"/>
      <c r="L87" s="27" t="s">
        <v>2566</v>
      </c>
      <c r="M87" s="27" t="s">
        <v>2566</v>
      </c>
      <c r="N87" s="28"/>
      <c r="O87" s="27" t="s">
        <v>2566</v>
      </c>
      <c r="P87" s="28"/>
      <c r="Q87" s="27" t="str">
        <f>IF(Merge2!X88="CRS","X"," ")</f>
        <v xml:space="preserve"> </v>
      </c>
      <c r="R87" s="23" t="e">
        <f>VLOOKUP(X87,LPN!$A:$F,3,0)</f>
        <v>#N/A</v>
      </c>
      <c r="S87" s="26" t="str">
        <f>IF(Merge2!X88="CRS","Maintenance, TBS, Repair, CRS","Maintenance, TBS, Repair")</f>
        <v>Maintenance, TBS, Repair</v>
      </c>
      <c r="T87" s="32">
        <f t="shared" si="7"/>
        <v>0.17741935483870969</v>
      </c>
      <c r="U87" s="29">
        <f>Merge2!R88</f>
        <v>0</v>
      </c>
      <c r="V87" s="30"/>
      <c r="X87" s="6">
        <f>Merge2!P88</f>
        <v>0</v>
      </c>
      <c r="AA87" s="6">
        <f t="shared" si="8"/>
        <v>62</v>
      </c>
      <c r="AB87" s="31">
        <f t="shared" si="9"/>
        <v>0.17741935483870969</v>
      </c>
    </row>
    <row r="88" spans="1:28" ht="16.5" x14ac:dyDescent="0.2">
      <c r="A88" s="22">
        <f>Merge2!H89</f>
        <v>0</v>
      </c>
      <c r="B88" s="23" t="s">
        <v>2564</v>
      </c>
      <c r="C88" s="24">
        <f>Merge2!S89</f>
        <v>0</v>
      </c>
      <c r="D88" s="24">
        <f>Merge2!Q89</f>
        <v>0</v>
      </c>
      <c r="E88" s="25" t="e">
        <f>VLOOKUP(X88,LPN!$A:$D,4,0)</f>
        <v>#N/A</v>
      </c>
      <c r="F88" s="26" t="s">
        <v>2565</v>
      </c>
      <c r="G88" s="27" t="s">
        <v>2566</v>
      </c>
      <c r="H88" s="27"/>
      <c r="I88" s="28"/>
      <c r="J88" s="28" t="s">
        <v>2566</v>
      </c>
      <c r="K88" s="27"/>
      <c r="L88" s="27" t="s">
        <v>2566</v>
      </c>
      <c r="M88" s="27" t="s">
        <v>2566</v>
      </c>
      <c r="N88" s="28"/>
      <c r="O88" s="27" t="s">
        <v>2566</v>
      </c>
      <c r="P88" s="28"/>
      <c r="Q88" s="27" t="str">
        <f>IF(Merge2!X89="CRS","X"," ")</f>
        <v xml:space="preserve"> </v>
      </c>
      <c r="R88" s="23" t="e">
        <f>VLOOKUP(X88,LPN!$A:$F,3,0)</f>
        <v>#N/A</v>
      </c>
      <c r="S88" s="26" t="str">
        <f>IF(Merge2!X89="CRS","Maintenance, TBS, Repair, CRS","Maintenance, TBS, Repair")</f>
        <v>Maintenance, TBS, Repair</v>
      </c>
      <c r="T88" s="32">
        <f t="shared" si="7"/>
        <v>0.17741935483870969</v>
      </c>
      <c r="U88" s="29">
        <f>Merge2!R89</f>
        <v>0</v>
      </c>
      <c r="V88" s="30"/>
      <c r="X88" s="6">
        <f>Merge2!P89</f>
        <v>0</v>
      </c>
      <c r="AA88" s="6">
        <f t="shared" si="8"/>
        <v>62</v>
      </c>
      <c r="AB88" s="31">
        <f t="shared" si="9"/>
        <v>0.17741935483870969</v>
      </c>
    </row>
    <row r="89" spans="1:28" ht="16.5" x14ac:dyDescent="0.2">
      <c r="A89" s="22">
        <f>Merge2!H90</f>
        <v>0</v>
      </c>
      <c r="B89" s="23" t="s">
        <v>2564</v>
      </c>
      <c r="C89" s="24">
        <f>Merge2!S90</f>
        <v>0</v>
      </c>
      <c r="D89" s="24">
        <f>Merge2!Q90</f>
        <v>0</v>
      </c>
      <c r="E89" s="25" t="e">
        <f>VLOOKUP(X89,LPN!$A:$D,4,0)</f>
        <v>#N/A</v>
      </c>
      <c r="F89" s="26" t="s">
        <v>2565</v>
      </c>
      <c r="G89" s="27" t="s">
        <v>2566</v>
      </c>
      <c r="H89" s="27"/>
      <c r="I89" s="28"/>
      <c r="J89" s="28" t="s">
        <v>2566</v>
      </c>
      <c r="K89" s="27"/>
      <c r="L89" s="27" t="s">
        <v>2566</v>
      </c>
      <c r="M89" s="27" t="s">
        <v>2566</v>
      </c>
      <c r="N89" s="28"/>
      <c r="O89" s="27" t="s">
        <v>2566</v>
      </c>
      <c r="P89" s="28"/>
      <c r="Q89" s="27" t="str">
        <f>IF(Merge2!X90="CRS","X"," ")</f>
        <v xml:space="preserve"> </v>
      </c>
      <c r="R89" s="23" t="e">
        <f>VLOOKUP(X89,LPN!$A:$F,3,0)</f>
        <v>#N/A</v>
      </c>
      <c r="S89" s="26" t="str">
        <f>IF(Merge2!X90="CRS","Maintenance, TBS, Repair, CRS","Maintenance, TBS, Repair")</f>
        <v>Maintenance, TBS, Repair</v>
      </c>
      <c r="T89" s="32">
        <f t="shared" si="7"/>
        <v>0.17741935483870969</v>
      </c>
      <c r="U89" s="29">
        <f>Merge2!R90</f>
        <v>0</v>
      </c>
      <c r="V89" s="30"/>
      <c r="X89" s="6">
        <f>Merge2!P90</f>
        <v>0</v>
      </c>
      <c r="AA89" s="6">
        <f t="shared" si="8"/>
        <v>62</v>
      </c>
      <c r="AB89" s="31">
        <f t="shared" si="9"/>
        <v>0.17741935483870969</v>
      </c>
    </row>
    <row r="90" spans="1:28" ht="16.5" x14ac:dyDescent="0.2">
      <c r="A90" s="22">
        <f>Merge2!H91</f>
        <v>0</v>
      </c>
      <c r="B90" s="23" t="s">
        <v>2564</v>
      </c>
      <c r="C90" s="24">
        <f>Merge2!S91</f>
        <v>0</v>
      </c>
      <c r="D90" s="24">
        <f>Merge2!Q91</f>
        <v>0</v>
      </c>
      <c r="E90" s="25" t="e">
        <f>VLOOKUP(X90,LPN!$A:$D,4,0)</f>
        <v>#N/A</v>
      </c>
      <c r="F90" s="26" t="s">
        <v>2565</v>
      </c>
      <c r="G90" s="27" t="s">
        <v>2566</v>
      </c>
      <c r="H90" s="27"/>
      <c r="I90" s="28"/>
      <c r="J90" s="28" t="s">
        <v>2566</v>
      </c>
      <c r="K90" s="27"/>
      <c r="L90" s="27" t="s">
        <v>2566</v>
      </c>
      <c r="M90" s="27" t="s">
        <v>2566</v>
      </c>
      <c r="N90" s="28"/>
      <c r="O90" s="27" t="s">
        <v>2566</v>
      </c>
      <c r="P90" s="28"/>
      <c r="Q90" s="27" t="str">
        <f>IF(Merge2!X91="CRS","X"," ")</f>
        <v xml:space="preserve"> </v>
      </c>
      <c r="R90" s="23" t="e">
        <f>VLOOKUP(X90,LPN!$A:$F,3,0)</f>
        <v>#N/A</v>
      </c>
      <c r="S90" s="26" t="str">
        <f>IF(Merge2!X91="CRS","Maintenance, TBS, Repair, CRS","Maintenance, TBS, Repair")</f>
        <v>Maintenance, TBS, Repair</v>
      </c>
      <c r="T90" s="32">
        <f t="shared" si="7"/>
        <v>0.17741935483870969</v>
      </c>
      <c r="U90" s="29">
        <f>Merge2!R91</f>
        <v>0</v>
      </c>
      <c r="V90" s="30"/>
      <c r="X90" s="6">
        <f>Merge2!P91</f>
        <v>0</v>
      </c>
      <c r="AA90" s="6">
        <f t="shared" si="8"/>
        <v>62</v>
      </c>
      <c r="AB90" s="31">
        <f t="shared" si="9"/>
        <v>0.17741935483870969</v>
      </c>
    </row>
    <row r="91" spans="1:28" ht="16.5" x14ac:dyDescent="0.2">
      <c r="A91" s="22">
        <f>Merge2!H92</f>
        <v>0</v>
      </c>
      <c r="B91" s="23" t="s">
        <v>2564</v>
      </c>
      <c r="C91" s="24">
        <f>Merge2!S92</f>
        <v>0</v>
      </c>
      <c r="D91" s="24">
        <f>Merge2!Q92</f>
        <v>0</v>
      </c>
      <c r="E91" s="25" t="e">
        <f>VLOOKUP(X91,LPN!$A:$D,4,0)</f>
        <v>#N/A</v>
      </c>
      <c r="F91" s="26" t="s">
        <v>2565</v>
      </c>
      <c r="G91" s="27" t="s">
        <v>2566</v>
      </c>
      <c r="H91" s="27"/>
      <c r="I91" s="28"/>
      <c r="J91" s="28" t="s">
        <v>2566</v>
      </c>
      <c r="K91" s="27"/>
      <c r="L91" s="27" t="s">
        <v>2566</v>
      </c>
      <c r="M91" s="27" t="s">
        <v>2566</v>
      </c>
      <c r="N91" s="28"/>
      <c r="O91" s="27" t="s">
        <v>2566</v>
      </c>
      <c r="P91" s="28"/>
      <c r="Q91" s="27" t="str">
        <f>IF(Merge2!X92="CRS","X"," ")</f>
        <v xml:space="preserve"> </v>
      </c>
      <c r="R91" s="23" t="e">
        <f>VLOOKUP(X91,LPN!$A:$F,3,0)</f>
        <v>#N/A</v>
      </c>
      <c r="S91" s="26" t="str">
        <f>IF(Merge2!X92="CRS","Maintenance, TBS, Repair, CRS","Maintenance, TBS, Repair")</f>
        <v>Maintenance, TBS, Repair</v>
      </c>
      <c r="T91" s="32">
        <f t="shared" si="7"/>
        <v>0.17741935483870969</v>
      </c>
      <c r="U91" s="29">
        <f>Merge2!R92</f>
        <v>0</v>
      </c>
      <c r="V91" s="30"/>
      <c r="X91" s="6">
        <f>Merge2!P92</f>
        <v>0</v>
      </c>
      <c r="AA91" s="6">
        <f t="shared" si="8"/>
        <v>62</v>
      </c>
      <c r="AB91" s="31">
        <f t="shared" si="9"/>
        <v>0.17741935483870969</v>
      </c>
    </row>
    <row r="92" spans="1:28" ht="24.75" x14ac:dyDescent="0.2">
      <c r="A92" s="22">
        <f>Merge2!H93</f>
        <v>0</v>
      </c>
      <c r="B92" s="23" t="s">
        <v>2564</v>
      </c>
      <c r="C92" s="24">
        <f>Merge2!S93</f>
        <v>0</v>
      </c>
      <c r="D92" s="24">
        <f>Merge2!Q93</f>
        <v>0</v>
      </c>
      <c r="E92" s="25" t="e">
        <f>VLOOKUP(X92,LPN!$A:$D,4,0)</f>
        <v>#N/A</v>
      </c>
      <c r="F92" s="26" t="s">
        <v>2565</v>
      </c>
      <c r="G92" s="27" t="s">
        <v>2566</v>
      </c>
      <c r="H92" s="27"/>
      <c r="I92" s="28"/>
      <c r="J92" s="28" t="s">
        <v>2566</v>
      </c>
      <c r="K92" s="27"/>
      <c r="L92" s="27" t="s">
        <v>2566</v>
      </c>
      <c r="M92" s="27" t="s">
        <v>2566</v>
      </c>
      <c r="N92" s="28"/>
      <c r="O92" s="27" t="s">
        <v>2566</v>
      </c>
      <c r="P92" s="28"/>
      <c r="Q92" s="27" t="str">
        <f>IF(Merge2!X93="CRS","X"," ")</f>
        <v xml:space="preserve"> </v>
      </c>
      <c r="R92" s="23" t="e">
        <f>VLOOKUP(X92,LPN!$A:$F,3,0)</f>
        <v>#N/A</v>
      </c>
      <c r="S92" s="26" t="str">
        <f>IF(Merge2!X93="CRS","Maintenance, TBS, Repair, CRS","Maintenance, TBS, Repair")</f>
        <v>Maintenance, TBS, Repair</v>
      </c>
      <c r="T92" s="32">
        <f t="shared" si="7"/>
        <v>0.17741935483870969</v>
      </c>
      <c r="U92" s="29">
        <f>Merge2!R93</f>
        <v>0</v>
      </c>
      <c r="V92" s="30"/>
      <c r="X92" s="6">
        <f>Merge2!P93</f>
        <v>0</v>
      </c>
      <c r="AA92" s="6">
        <f t="shared" si="8"/>
        <v>62</v>
      </c>
      <c r="AB92" s="31">
        <f t="shared" si="9"/>
        <v>0.17741935483870969</v>
      </c>
    </row>
    <row r="93" spans="1:28" ht="24.75" x14ac:dyDescent="0.2">
      <c r="A93" s="22">
        <f>Merge2!H94</f>
        <v>0</v>
      </c>
      <c r="B93" s="23" t="s">
        <v>2564</v>
      </c>
      <c r="C93" s="24">
        <f>Merge2!S94</f>
        <v>0</v>
      </c>
      <c r="D93" s="24">
        <f>Merge2!Q94</f>
        <v>0</v>
      </c>
      <c r="E93" s="25" t="e">
        <f>VLOOKUP(X93,LPN!$A:$D,4,0)</f>
        <v>#N/A</v>
      </c>
      <c r="F93" s="26" t="s">
        <v>2565</v>
      </c>
      <c r="G93" s="27" t="s">
        <v>2566</v>
      </c>
      <c r="H93" s="27"/>
      <c r="I93" s="28"/>
      <c r="J93" s="28" t="s">
        <v>2566</v>
      </c>
      <c r="K93" s="27"/>
      <c r="L93" s="27" t="s">
        <v>2566</v>
      </c>
      <c r="M93" s="27" t="s">
        <v>2566</v>
      </c>
      <c r="N93" s="28"/>
      <c r="O93" s="27" t="s">
        <v>2566</v>
      </c>
      <c r="P93" s="28"/>
      <c r="Q93" s="27" t="str">
        <f>IF(Merge2!X94="CRS","X"," ")</f>
        <v xml:space="preserve"> </v>
      </c>
      <c r="R93" s="23" t="e">
        <f>VLOOKUP(X93,LPN!$A:$F,3,0)</f>
        <v>#N/A</v>
      </c>
      <c r="S93" s="26" t="str">
        <f>IF(Merge2!X94="CRS","Maintenance, TBS, Repair, CRS","Maintenance, TBS, Repair")</f>
        <v>Maintenance, TBS, Repair</v>
      </c>
      <c r="T93" s="32">
        <f t="shared" si="7"/>
        <v>0.17741935483870969</v>
      </c>
      <c r="U93" s="29">
        <f>Merge2!R94</f>
        <v>0</v>
      </c>
      <c r="V93" s="30"/>
      <c r="X93" s="6">
        <f>Merge2!P94</f>
        <v>0</v>
      </c>
      <c r="AA93" s="6">
        <f t="shared" si="8"/>
        <v>62</v>
      </c>
      <c r="AB93" s="31">
        <f t="shared" si="9"/>
        <v>0.17741935483870969</v>
      </c>
    </row>
    <row r="94" spans="1:28" ht="16.5" x14ac:dyDescent="0.2">
      <c r="A94" s="22">
        <f>Merge2!H95</f>
        <v>0</v>
      </c>
      <c r="B94" s="23" t="s">
        <v>2564</v>
      </c>
      <c r="C94" s="24">
        <f>Merge2!S95</f>
        <v>0</v>
      </c>
      <c r="D94" s="24">
        <f>Merge2!Q95</f>
        <v>0</v>
      </c>
      <c r="E94" s="25" t="e">
        <f>VLOOKUP(X94,LPN!$A:$D,4,0)</f>
        <v>#N/A</v>
      </c>
      <c r="F94" s="26" t="s">
        <v>2565</v>
      </c>
      <c r="G94" s="27" t="s">
        <v>2566</v>
      </c>
      <c r="H94" s="27"/>
      <c r="I94" s="28"/>
      <c r="J94" s="28" t="s">
        <v>2566</v>
      </c>
      <c r="K94" s="27"/>
      <c r="L94" s="27" t="s">
        <v>2566</v>
      </c>
      <c r="M94" s="27" t="s">
        <v>2566</v>
      </c>
      <c r="N94" s="28"/>
      <c r="O94" s="27" t="s">
        <v>2566</v>
      </c>
      <c r="P94" s="28"/>
      <c r="Q94" s="27" t="str">
        <f>IF(Merge2!X95="CRS","X"," ")</f>
        <v xml:space="preserve"> </v>
      </c>
      <c r="R94" s="23" t="e">
        <f>VLOOKUP(X94,LPN!$A:$F,3,0)</f>
        <v>#N/A</v>
      </c>
      <c r="S94" s="26" t="str">
        <f>IF(Merge2!X95="CRS","Maintenance, TBS, Repair, CRS","Maintenance, TBS, Repair")</f>
        <v>Maintenance, TBS, Repair</v>
      </c>
      <c r="T94" s="32">
        <f t="shared" si="7"/>
        <v>0.17741935483870969</v>
      </c>
      <c r="U94" s="29">
        <f>Merge2!R95</f>
        <v>0</v>
      </c>
      <c r="V94" s="30"/>
      <c r="X94" s="6">
        <f>Merge2!P95</f>
        <v>0</v>
      </c>
      <c r="AA94" s="6">
        <f t="shared" si="8"/>
        <v>62</v>
      </c>
      <c r="AB94" s="31">
        <f t="shared" si="9"/>
        <v>0.17741935483870969</v>
      </c>
    </row>
    <row r="95" spans="1:28" ht="24.75" x14ac:dyDescent="0.2">
      <c r="A95" s="22">
        <f>Merge2!H96</f>
        <v>0</v>
      </c>
      <c r="B95" s="23" t="s">
        <v>2564</v>
      </c>
      <c r="C95" s="24">
        <f>Merge2!S96</f>
        <v>0</v>
      </c>
      <c r="D95" s="24">
        <f>Merge2!Q96</f>
        <v>0</v>
      </c>
      <c r="E95" s="25" t="e">
        <f>VLOOKUP(X95,LPN!$A:$D,4,0)</f>
        <v>#N/A</v>
      </c>
      <c r="F95" s="26" t="s">
        <v>2565</v>
      </c>
      <c r="G95" s="27" t="s">
        <v>2566</v>
      </c>
      <c r="H95" s="27"/>
      <c r="I95" s="28"/>
      <c r="J95" s="28" t="s">
        <v>2566</v>
      </c>
      <c r="K95" s="27"/>
      <c r="L95" s="27" t="s">
        <v>2566</v>
      </c>
      <c r="M95" s="27" t="s">
        <v>2566</v>
      </c>
      <c r="N95" s="28"/>
      <c r="O95" s="27" t="s">
        <v>2566</v>
      </c>
      <c r="P95" s="28"/>
      <c r="Q95" s="27" t="str">
        <f>IF(Merge2!X96="CRS","X"," ")</f>
        <v xml:space="preserve"> </v>
      </c>
      <c r="R95" s="23" t="e">
        <f>VLOOKUP(X95,LPN!$A:$F,3,0)</f>
        <v>#N/A</v>
      </c>
      <c r="S95" s="26" t="str">
        <f>IF(Merge2!X96="CRS","Maintenance, TBS, Repair, CRS","Maintenance, TBS, Repair")</f>
        <v>Maintenance, TBS, Repair</v>
      </c>
      <c r="T95" s="32">
        <f t="shared" si="7"/>
        <v>0.17741935483870969</v>
      </c>
      <c r="U95" s="29">
        <f>Merge2!R96</f>
        <v>0</v>
      </c>
      <c r="V95" s="30"/>
      <c r="X95" s="6">
        <f>Merge2!P96</f>
        <v>0</v>
      </c>
      <c r="AA95" s="6">
        <f t="shared" si="8"/>
        <v>62</v>
      </c>
      <c r="AB95" s="31">
        <f t="shared" si="9"/>
        <v>0.17741935483870969</v>
      </c>
    </row>
    <row r="96" spans="1:28" ht="16.5" x14ac:dyDescent="0.2">
      <c r="A96" s="22">
        <f>Merge2!H97</f>
        <v>0</v>
      </c>
      <c r="B96" s="23" t="s">
        <v>2564</v>
      </c>
      <c r="C96" s="24">
        <f>Merge2!S97</f>
        <v>0</v>
      </c>
      <c r="D96" s="24">
        <f>Merge2!Q97</f>
        <v>0</v>
      </c>
      <c r="E96" s="25" t="e">
        <f>VLOOKUP(X96,LPN!$A:$D,4,0)</f>
        <v>#N/A</v>
      </c>
      <c r="F96" s="26" t="s">
        <v>2565</v>
      </c>
      <c r="G96" s="27" t="s">
        <v>2566</v>
      </c>
      <c r="H96" s="27"/>
      <c r="I96" s="28"/>
      <c r="J96" s="28" t="s">
        <v>2566</v>
      </c>
      <c r="K96" s="27"/>
      <c r="L96" s="27" t="s">
        <v>2566</v>
      </c>
      <c r="M96" s="27" t="s">
        <v>2566</v>
      </c>
      <c r="N96" s="28"/>
      <c r="O96" s="27" t="s">
        <v>2566</v>
      </c>
      <c r="P96" s="28"/>
      <c r="Q96" s="27" t="str">
        <f>IF(Merge2!X97="CRS","X"," ")</f>
        <v xml:space="preserve"> </v>
      </c>
      <c r="R96" s="23" t="e">
        <f>VLOOKUP(X96,LPN!$A:$F,3,0)</f>
        <v>#N/A</v>
      </c>
      <c r="S96" s="26" t="str">
        <f>IF(Merge2!X97="CRS","Maintenance, TBS, Repair, CRS","Maintenance, TBS, Repair")</f>
        <v>Maintenance, TBS, Repair</v>
      </c>
      <c r="T96" s="32">
        <f t="shared" si="7"/>
        <v>0.17741935483870969</v>
      </c>
      <c r="U96" s="29">
        <f>Merge2!R97</f>
        <v>0</v>
      </c>
      <c r="V96" s="30"/>
      <c r="X96" s="6">
        <f>Merge2!P97</f>
        <v>0</v>
      </c>
      <c r="AA96" s="6">
        <f t="shared" si="8"/>
        <v>62</v>
      </c>
      <c r="AB96" s="31">
        <f t="shared" si="9"/>
        <v>0.17741935483870969</v>
      </c>
    </row>
    <row r="97" spans="1:28" ht="16.5" x14ac:dyDescent="0.2">
      <c r="A97" s="22">
        <f>Merge2!H98</f>
        <v>0</v>
      </c>
      <c r="B97" s="23" t="s">
        <v>2564</v>
      </c>
      <c r="C97" s="24">
        <f>Merge2!S98</f>
        <v>0</v>
      </c>
      <c r="D97" s="24">
        <f>Merge2!Q98</f>
        <v>0</v>
      </c>
      <c r="E97" s="25" t="e">
        <f>VLOOKUP(X97,LPN!$A:$D,4,0)</f>
        <v>#N/A</v>
      </c>
      <c r="F97" s="26" t="s">
        <v>2565</v>
      </c>
      <c r="G97" s="27" t="s">
        <v>2566</v>
      </c>
      <c r="H97" s="27"/>
      <c r="I97" s="28"/>
      <c r="J97" s="28" t="s">
        <v>2566</v>
      </c>
      <c r="K97" s="27"/>
      <c r="L97" s="27" t="s">
        <v>2566</v>
      </c>
      <c r="M97" s="27" t="s">
        <v>2566</v>
      </c>
      <c r="N97" s="28"/>
      <c r="O97" s="27" t="s">
        <v>2566</v>
      </c>
      <c r="P97" s="28"/>
      <c r="Q97" s="27" t="str">
        <f>IF(Merge2!X98="CRS","X"," ")</f>
        <v xml:space="preserve"> </v>
      </c>
      <c r="R97" s="23" t="e">
        <f>VLOOKUP(X97,LPN!$A:$F,3,0)</f>
        <v>#N/A</v>
      </c>
      <c r="S97" s="26" t="str">
        <f>IF(Merge2!X98="CRS","Maintenance, TBS, Repair, CRS","Maintenance, TBS, Repair")</f>
        <v>Maintenance, TBS, Repair</v>
      </c>
      <c r="T97" s="32">
        <f t="shared" si="7"/>
        <v>0.17741935483870969</v>
      </c>
      <c r="U97" s="29">
        <f>Merge2!R98</f>
        <v>0</v>
      </c>
      <c r="V97" s="30"/>
      <c r="X97" s="6">
        <f>Merge2!P98</f>
        <v>0</v>
      </c>
      <c r="AA97" s="6">
        <f t="shared" si="8"/>
        <v>62</v>
      </c>
      <c r="AB97" s="31">
        <f t="shared" si="9"/>
        <v>0.17741935483870969</v>
      </c>
    </row>
    <row r="98" spans="1:28" ht="16.5" x14ac:dyDescent="0.2">
      <c r="A98" s="22">
        <f>Merge2!H99</f>
        <v>0</v>
      </c>
      <c r="B98" s="23" t="s">
        <v>2564</v>
      </c>
      <c r="C98" s="24">
        <f>Merge2!S99</f>
        <v>0</v>
      </c>
      <c r="D98" s="24">
        <f>Merge2!Q99</f>
        <v>0</v>
      </c>
      <c r="E98" s="25" t="e">
        <f>VLOOKUP(X98,LPN!$A:$D,4,0)</f>
        <v>#N/A</v>
      </c>
      <c r="F98" s="26" t="s">
        <v>2565</v>
      </c>
      <c r="G98" s="27" t="s">
        <v>2566</v>
      </c>
      <c r="H98" s="27"/>
      <c r="I98" s="28"/>
      <c r="J98" s="28" t="s">
        <v>2566</v>
      </c>
      <c r="K98" s="27"/>
      <c r="L98" s="27" t="s">
        <v>2566</v>
      </c>
      <c r="M98" s="27" t="s">
        <v>2566</v>
      </c>
      <c r="N98" s="28"/>
      <c r="O98" s="27" t="s">
        <v>2566</v>
      </c>
      <c r="P98" s="28"/>
      <c r="Q98" s="27" t="str">
        <f>IF(Merge2!X99="CRS","X"," ")</f>
        <v xml:space="preserve"> </v>
      </c>
      <c r="R98" s="23" t="e">
        <f>VLOOKUP(X98,LPN!$A:$F,3,0)</f>
        <v>#N/A</v>
      </c>
      <c r="S98" s="26" t="str">
        <f>IF(Merge2!X99="CRS","Maintenance, TBS, Repair, CRS","Maintenance, TBS, Repair")</f>
        <v>Maintenance, TBS, Repair</v>
      </c>
      <c r="T98" s="32">
        <f t="shared" si="7"/>
        <v>0.17741935483870969</v>
      </c>
      <c r="U98" s="29">
        <f>Merge2!R99</f>
        <v>0</v>
      </c>
      <c r="V98" s="30"/>
      <c r="X98" s="6">
        <f>Merge2!P99</f>
        <v>0</v>
      </c>
      <c r="AA98" s="6">
        <f t="shared" si="8"/>
        <v>62</v>
      </c>
      <c r="AB98" s="31">
        <f t="shared" si="9"/>
        <v>0.17741935483870969</v>
      </c>
    </row>
    <row r="99" spans="1:28" ht="16.5" x14ac:dyDescent="0.2">
      <c r="A99" s="22">
        <f>Merge2!H100</f>
        <v>0</v>
      </c>
      <c r="B99" s="23" t="s">
        <v>2564</v>
      </c>
      <c r="C99" s="24">
        <f>Merge2!S100</f>
        <v>0</v>
      </c>
      <c r="D99" s="24">
        <f>Merge2!Q100</f>
        <v>0</v>
      </c>
      <c r="E99" s="25" t="e">
        <f>VLOOKUP(X99,LPN!$A:$D,4,0)</f>
        <v>#N/A</v>
      </c>
      <c r="F99" s="26" t="s">
        <v>2565</v>
      </c>
      <c r="G99" s="27" t="s">
        <v>2566</v>
      </c>
      <c r="H99" s="27"/>
      <c r="I99" s="28"/>
      <c r="J99" s="28" t="s">
        <v>2566</v>
      </c>
      <c r="K99" s="27"/>
      <c r="L99" s="27" t="s">
        <v>2566</v>
      </c>
      <c r="M99" s="27" t="s">
        <v>2566</v>
      </c>
      <c r="N99" s="28"/>
      <c r="O99" s="27" t="s">
        <v>2566</v>
      </c>
      <c r="P99" s="28"/>
      <c r="Q99" s="27" t="str">
        <f>IF(Merge2!X100="CRS","X"," ")</f>
        <v xml:space="preserve"> </v>
      </c>
      <c r="R99" s="23" t="e">
        <f>VLOOKUP(X99,LPN!$A:$F,3,0)</f>
        <v>#N/A</v>
      </c>
      <c r="S99" s="26" t="str">
        <f>IF(Merge2!X100="CRS","Maintenance, TBS, Repair, CRS","Maintenance, TBS, Repair")</f>
        <v>Maintenance, TBS, Repair</v>
      </c>
      <c r="T99" s="32">
        <f t="shared" si="7"/>
        <v>0.17741935483870969</v>
      </c>
      <c r="U99" s="29">
        <f>Merge2!R100</f>
        <v>0</v>
      </c>
      <c r="V99" s="30"/>
      <c r="X99" s="6">
        <f>Merge2!P100</f>
        <v>0</v>
      </c>
      <c r="AA99" s="6">
        <f t="shared" si="8"/>
        <v>62</v>
      </c>
      <c r="AB99" s="31">
        <f t="shared" si="9"/>
        <v>0.17741935483870969</v>
      </c>
    </row>
    <row r="100" spans="1:28" ht="16.5" x14ac:dyDescent="0.2">
      <c r="A100" s="22">
        <f>Merge2!H101</f>
        <v>0</v>
      </c>
      <c r="B100" s="23" t="s">
        <v>2564</v>
      </c>
      <c r="C100" s="24">
        <f>Merge2!S101</f>
        <v>0</v>
      </c>
      <c r="D100" s="24">
        <f>Merge2!Q101</f>
        <v>0</v>
      </c>
      <c r="E100" s="25" t="e">
        <f>VLOOKUP(X100,LPN!$A:$D,4,0)</f>
        <v>#N/A</v>
      </c>
      <c r="F100" s="26" t="s">
        <v>2565</v>
      </c>
      <c r="G100" s="27" t="s">
        <v>2566</v>
      </c>
      <c r="H100" s="27"/>
      <c r="I100" s="28"/>
      <c r="J100" s="28" t="s">
        <v>2566</v>
      </c>
      <c r="K100" s="27"/>
      <c r="L100" s="27" t="s">
        <v>2566</v>
      </c>
      <c r="M100" s="27" t="s">
        <v>2566</v>
      </c>
      <c r="N100" s="28"/>
      <c r="O100" s="27" t="s">
        <v>2566</v>
      </c>
      <c r="P100" s="28"/>
      <c r="Q100" s="27" t="str">
        <f>IF(Merge2!X101="CRS","X"," ")</f>
        <v xml:space="preserve"> </v>
      </c>
      <c r="R100" s="23" t="e">
        <f>VLOOKUP(X100,LPN!$A:$F,3,0)</f>
        <v>#N/A</v>
      </c>
      <c r="S100" s="26" t="str">
        <f>IF(Merge2!X101="CRS","Maintenance, TBS, Repair, CRS","Maintenance, TBS, Repair")</f>
        <v>Maintenance, TBS, Repair</v>
      </c>
      <c r="T100" s="32">
        <f t="shared" si="7"/>
        <v>0.17741935483870969</v>
      </c>
      <c r="U100" s="29">
        <f>Merge2!R101</f>
        <v>0</v>
      </c>
      <c r="V100" s="30"/>
      <c r="X100" s="6">
        <f>Merge2!P101</f>
        <v>0</v>
      </c>
      <c r="AA100" s="6">
        <f t="shared" si="8"/>
        <v>62</v>
      </c>
      <c r="AB100" s="31">
        <f t="shared" si="9"/>
        <v>0.17741935483870969</v>
      </c>
    </row>
    <row r="101" spans="1:28" ht="24.75" x14ac:dyDescent="0.2">
      <c r="A101" s="22">
        <f>Merge2!H102</f>
        <v>0</v>
      </c>
      <c r="B101" s="23" t="s">
        <v>2564</v>
      </c>
      <c r="C101" s="24">
        <f>Merge2!S102</f>
        <v>0</v>
      </c>
      <c r="D101" s="24">
        <f>Merge2!Q102</f>
        <v>0</v>
      </c>
      <c r="E101" s="25" t="e">
        <f>VLOOKUP(X101,LPN!$A:$D,4,0)</f>
        <v>#N/A</v>
      </c>
      <c r="F101" s="26" t="s">
        <v>2565</v>
      </c>
      <c r="G101" s="27" t="s">
        <v>2566</v>
      </c>
      <c r="H101" s="27"/>
      <c r="I101" s="28"/>
      <c r="J101" s="28" t="s">
        <v>2566</v>
      </c>
      <c r="K101" s="27"/>
      <c r="L101" s="27" t="s">
        <v>2566</v>
      </c>
      <c r="M101" s="27" t="s">
        <v>2566</v>
      </c>
      <c r="N101" s="28"/>
      <c r="O101" s="27" t="s">
        <v>2566</v>
      </c>
      <c r="P101" s="28"/>
      <c r="Q101" s="27" t="str">
        <f>IF(Merge2!X102="CRS","X"," ")</f>
        <v xml:space="preserve"> </v>
      </c>
      <c r="R101" s="23" t="e">
        <f>VLOOKUP(X101,LPN!$A:$F,3,0)</f>
        <v>#N/A</v>
      </c>
      <c r="S101" s="26" t="str">
        <f>IF(Merge2!X102="CRS","Maintenance, TBS, Repair, CRS","Maintenance, TBS, Repair")</f>
        <v>Maintenance, TBS, Repair</v>
      </c>
      <c r="T101" s="32">
        <f t="shared" si="7"/>
        <v>0.17741935483870969</v>
      </c>
      <c r="U101" s="29">
        <f>Merge2!R102</f>
        <v>0</v>
      </c>
      <c r="V101" s="30"/>
      <c r="X101" s="6">
        <f>Merge2!P102</f>
        <v>0</v>
      </c>
      <c r="AA101" s="6">
        <f t="shared" si="8"/>
        <v>62</v>
      </c>
      <c r="AB101" s="31">
        <f t="shared" si="9"/>
        <v>0.17741935483870969</v>
      </c>
    </row>
    <row r="102" spans="1:28" ht="16.5" x14ac:dyDescent="0.2">
      <c r="A102" s="22">
        <f>Merge2!H103</f>
        <v>0</v>
      </c>
      <c r="B102" s="23" t="s">
        <v>2564</v>
      </c>
      <c r="C102" s="24">
        <f>Merge2!S103</f>
        <v>0</v>
      </c>
      <c r="D102" s="24">
        <f>Merge2!Q103</f>
        <v>0</v>
      </c>
      <c r="E102" s="25" t="e">
        <f>VLOOKUP(X102,LPN!$A:$D,4,0)</f>
        <v>#N/A</v>
      </c>
      <c r="F102" s="26" t="s">
        <v>2565</v>
      </c>
      <c r="G102" s="27" t="s">
        <v>2566</v>
      </c>
      <c r="H102" s="27"/>
      <c r="I102" s="28"/>
      <c r="J102" s="28" t="s">
        <v>2566</v>
      </c>
      <c r="K102" s="27"/>
      <c r="L102" s="27" t="s">
        <v>2566</v>
      </c>
      <c r="M102" s="27" t="s">
        <v>2566</v>
      </c>
      <c r="N102" s="28"/>
      <c r="O102" s="27" t="s">
        <v>2566</v>
      </c>
      <c r="P102" s="28"/>
      <c r="Q102" s="27" t="str">
        <f>IF(Merge2!X103="CRS","X"," ")</f>
        <v xml:space="preserve"> </v>
      </c>
      <c r="R102" s="23" t="e">
        <f>VLOOKUP(X102,LPN!$A:$F,3,0)</f>
        <v>#N/A</v>
      </c>
      <c r="S102" s="26" t="str">
        <f>IF(Merge2!X103="CRS","Maintenance, TBS, Repair, CRS","Maintenance, TBS, Repair")</f>
        <v>Maintenance, TBS, Repair</v>
      </c>
      <c r="T102" s="32">
        <f t="shared" si="7"/>
        <v>0.17741935483870969</v>
      </c>
      <c r="U102" s="29">
        <f>Merge2!R103</f>
        <v>0</v>
      </c>
      <c r="V102" s="30"/>
      <c r="X102" s="6">
        <f>Merge2!P103</f>
        <v>0</v>
      </c>
      <c r="AA102" s="6">
        <f t="shared" si="8"/>
        <v>62</v>
      </c>
      <c r="AB102" s="31">
        <f t="shared" si="9"/>
        <v>0.17741935483870969</v>
      </c>
    </row>
    <row r="103" spans="1:28" ht="16.5" x14ac:dyDescent="0.2">
      <c r="A103" s="22">
        <f>Merge2!H115</f>
        <v>0</v>
      </c>
      <c r="B103" s="23" t="s">
        <v>2564</v>
      </c>
      <c r="C103" s="24">
        <f>Merge2!S115</f>
        <v>0</v>
      </c>
      <c r="D103" s="24">
        <f>Merge2!Q115</f>
        <v>0</v>
      </c>
      <c r="E103" s="25" t="e">
        <f>VLOOKUP(X103,LPN!$A:$D,4,0)</f>
        <v>#N/A</v>
      </c>
      <c r="F103" s="26" t="s">
        <v>2565</v>
      </c>
      <c r="G103" s="27" t="s">
        <v>2566</v>
      </c>
      <c r="H103" s="27"/>
      <c r="I103" s="28"/>
      <c r="J103" s="28" t="s">
        <v>2566</v>
      </c>
      <c r="K103" s="27"/>
      <c r="L103" s="27" t="s">
        <v>2566</v>
      </c>
      <c r="M103" s="27" t="s">
        <v>2566</v>
      </c>
      <c r="N103" s="28"/>
      <c r="O103" s="27" t="s">
        <v>2566</v>
      </c>
      <c r="P103" s="28"/>
      <c r="Q103" s="27" t="str">
        <f>IF(Merge2!X115="CRS","X"," ")</f>
        <v xml:space="preserve"> </v>
      </c>
      <c r="R103" s="23" t="e">
        <f>VLOOKUP(X103,LPN!$A:$F,3,0)</f>
        <v>#N/A</v>
      </c>
      <c r="S103" s="26" t="str">
        <f>IF(Merge2!X115="CRS","Maintenance, TBS, Repair, CRS","Maintenance, TBS, Repair")</f>
        <v>Maintenance, TBS, Repair</v>
      </c>
      <c r="T103" s="32">
        <f t="shared" si="7"/>
        <v>0.17741935483870969</v>
      </c>
      <c r="U103" s="29">
        <f>Merge2!R115</f>
        <v>0</v>
      </c>
      <c r="V103" s="30"/>
      <c r="X103" s="6">
        <f>Merge2!P115</f>
        <v>0</v>
      </c>
      <c r="AA103" s="6">
        <f t="shared" si="8"/>
        <v>62</v>
      </c>
      <c r="AB103" s="31">
        <f t="shared" si="9"/>
        <v>0.17741935483870969</v>
      </c>
    </row>
    <row r="104" spans="1:28" ht="16.5" x14ac:dyDescent="0.2">
      <c r="A104" s="22">
        <f>Merge2!H116</f>
        <v>0</v>
      </c>
      <c r="B104" s="23" t="s">
        <v>2564</v>
      </c>
      <c r="C104" s="24">
        <f>Merge2!S116</f>
        <v>0</v>
      </c>
      <c r="D104" s="24">
        <f>Merge2!Q116</f>
        <v>0</v>
      </c>
      <c r="E104" s="25" t="e">
        <f>VLOOKUP(X104,LPN!$A:$D,4,0)</f>
        <v>#N/A</v>
      </c>
      <c r="F104" s="26" t="s">
        <v>2565</v>
      </c>
      <c r="G104" s="27" t="s">
        <v>2566</v>
      </c>
      <c r="H104" s="27"/>
      <c r="I104" s="28"/>
      <c r="J104" s="28" t="s">
        <v>2566</v>
      </c>
      <c r="K104" s="27"/>
      <c r="L104" s="27" t="s">
        <v>2566</v>
      </c>
      <c r="M104" s="27" t="s">
        <v>2566</v>
      </c>
      <c r="N104" s="28"/>
      <c r="O104" s="27" t="s">
        <v>2566</v>
      </c>
      <c r="P104" s="28"/>
      <c r="Q104" s="27" t="str">
        <f>IF(Merge2!X116="CRS","X"," ")</f>
        <v xml:space="preserve"> </v>
      </c>
      <c r="R104" s="23" t="e">
        <f>VLOOKUP(X104,LPN!$A:$F,3,0)</f>
        <v>#N/A</v>
      </c>
      <c r="S104" s="26" t="str">
        <f>IF(Merge2!X116="CRS","Maintenance, TBS, Repair, CRS","Maintenance, TBS, Repair")</f>
        <v>Maintenance, TBS, Repair</v>
      </c>
      <c r="T104" s="32">
        <f t="shared" si="7"/>
        <v>0.17741935483870969</v>
      </c>
      <c r="U104" s="29">
        <f>Merge2!R116</f>
        <v>0</v>
      </c>
      <c r="V104" s="30"/>
      <c r="X104" s="6">
        <f>Merge2!P116</f>
        <v>0</v>
      </c>
      <c r="AA104" s="6">
        <f t="shared" si="8"/>
        <v>62</v>
      </c>
      <c r="AB104" s="31">
        <f t="shared" si="9"/>
        <v>0.17741935483870969</v>
      </c>
    </row>
    <row r="105" spans="1:28" ht="16.5" x14ac:dyDescent="0.2">
      <c r="A105" s="22">
        <f>Merge2!H117</f>
        <v>0</v>
      </c>
      <c r="B105" s="23" t="s">
        <v>2564</v>
      </c>
      <c r="C105" s="24">
        <f>Merge2!S117</f>
        <v>0</v>
      </c>
      <c r="D105" s="24">
        <f>Merge2!Q117</f>
        <v>0</v>
      </c>
      <c r="E105" s="25" t="e">
        <f>VLOOKUP(X105,LPN!$A:$D,4,0)</f>
        <v>#N/A</v>
      </c>
      <c r="F105" s="26" t="s">
        <v>2565</v>
      </c>
      <c r="G105" s="27" t="s">
        <v>2566</v>
      </c>
      <c r="H105" s="27"/>
      <c r="I105" s="28"/>
      <c r="J105" s="28" t="s">
        <v>2566</v>
      </c>
      <c r="K105" s="27"/>
      <c r="L105" s="27" t="s">
        <v>2566</v>
      </c>
      <c r="M105" s="27" t="s">
        <v>2566</v>
      </c>
      <c r="N105" s="28"/>
      <c r="O105" s="27" t="s">
        <v>2566</v>
      </c>
      <c r="P105" s="28"/>
      <c r="Q105" s="27" t="str">
        <f>IF(Merge2!X117="CRS","X"," ")</f>
        <v xml:space="preserve"> </v>
      </c>
      <c r="R105" s="23" t="e">
        <f>VLOOKUP(X105,LPN!$A:$F,3,0)</f>
        <v>#N/A</v>
      </c>
      <c r="S105" s="26" t="str">
        <f>IF(Merge2!X117="CRS","Maintenance, TBS, Repair, CRS","Maintenance, TBS, Repair")</f>
        <v>Maintenance, TBS, Repair</v>
      </c>
      <c r="T105" s="32">
        <f t="shared" si="7"/>
        <v>0.17741935483870969</v>
      </c>
      <c r="U105" s="29">
        <f>Merge2!R117</f>
        <v>0</v>
      </c>
      <c r="V105" s="30"/>
      <c r="X105" s="6">
        <f>Merge2!P117</f>
        <v>0</v>
      </c>
      <c r="AA105" s="6">
        <f t="shared" si="8"/>
        <v>62</v>
      </c>
      <c r="AB105" s="31">
        <f t="shared" si="9"/>
        <v>0.17741935483870969</v>
      </c>
    </row>
    <row r="106" spans="1:28" ht="16.5" x14ac:dyDescent="0.2">
      <c r="A106" s="22">
        <f>Merge2!H118</f>
        <v>0</v>
      </c>
      <c r="B106" s="23" t="s">
        <v>2564</v>
      </c>
      <c r="C106" s="24">
        <f>Merge2!S118</f>
        <v>0</v>
      </c>
      <c r="D106" s="24">
        <f>Merge2!Q118</f>
        <v>0</v>
      </c>
      <c r="E106" s="25" t="e">
        <f>VLOOKUP(X106,LPN!$A:$D,4,0)</f>
        <v>#N/A</v>
      </c>
      <c r="F106" s="26" t="s">
        <v>2565</v>
      </c>
      <c r="G106" s="27" t="s">
        <v>2566</v>
      </c>
      <c r="H106" s="27"/>
      <c r="I106" s="28"/>
      <c r="J106" s="28" t="s">
        <v>2566</v>
      </c>
      <c r="K106" s="27"/>
      <c r="L106" s="27" t="s">
        <v>2566</v>
      </c>
      <c r="M106" s="27" t="s">
        <v>2566</v>
      </c>
      <c r="N106" s="28"/>
      <c r="O106" s="27" t="s">
        <v>2566</v>
      </c>
      <c r="P106" s="28"/>
      <c r="Q106" s="27" t="str">
        <f>IF(Merge2!X118="CRS","X"," ")</f>
        <v xml:space="preserve"> </v>
      </c>
      <c r="R106" s="23" t="e">
        <f>VLOOKUP(X106,LPN!$A:$F,3,0)</f>
        <v>#N/A</v>
      </c>
      <c r="S106" s="26" t="str">
        <f>IF(Merge2!X118="CRS","Maintenance, TBS, Repair, CRS","Maintenance, TBS, Repair")</f>
        <v>Maintenance, TBS, Repair</v>
      </c>
      <c r="T106" s="32">
        <f t="shared" si="7"/>
        <v>0.17741935483870969</v>
      </c>
      <c r="U106" s="29">
        <f>Merge2!R118</f>
        <v>0</v>
      </c>
      <c r="V106" s="30"/>
      <c r="X106" s="6">
        <f>Merge2!P118</f>
        <v>0</v>
      </c>
      <c r="AA106" s="6">
        <f t="shared" si="8"/>
        <v>62</v>
      </c>
      <c r="AB106" s="31">
        <f t="shared" si="9"/>
        <v>0.17741935483870969</v>
      </c>
    </row>
    <row r="107" spans="1:28" ht="16.5" x14ac:dyDescent="0.2">
      <c r="A107" s="22">
        <f>Merge2!H119</f>
        <v>0</v>
      </c>
      <c r="B107" s="23" t="s">
        <v>2564</v>
      </c>
      <c r="C107" s="24">
        <f>Merge2!S119</f>
        <v>0</v>
      </c>
      <c r="D107" s="24">
        <f>Merge2!Q119</f>
        <v>0</v>
      </c>
      <c r="E107" s="25" t="e">
        <f>VLOOKUP(X107,LPN!$A:$D,4,0)</f>
        <v>#N/A</v>
      </c>
      <c r="F107" s="26" t="s">
        <v>2565</v>
      </c>
      <c r="G107" s="27" t="s">
        <v>2566</v>
      </c>
      <c r="H107" s="27"/>
      <c r="I107" s="28"/>
      <c r="J107" s="28" t="s">
        <v>2566</v>
      </c>
      <c r="K107" s="27"/>
      <c r="L107" s="27" t="s">
        <v>2566</v>
      </c>
      <c r="M107" s="27" t="s">
        <v>2566</v>
      </c>
      <c r="N107" s="28"/>
      <c r="O107" s="27" t="s">
        <v>2566</v>
      </c>
      <c r="P107" s="28"/>
      <c r="Q107" s="27" t="str">
        <f>IF(Merge2!X119="CRS","X"," ")</f>
        <v xml:space="preserve"> </v>
      </c>
      <c r="R107" s="23" t="e">
        <f>VLOOKUP(X107,LPN!$A:$F,3,0)</f>
        <v>#N/A</v>
      </c>
      <c r="S107" s="26" t="str">
        <f>IF(Merge2!X119="CRS","Maintenance, TBS, Repair, CRS","Maintenance, TBS, Repair")</f>
        <v>Maintenance, TBS, Repair</v>
      </c>
      <c r="T107" s="32">
        <f t="shared" si="7"/>
        <v>0.17741935483870969</v>
      </c>
      <c r="U107" s="29">
        <f>Merge2!R119</f>
        <v>0</v>
      </c>
      <c r="V107" s="30"/>
      <c r="X107" s="6">
        <f>Merge2!P119</f>
        <v>0</v>
      </c>
      <c r="AA107" s="6">
        <f t="shared" si="8"/>
        <v>62</v>
      </c>
      <c r="AB107" s="31">
        <f t="shared" si="9"/>
        <v>0.17741935483870969</v>
      </c>
    </row>
    <row r="108" spans="1:28" ht="16.5" x14ac:dyDescent="0.2">
      <c r="A108" s="22">
        <f>Merge2!H120</f>
        <v>0</v>
      </c>
      <c r="B108" s="23" t="s">
        <v>2564</v>
      </c>
      <c r="C108" s="24">
        <f>Merge2!S120</f>
        <v>0</v>
      </c>
      <c r="D108" s="24">
        <f>Merge2!Q120</f>
        <v>0</v>
      </c>
      <c r="E108" s="25" t="e">
        <f>VLOOKUP(X108,LPN!$A:$D,4,0)</f>
        <v>#N/A</v>
      </c>
      <c r="F108" s="26" t="s">
        <v>2565</v>
      </c>
      <c r="G108" s="27" t="s">
        <v>2566</v>
      </c>
      <c r="H108" s="27"/>
      <c r="I108" s="28"/>
      <c r="J108" s="28" t="s">
        <v>2566</v>
      </c>
      <c r="K108" s="27"/>
      <c r="L108" s="27" t="s">
        <v>2566</v>
      </c>
      <c r="M108" s="27" t="s">
        <v>2566</v>
      </c>
      <c r="N108" s="28"/>
      <c r="O108" s="27" t="s">
        <v>2566</v>
      </c>
      <c r="P108" s="28"/>
      <c r="Q108" s="27" t="str">
        <f>IF(Merge2!X120="CRS","X"," ")</f>
        <v xml:space="preserve"> </v>
      </c>
      <c r="R108" s="23" t="e">
        <f>VLOOKUP(X108,LPN!$A:$F,3,0)</f>
        <v>#N/A</v>
      </c>
      <c r="S108" s="26" t="str">
        <f>IF(Merge2!X120="CRS","Maintenance, TBS, Repair, CRS","Maintenance, TBS, Repair")</f>
        <v>Maintenance, TBS, Repair</v>
      </c>
      <c r="T108" s="32">
        <f t="shared" si="7"/>
        <v>0.17741935483870969</v>
      </c>
      <c r="U108" s="29">
        <f>Merge2!R120</f>
        <v>0</v>
      </c>
      <c r="V108" s="30"/>
      <c r="X108" s="6">
        <f>Merge2!P120</f>
        <v>0</v>
      </c>
      <c r="AA108" s="6">
        <f t="shared" si="8"/>
        <v>62</v>
      </c>
      <c r="AB108" s="31">
        <f t="shared" si="9"/>
        <v>0.17741935483870969</v>
      </c>
    </row>
    <row r="109" spans="1:28" ht="16.5" x14ac:dyDescent="0.2">
      <c r="A109" s="22">
        <f>Merge2!H121</f>
        <v>0</v>
      </c>
      <c r="B109" s="23" t="s">
        <v>2564</v>
      </c>
      <c r="C109" s="24">
        <f>Merge2!S121</f>
        <v>0</v>
      </c>
      <c r="D109" s="24">
        <f>Merge2!Q121</f>
        <v>0</v>
      </c>
      <c r="E109" s="25" t="e">
        <f>VLOOKUP(X109,LPN!$A:$D,4,0)</f>
        <v>#N/A</v>
      </c>
      <c r="F109" s="26" t="s">
        <v>2565</v>
      </c>
      <c r="G109" s="27" t="s">
        <v>2566</v>
      </c>
      <c r="H109" s="27"/>
      <c r="I109" s="28"/>
      <c r="J109" s="28" t="s">
        <v>2566</v>
      </c>
      <c r="K109" s="27"/>
      <c r="L109" s="27" t="s">
        <v>2566</v>
      </c>
      <c r="M109" s="27" t="s">
        <v>2566</v>
      </c>
      <c r="N109" s="28"/>
      <c r="O109" s="27" t="s">
        <v>2566</v>
      </c>
      <c r="P109" s="28"/>
      <c r="Q109" s="27" t="str">
        <f>IF(Merge2!X121="CRS","X"," ")</f>
        <v xml:space="preserve"> </v>
      </c>
      <c r="R109" s="23" t="e">
        <f>VLOOKUP(X109,LPN!$A:$F,3,0)</f>
        <v>#N/A</v>
      </c>
      <c r="S109" s="26" t="str">
        <f>IF(Merge2!X121="CRS","Maintenance, TBS, Repair, CRS","Maintenance, TBS, Repair")</f>
        <v>Maintenance, TBS, Repair</v>
      </c>
      <c r="T109" s="32">
        <f t="shared" si="7"/>
        <v>0.17741935483870969</v>
      </c>
      <c r="U109" s="29">
        <f>Merge2!R121</f>
        <v>0</v>
      </c>
      <c r="V109" s="30"/>
      <c r="X109" s="6">
        <f>Merge2!P121</f>
        <v>0</v>
      </c>
      <c r="AA109" s="6">
        <f t="shared" si="8"/>
        <v>62</v>
      </c>
      <c r="AB109" s="31">
        <f t="shared" si="9"/>
        <v>0.17741935483870969</v>
      </c>
    </row>
    <row r="110" spans="1:28" ht="16.5" x14ac:dyDescent="0.2">
      <c r="A110" s="22">
        <f>Merge2!H122</f>
        <v>0</v>
      </c>
      <c r="B110" s="23" t="s">
        <v>2564</v>
      </c>
      <c r="C110" s="24">
        <f>Merge2!S122</f>
        <v>0</v>
      </c>
      <c r="D110" s="24">
        <f>Merge2!Q122</f>
        <v>0</v>
      </c>
      <c r="E110" s="25" t="e">
        <f>VLOOKUP(X110,LPN!$A:$D,4,0)</f>
        <v>#N/A</v>
      </c>
      <c r="F110" s="26" t="s">
        <v>2565</v>
      </c>
      <c r="G110" s="27" t="s">
        <v>2566</v>
      </c>
      <c r="H110" s="27"/>
      <c r="I110" s="28"/>
      <c r="J110" s="28" t="s">
        <v>2566</v>
      </c>
      <c r="K110" s="27"/>
      <c r="L110" s="27" t="s">
        <v>2566</v>
      </c>
      <c r="M110" s="27" t="s">
        <v>2566</v>
      </c>
      <c r="N110" s="28"/>
      <c r="O110" s="27" t="s">
        <v>2566</v>
      </c>
      <c r="P110" s="28"/>
      <c r="Q110" s="27" t="str">
        <f>IF(Merge2!X122="CRS","X"," ")</f>
        <v xml:space="preserve"> </v>
      </c>
      <c r="R110" s="23" t="e">
        <f>VLOOKUP(X110,LPN!$A:$F,3,0)</f>
        <v>#N/A</v>
      </c>
      <c r="S110" s="26" t="str">
        <f>IF(Merge2!X122="CRS","Maintenance, TBS, Repair, CRS","Maintenance, TBS, Repair")</f>
        <v>Maintenance, TBS, Repair</v>
      </c>
      <c r="T110" s="32">
        <f t="shared" si="7"/>
        <v>0.17741935483870969</v>
      </c>
      <c r="U110" s="29">
        <f>Merge2!R122</f>
        <v>0</v>
      </c>
      <c r="V110" s="30"/>
      <c r="X110" s="6">
        <f>Merge2!P122</f>
        <v>0</v>
      </c>
      <c r="AA110" s="6">
        <f t="shared" si="8"/>
        <v>62</v>
      </c>
      <c r="AB110" s="31">
        <f t="shared" si="9"/>
        <v>0.17741935483870969</v>
      </c>
    </row>
    <row r="111" spans="1:28" ht="16.5" x14ac:dyDescent="0.2">
      <c r="A111" s="22">
        <f>Merge2!H123</f>
        <v>0</v>
      </c>
      <c r="B111" s="23" t="s">
        <v>2564</v>
      </c>
      <c r="C111" s="24">
        <f>Merge2!S123</f>
        <v>0</v>
      </c>
      <c r="D111" s="24">
        <f>Merge2!Q123</f>
        <v>0</v>
      </c>
      <c r="E111" s="25" t="e">
        <f>VLOOKUP(X111,LPN!$A:$D,4,0)</f>
        <v>#N/A</v>
      </c>
      <c r="F111" s="26" t="s">
        <v>2565</v>
      </c>
      <c r="G111" s="27" t="s">
        <v>2566</v>
      </c>
      <c r="H111" s="27"/>
      <c r="I111" s="28"/>
      <c r="J111" s="28" t="s">
        <v>2566</v>
      </c>
      <c r="K111" s="27"/>
      <c r="L111" s="27" t="s">
        <v>2566</v>
      </c>
      <c r="M111" s="27" t="s">
        <v>2566</v>
      </c>
      <c r="N111" s="28"/>
      <c r="O111" s="27" t="s">
        <v>2566</v>
      </c>
      <c r="P111" s="28"/>
      <c r="Q111" s="27" t="str">
        <f>IF(Merge2!X123="CRS","X"," ")</f>
        <v xml:space="preserve"> </v>
      </c>
      <c r="R111" s="23" t="e">
        <f>VLOOKUP(X111,LPN!$A:$F,3,0)</f>
        <v>#N/A</v>
      </c>
      <c r="S111" s="26" t="str">
        <f>IF(Merge2!X123="CRS","Maintenance, TBS, Repair, CRS","Maintenance, TBS, Repair")</f>
        <v>Maintenance, TBS, Repair</v>
      </c>
      <c r="T111" s="32">
        <f t="shared" si="7"/>
        <v>0.17741935483870969</v>
      </c>
      <c r="U111" s="29">
        <f>Merge2!R123</f>
        <v>0</v>
      </c>
      <c r="V111" s="30"/>
      <c r="X111" s="6">
        <f>Merge2!P123</f>
        <v>0</v>
      </c>
      <c r="AA111" s="6">
        <f t="shared" si="8"/>
        <v>62</v>
      </c>
      <c r="AB111" s="31">
        <f t="shared" si="9"/>
        <v>0.17741935483870969</v>
      </c>
    </row>
    <row r="112" spans="1:28" ht="16.5" x14ac:dyDescent="0.2">
      <c r="A112" s="22">
        <f>Merge2!H124</f>
        <v>0</v>
      </c>
      <c r="B112" s="23" t="s">
        <v>2564</v>
      </c>
      <c r="C112" s="24">
        <f>Merge2!S124</f>
        <v>0</v>
      </c>
      <c r="D112" s="24">
        <f>Merge2!Q124</f>
        <v>0</v>
      </c>
      <c r="E112" s="25" t="e">
        <f>VLOOKUP(X112,LPN!$A:$D,4,0)</f>
        <v>#N/A</v>
      </c>
      <c r="F112" s="26" t="s">
        <v>2565</v>
      </c>
      <c r="G112" s="27" t="s">
        <v>2566</v>
      </c>
      <c r="H112" s="27"/>
      <c r="I112" s="28"/>
      <c r="J112" s="28" t="s">
        <v>2566</v>
      </c>
      <c r="K112" s="27"/>
      <c r="L112" s="27" t="s">
        <v>2566</v>
      </c>
      <c r="M112" s="27" t="s">
        <v>2566</v>
      </c>
      <c r="N112" s="28"/>
      <c r="O112" s="27" t="s">
        <v>2566</v>
      </c>
      <c r="P112" s="28"/>
      <c r="Q112" s="27" t="str">
        <f>IF(Merge2!X124="CRS","X"," ")</f>
        <v xml:space="preserve"> </v>
      </c>
      <c r="R112" s="23" t="e">
        <f>VLOOKUP(X112,LPN!$A:$F,3,0)</f>
        <v>#N/A</v>
      </c>
      <c r="S112" s="26" t="str">
        <f>IF(Merge2!X124="CRS","Maintenance, TBS, Repair, CRS","Maintenance, TBS, Repair")</f>
        <v>Maintenance, TBS, Repair</v>
      </c>
      <c r="T112" s="32">
        <f t="shared" si="7"/>
        <v>0.17741935483870969</v>
      </c>
      <c r="U112" s="29">
        <f>Merge2!R124</f>
        <v>0</v>
      </c>
      <c r="V112" s="30"/>
      <c r="X112" s="6">
        <f>Merge2!P124</f>
        <v>0</v>
      </c>
      <c r="AA112" s="6">
        <f t="shared" si="8"/>
        <v>62</v>
      </c>
      <c r="AB112" s="31">
        <f t="shared" si="9"/>
        <v>0.17741935483870969</v>
      </c>
    </row>
    <row r="113" spans="1:28" ht="16.5" x14ac:dyDescent="0.2">
      <c r="A113" s="22">
        <f>Merge2!H125</f>
        <v>0</v>
      </c>
      <c r="B113" s="23" t="s">
        <v>2564</v>
      </c>
      <c r="C113" s="24">
        <f>Merge2!S125</f>
        <v>0</v>
      </c>
      <c r="D113" s="24">
        <f>Merge2!Q125</f>
        <v>0</v>
      </c>
      <c r="E113" s="25" t="e">
        <f>VLOOKUP(X113,LPN!$A:$D,4,0)</f>
        <v>#N/A</v>
      </c>
      <c r="F113" s="26" t="s">
        <v>2565</v>
      </c>
      <c r="G113" s="27" t="s">
        <v>2566</v>
      </c>
      <c r="H113" s="27"/>
      <c r="I113" s="28"/>
      <c r="J113" s="28" t="s">
        <v>2566</v>
      </c>
      <c r="K113" s="27"/>
      <c r="L113" s="27" t="s">
        <v>2566</v>
      </c>
      <c r="M113" s="27" t="s">
        <v>2566</v>
      </c>
      <c r="N113" s="28"/>
      <c r="O113" s="27" t="s">
        <v>2566</v>
      </c>
      <c r="P113" s="28"/>
      <c r="Q113" s="27" t="str">
        <f>IF(Merge2!X125="CRS","X"," ")</f>
        <v xml:space="preserve"> </v>
      </c>
      <c r="R113" s="23" t="e">
        <f>VLOOKUP(X113,LPN!$A:$F,3,0)</f>
        <v>#N/A</v>
      </c>
      <c r="S113" s="26" t="str">
        <f>IF(Merge2!X125="CRS","Maintenance, TBS, Repair, CRS","Maintenance, TBS, Repair")</f>
        <v>Maintenance, TBS, Repair</v>
      </c>
      <c r="T113" s="32">
        <f t="shared" si="7"/>
        <v>0.17741935483870969</v>
      </c>
      <c r="U113" s="29">
        <f>Merge2!R125</f>
        <v>0</v>
      </c>
      <c r="V113" s="30"/>
      <c r="X113" s="6">
        <f>Merge2!P125</f>
        <v>0</v>
      </c>
      <c r="AA113" s="6">
        <f t="shared" si="8"/>
        <v>62</v>
      </c>
      <c r="AB113" s="31">
        <f t="shared" si="9"/>
        <v>0.17741935483870969</v>
      </c>
    </row>
    <row r="114" spans="1:28" ht="16.5" x14ac:dyDescent="0.2">
      <c r="A114" s="22">
        <f>Merge2!H126</f>
        <v>0</v>
      </c>
      <c r="B114" s="23" t="s">
        <v>2564</v>
      </c>
      <c r="C114" s="24">
        <f>Merge2!S126</f>
        <v>0</v>
      </c>
      <c r="D114" s="24">
        <f>Merge2!Q126</f>
        <v>0</v>
      </c>
      <c r="E114" s="25" t="e">
        <f>VLOOKUP(X114,LPN!$A:$D,4,0)</f>
        <v>#N/A</v>
      </c>
      <c r="F114" s="26" t="s">
        <v>2565</v>
      </c>
      <c r="G114" s="27" t="s">
        <v>2566</v>
      </c>
      <c r="H114" s="27"/>
      <c r="I114" s="28"/>
      <c r="J114" s="28" t="s">
        <v>2566</v>
      </c>
      <c r="K114" s="27"/>
      <c r="L114" s="27" t="s">
        <v>2566</v>
      </c>
      <c r="M114" s="27" t="s">
        <v>2566</v>
      </c>
      <c r="N114" s="28"/>
      <c r="O114" s="27" t="s">
        <v>2566</v>
      </c>
      <c r="P114" s="28"/>
      <c r="Q114" s="27" t="str">
        <f>IF(Merge2!X126="CRS","X"," ")</f>
        <v xml:space="preserve"> </v>
      </c>
      <c r="R114" s="23" t="e">
        <f>VLOOKUP(X114,LPN!$A:$F,3,0)</f>
        <v>#N/A</v>
      </c>
      <c r="S114" s="26" t="str">
        <f>IF(Merge2!X126="CRS","Maintenance, TBS, Repair, CRS","Maintenance, TBS, Repair")</f>
        <v>Maintenance, TBS, Repair</v>
      </c>
      <c r="T114" s="32">
        <f t="shared" si="7"/>
        <v>0.17741935483870969</v>
      </c>
      <c r="U114" s="29">
        <f>Merge2!R126</f>
        <v>0</v>
      </c>
      <c r="V114" s="30"/>
      <c r="X114" s="6">
        <f>Merge2!P126</f>
        <v>0</v>
      </c>
      <c r="AA114" s="6">
        <f t="shared" si="8"/>
        <v>62</v>
      </c>
      <c r="AB114" s="31">
        <f t="shared" si="9"/>
        <v>0.17741935483870969</v>
      </c>
    </row>
    <row r="115" spans="1:28" ht="16.5" x14ac:dyDescent="0.2">
      <c r="A115" s="22">
        <f>Merge2!H127</f>
        <v>0</v>
      </c>
      <c r="B115" s="23" t="s">
        <v>2564</v>
      </c>
      <c r="C115" s="24">
        <f>Merge2!S127</f>
        <v>0</v>
      </c>
      <c r="D115" s="24">
        <f>Merge2!Q127</f>
        <v>0</v>
      </c>
      <c r="E115" s="25" t="e">
        <f>VLOOKUP(X115,LPN!$A:$D,4,0)</f>
        <v>#N/A</v>
      </c>
      <c r="F115" s="26" t="s">
        <v>2565</v>
      </c>
      <c r="G115" s="27" t="s">
        <v>2566</v>
      </c>
      <c r="H115" s="27"/>
      <c r="I115" s="28"/>
      <c r="J115" s="28" t="s">
        <v>2566</v>
      </c>
      <c r="K115" s="27"/>
      <c r="L115" s="27" t="s">
        <v>2566</v>
      </c>
      <c r="M115" s="27" t="s">
        <v>2566</v>
      </c>
      <c r="N115" s="28"/>
      <c r="O115" s="27" t="s">
        <v>2566</v>
      </c>
      <c r="P115" s="28"/>
      <c r="Q115" s="27" t="str">
        <f>IF(Merge2!X127="CRS","X"," ")</f>
        <v xml:space="preserve"> </v>
      </c>
      <c r="R115" s="23" t="e">
        <f>VLOOKUP(X115,LPN!$A:$F,3,0)</f>
        <v>#N/A</v>
      </c>
      <c r="S115" s="26" t="str">
        <f>IF(Merge2!X127="CRS","Maintenance, TBS, Repair, CRS","Maintenance, TBS, Repair")</f>
        <v>Maintenance, TBS, Repair</v>
      </c>
      <c r="T115" s="32">
        <f t="shared" si="7"/>
        <v>0.17741935483870969</v>
      </c>
      <c r="U115" s="29">
        <f>Merge2!R127</f>
        <v>0</v>
      </c>
      <c r="V115" s="30"/>
      <c r="X115" s="6">
        <f>Merge2!P127</f>
        <v>0</v>
      </c>
      <c r="AA115" s="6">
        <f t="shared" si="8"/>
        <v>62</v>
      </c>
      <c r="AB115" s="31">
        <f t="shared" si="9"/>
        <v>0.17741935483870969</v>
      </c>
    </row>
    <row r="116" spans="1:28" ht="16.5" x14ac:dyDescent="0.2">
      <c r="A116" s="22">
        <f>Merge2!H128</f>
        <v>0</v>
      </c>
      <c r="B116" s="23" t="s">
        <v>2564</v>
      </c>
      <c r="C116" s="24">
        <f>Merge2!S128</f>
        <v>0</v>
      </c>
      <c r="D116" s="24">
        <f>Merge2!Q128</f>
        <v>0</v>
      </c>
      <c r="E116" s="25" t="e">
        <f>VLOOKUP(X116,LPN!$A:$D,4,0)</f>
        <v>#N/A</v>
      </c>
      <c r="F116" s="26" t="s">
        <v>2565</v>
      </c>
      <c r="G116" s="27" t="s">
        <v>2566</v>
      </c>
      <c r="H116" s="27"/>
      <c r="I116" s="28"/>
      <c r="J116" s="28" t="s">
        <v>2566</v>
      </c>
      <c r="K116" s="27"/>
      <c r="L116" s="27" t="s">
        <v>2566</v>
      </c>
      <c r="M116" s="27" t="s">
        <v>2566</v>
      </c>
      <c r="N116" s="28"/>
      <c r="O116" s="27" t="s">
        <v>2566</v>
      </c>
      <c r="P116" s="28"/>
      <c r="Q116" s="27" t="str">
        <f>IF(Merge2!X128="CRS","X"," ")</f>
        <v xml:space="preserve"> </v>
      </c>
      <c r="R116" s="23" t="e">
        <f>VLOOKUP(X116,LPN!$A:$F,3,0)</f>
        <v>#N/A</v>
      </c>
      <c r="S116" s="26" t="str">
        <f>IF(Merge2!X128="CRS","Maintenance, TBS, Repair, CRS","Maintenance, TBS, Repair")</f>
        <v>Maintenance, TBS, Repair</v>
      </c>
      <c r="T116" s="32">
        <f t="shared" si="7"/>
        <v>0.17741935483870969</v>
      </c>
      <c r="U116" s="29">
        <f>Merge2!R128</f>
        <v>0</v>
      </c>
      <c r="V116" s="30"/>
      <c r="X116" s="6">
        <f>Merge2!P128</f>
        <v>0</v>
      </c>
      <c r="AA116" s="6">
        <f t="shared" si="8"/>
        <v>62</v>
      </c>
      <c r="AB116" s="31">
        <f t="shared" si="9"/>
        <v>0.17741935483870969</v>
      </c>
    </row>
    <row r="117" spans="1:28" ht="16.5" x14ac:dyDescent="0.2">
      <c r="A117" s="22">
        <f>Merge2!H129</f>
        <v>0</v>
      </c>
      <c r="B117" s="23" t="s">
        <v>2564</v>
      </c>
      <c r="C117" s="24">
        <f>Merge2!S129</f>
        <v>0</v>
      </c>
      <c r="D117" s="24">
        <f>Merge2!Q129</f>
        <v>0</v>
      </c>
      <c r="E117" s="25" t="e">
        <f>VLOOKUP(X117,LPN!$A:$D,4,0)</f>
        <v>#N/A</v>
      </c>
      <c r="F117" s="26" t="s">
        <v>2565</v>
      </c>
      <c r="G117" s="27" t="s">
        <v>2566</v>
      </c>
      <c r="H117" s="27"/>
      <c r="I117" s="28"/>
      <c r="J117" s="28" t="s">
        <v>2566</v>
      </c>
      <c r="K117" s="27"/>
      <c r="L117" s="27" t="s">
        <v>2566</v>
      </c>
      <c r="M117" s="27" t="s">
        <v>2566</v>
      </c>
      <c r="N117" s="28"/>
      <c r="O117" s="27" t="s">
        <v>2566</v>
      </c>
      <c r="P117" s="28"/>
      <c r="Q117" s="27" t="str">
        <f>IF(Merge2!X129="CRS","X"," ")</f>
        <v xml:space="preserve"> </v>
      </c>
      <c r="R117" s="23" t="e">
        <f>VLOOKUP(X117,LPN!$A:$F,3,0)</f>
        <v>#N/A</v>
      </c>
      <c r="S117" s="26" t="str">
        <f>IF(Merge2!X129="CRS","Maintenance, TBS, Repair, CRS","Maintenance, TBS, Repair")</f>
        <v>Maintenance, TBS, Repair</v>
      </c>
      <c r="T117" s="32">
        <f t="shared" si="7"/>
        <v>0.17741935483870969</v>
      </c>
      <c r="U117" s="29">
        <f>Merge2!R129</f>
        <v>0</v>
      </c>
      <c r="V117" s="30"/>
      <c r="X117" s="6">
        <f>Merge2!P129</f>
        <v>0</v>
      </c>
      <c r="AA117" s="6">
        <f t="shared" si="8"/>
        <v>62</v>
      </c>
      <c r="AB117" s="31">
        <f t="shared" si="9"/>
        <v>0.17741935483870969</v>
      </c>
    </row>
    <row r="118" spans="1:28" ht="16.5" x14ac:dyDescent="0.2">
      <c r="A118" s="22">
        <f>Merge2!H130</f>
        <v>0</v>
      </c>
      <c r="B118" s="23" t="s">
        <v>2564</v>
      </c>
      <c r="C118" s="24">
        <f>Merge2!S130</f>
        <v>0</v>
      </c>
      <c r="D118" s="24">
        <f>Merge2!Q130</f>
        <v>0</v>
      </c>
      <c r="E118" s="25" t="e">
        <f>VLOOKUP(X118,LPN!$A:$D,4,0)</f>
        <v>#N/A</v>
      </c>
      <c r="F118" s="26" t="s">
        <v>2565</v>
      </c>
      <c r="G118" s="27" t="s">
        <v>2566</v>
      </c>
      <c r="H118" s="27"/>
      <c r="I118" s="28"/>
      <c r="J118" s="28" t="s">
        <v>2566</v>
      </c>
      <c r="K118" s="27"/>
      <c r="L118" s="27" t="s">
        <v>2566</v>
      </c>
      <c r="M118" s="27" t="s">
        <v>2566</v>
      </c>
      <c r="N118" s="28"/>
      <c r="O118" s="27" t="s">
        <v>2566</v>
      </c>
      <c r="P118" s="28"/>
      <c r="Q118" s="27" t="str">
        <f>IF(Merge2!X130="CRS","X"," ")</f>
        <v xml:space="preserve"> </v>
      </c>
      <c r="R118" s="23" t="e">
        <f>VLOOKUP(X118,LPN!$A:$F,3,0)</f>
        <v>#N/A</v>
      </c>
      <c r="S118" s="26" t="str">
        <f>IF(Merge2!X130="CRS","Maintenance, TBS, Repair, CRS","Maintenance, TBS, Repair")</f>
        <v>Maintenance, TBS, Repair</v>
      </c>
      <c r="T118" s="32">
        <f t="shared" si="7"/>
        <v>0.17741935483870969</v>
      </c>
      <c r="U118" s="29">
        <f>Merge2!R130</f>
        <v>0</v>
      </c>
      <c r="V118" s="30"/>
      <c r="X118" s="6">
        <f>Merge2!P130</f>
        <v>0</v>
      </c>
      <c r="AA118" s="6">
        <f t="shared" si="8"/>
        <v>62</v>
      </c>
      <c r="AB118" s="31">
        <f t="shared" si="9"/>
        <v>0.17741935483870969</v>
      </c>
    </row>
    <row r="119" spans="1:28" ht="16.5" x14ac:dyDescent="0.2">
      <c r="A119" s="22">
        <f>Merge2!H131</f>
        <v>0</v>
      </c>
      <c r="B119" s="23" t="s">
        <v>2564</v>
      </c>
      <c r="C119" s="24">
        <f>Merge2!S131</f>
        <v>0</v>
      </c>
      <c r="D119" s="24">
        <f>Merge2!Q131</f>
        <v>0</v>
      </c>
      <c r="E119" s="25" t="e">
        <f>VLOOKUP(X119,LPN!$A:$D,4,0)</f>
        <v>#N/A</v>
      </c>
      <c r="F119" s="26" t="s">
        <v>2565</v>
      </c>
      <c r="G119" s="27" t="s">
        <v>2566</v>
      </c>
      <c r="H119" s="27"/>
      <c r="I119" s="28"/>
      <c r="J119" s="28" t="s">
        <v>2566</v>
      </c>
      <c r="K119" s="27"/>
      <c r="L119" s="27" t="s">
        <v>2566</v>
      </c>
      <c r="M119" s="27" t="s">
        <v>2566</v>
      </c>
      <c r="N119" s="28"/>
      <c r="O119" s="27" t="s">
        <v>2566</v>
      </c>
      <c r="P119" s="28"/>
      <c r="Q119" s="27" t="str">
        <f>IF(Merge2!X131="CRS","X"," ")</f>
        <v xml:space="preserve"> </v>
      </c>
      <c r="R119" s="23" t="e">
        <f>VLOOKUP(X119,LPN!$A:$F,3,0)</f>
        <v>#N/A</v>
      </c>
      <c r="S119" s="26" t="str">
        <f>IF(Merge2!X131="CRS","Maintenance, TBS, Repair, CRS","Maintenance, TBS, Repair")</f>
        <v>Maintenance, TBS, Repair</v>
      </c>
      <c r="T119" s="32">
        <f t="shared" si="7"/>
        <v>0.17741935483870969</v>
      </c>
      <c r="U119" s="29">
        <f>Merge2!R131</f>
        <v>0</v>
      </c>
      <c r="V119" s="30"/>
      <c r="X119" s="6">
        <f>Merge2!P131</f>
        <v>0</v>
      </c>
      <c r="AA119" s="6">
        <f t="shared" si="8"/>
        <v>62</v>
      </c>
      <c r="AB119" s="31">
        <f t="shared" si="9"/>
        <v>0.17741935483870969</v>
      </c>
    </row>
    <row r="120" spans="1:28" ht="16.5" x14ac:dyDescent="0.2">
      <c r="A120" s="22">
        <f>Merge2!H132</f>
        <v>0</v>
      </c>
      <c r="B120" s="23" t="s">
        <v>2564</v>
      </c>
      <c r="C120" s="24">
        <f>Merge2!S132</f>
        <v>0</v>
      </c>
      <c r="D120" s="24">
        <f>Merge2!Q132</f>
        <v>0</v>
      </c>
      <c r="E120" s="25" t="e">
        <f>VLOOKUP(X120,LPN!$A:$D,4,0)</f>
        <v>#N/A</v>
      </c>
      <c r="F120" s="26" t="s">
        <v>2565</v>
      </c>
      <c r="G120" s="27" t="s">
        <v>2566</v>
      </c>
      <c r="H120" s="27"/>
      <c r="I120" s="28"/>
      <c r="J120" s="28" t="s">
        <v>2566</v>
      </c>
      <c r="K120" s="27"/>
      <c r="L120" s="27" t="s">
        <v>2566</v>
      </c>
      <c r="M120" s="27" t="s">
        <v>2566</v>
      </c>
      <c r="N120" s="28"/>
      <c r="O120" s="27" t="s">
        <v>2566</v>
      </c>
      <c r="P120" s="28"/>
      <c r="Q120" s="27" t="str">
        <f>IF(Merge2!X132="CRS","X"," ")</f>
        <v xml:space="preserve"> </v>
      </c>
      <c r="R120" s="23" t="e">
        <f>VLOOKUP(X120,LPN!$A:$F,3,0)</f>
        <v>#N/A</v>
      </c>
      <c r="S120" s="26" t="str">
        <f>IF(Merge2!X132="CRS","Maintenance, TBS, Repair, CRS","Maintenance, TBS, Repair")</f>
        <v>Maintenance, TBS, Repair</v>
      </c>
      <c r="T120" s="32">
        <f t="shared" si="7"/>
        <v>0.17741935483870969</v>
      </c>
      <c r="U120" s="29">
        <f>Merge2!R132</f>
        <v>0</v>
      </c>
      <c r="V120" s="30"/>
      <c r="X120" s="6">
        <f>Merge2!P132</f>
        <v>0</v>
      </c>
      <c r="AA120" s="6">
        <f t="shared" si="8"/>
        <v>62</v>
      </c>
      <c r="AB120" s="31">
        <f t="shared" si="9"/>
        <v>0.17741935483870969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85"/>
  <sheetViews>
    <sheetView workbookViewId="0">
      <selection sqref="A1:AC85"/>
    </sheetView>
  </sheetViews>
  <sheetFormatPr defaultRowHeight="15" x14ac:dyDescent="0.25"/>
  <cols>
    <col min="1" max="1" width="14" bestFit="1" customWidth="1"/>
    <col min="2" max="4" width="11.140625" bestFit="1" customWidth="1"/>
    <col min="5" max="5" width="20" bestFit="1" customWidth="1"/>
    <col min="6" max="6" width="11.140625" bestFit="1" customWidth="1"/>
    <col min="7" max="7" width="12" bestFit="1" customWidth="1"/>
    <col min="8" max="8" width="11.140625" bestFit="1" customWidth="1"/>
    <col min="9" max="9" width="19.85546875" bestFit="1" customWidth="1"/>
    <col min="10" max="10" width="23" bestFit="1" customWidth="1"/>
    <col min="11" max="12" width="12.140625" bestFit="1" customWidth="1"/>
    <col min="13" max="13" width="84.7109375" bestFit="1" customWidth="1"/>
    <col min="14" max="14" width="12.140625" bestFit="1" customWidth="1"/>
    <col min="15" max="15" width="23" bestFit="1" customWidth="1"/>
    <col min="16" max="20" width="12.140625" bestFit="1" customWidth="1"/>
    <col min="21" max="21" width="17.28515625" bestFit="1" customWidth="1"/>
    <col min="22" max="22" width="43.7109375" bestFit="1" customWidth="1"/>
    <col min="23" max="29" width="12.140625" bestFit="1" customWidth="1"/>
  </cols>
  <sheetData>
    <row r="1" spans="1:29" x14ac:dyDescent="0.25">
      <c r="A1" s="2" t="s">
        <v>431</v>
      </c>
      <c r="B1" s="2" t="s">
        <v>432</v>
      </c>
      <c r="C1" s="2" t="s">
        <v>433</v>
      </c>
      <c r="D1" s="2" t="s">
        <v>434</v>
      </c>
      <c r="E1" s="2" t="s">
        <v>435</v>
      </c>
      <c r="F1" s="2" t="s">
        <v>436</v>
      </c>
      <c r="G1" s="2" t="s">
        <v>437</v>
      </c>
      <c r="H1" s="2" t="s">
        <v>438</v>
      </c>
      <c r="I1" s="2" t="s">
        <v>439</v>
      </c>
      <c r="J1" s="2" t="s">
        <v>440</v>
      </c>
      <c r="K1" s="2" t="s">
        <v>441</v>
      </c>
      <c r="L1" s="2" t="s">
        <v>442</v>
      </c>
      <c r="M1" s="2" t="s">
        <v>443</v>
      </c>
      <c r="N1" s="2" t="s">
        <v>444</v>
      </c>
      <c r="O1" s="2" t="s">
        <v>445</v>
      </c>
      <c r="P1" s="2" t="s">
        <v>446</v>
      </c>
      <c r="Q1" s="2" t="s">
        <v>447</v>
      </c>
      <c r="R1" s="2" t="s">
        <v>448</v>
      </c>
      <c r="S1" s="2" t="s">
        <v>449</v>
      </c>
      <c r="T1" s="2" t="s">
        <v>450</v>
      </c>
      <c r="U1" s="2" t="s">
        <v>451</v>
      </c>
      <c r="V1" s="2" t="s">
        <v>452</v>
      </c>
      <c r="W1" s="2" t="s">
        <v>453</v>
      </c>
      <c r="X1" s="2" t="s">
        <v>454</v>
      </c>
      <c r="Y1" s="2" t="s">
        <v>455</v>
      </c>
      <c r="Z1" s="2" t="s">
        <v>456</v>
      </c>
      <c r="AA1" s="2" t="s">
        <v>457</v>
      </c>
      <c r="AB1" s="2" t="s">
        <v>458</v>
      </c>
      <c r="AC1" s="2" t="s">
        <v>459</v>
      </c>
    </row>
    <row r="2" spans="1:29" x14ac:dyDescent="0.25">
      <c r="A2" s="2" t="s">
        <v>15</v>
      </c>
      <c r="B2" s="2" t="b">
        <v>0</v>
      </c>
      <c r="C2" s="2" t="s">
        <v>2571</v>
      </c>
      <c r="D2" s="2" t="s">
        <v>2572</v>
      </c>
      <c r="E2" s="2" t="s">
        <v>2573</v>
      </c>
      <c r="F2" s="2">
        <v>44213</v>
      </c>
      <c r="G2" s="2">
        <v>0.15138888888888888</v>
      </c>
      <c r="H2" s="2">
        <v>44213</v>
      </c>
      <c r="I2" s="2" t="s">
        <v>2578</v>
      </c>
      <c r="J2" s="2" t="s">
        <v>598</v>
      </c>
      <c r="K2" s="2" t="s">
        <v>38</v>
      </c>
      <c r="L2" s="2" t="s">
        <v>585</v>
      </c>
      <c r="M2" s="2" t="s">
        <v>2579</v>
      </c>
      <c r="N2" s="2" t="s">
        <v>1</v>
      </c>
      <c r="O2" s="2" t="s">
        <v>598</v>
      </c>
      <c r="P2" s="2">
        <v>1</v>
      </c>
      <c r="Q2" s="2" t="s">
        <v>1</v>
      </c>
      <c r="R2" s="2" t="s">
        <v>1</v>
      </c>
      <c r="S2" s="2" t="s">
        <v>1</v>
      </c>
      <c r="T2" s="2" t="s">
        <v>173</v>
      </c>
      <c r="U2" s="2" t="s">
        <v>75</v>
      </c>
      <c r="V2" s="2" t="s">
        <v>43</v>
      </c>
      <c r="W2" s="2" t="s">
        <v>1</v>
      </c>
      <c r="X2" s="2" t="s">
        <v>1</v>
      </c>
      <c r="Y2" s="2" t="s">
        <v>1</v>
      </c>
      <c r="Z2" s="2" t="s">
        <v>1</v>
      </c>
      <c r="AA2" s="2" t="s">
        <v>1</v>
      </c>
      <c r="AB2" s="2" t="s">
        <v>1</v>
      </c>
      <c r="AC2" s="2" t="s">
        <v>1</v>
      </c>
    </row>
    <row r="3" spans="1:29" x14ac:dyDescent="0.25">
      <c r="A3" s="2" t="s">
        <v>29</v>
      </c>
      <c r="B3" s="2" t="b">
        <v>0</v>
      </c>
      <c r="C3" s="2" t="s">
        <v>2571</v>
      </c>
      <c r="D3" s="2" t="s">
        <v>2572</v>
      </c>
      <c r="E3" s="2" t="s">
        <v>2573</v>
      </c>
      <c r="F3" s="2">
        <v>44242</v>
      </c>
      <c r="G3" s="2">
        <v>0.25972222222222224</v>
      </c>
      <c r="H3" s="2">
        <v>44242</v>
      </c>
      <c r="I3" s="2" t="s">
        <v>2580</v>
      </c>
      <c r="J3" s="2" t="s">
        <v>601</v>
      </c>
      <c r="K3" s="2" t="s">
        <v>38</v>
      </c>
      <c r="L3" s="2" t="s">
        <v>585</v>
      </c>
      <c r="M3" s="2" t="s">
        <v>2581</v>
      </c>
      <c r="N3" s="2" t="s">
        <v>1</v>
      </c>
      <c r="O3" s="2" t="s">
        <v>601</v>
      </c>
      <c r="P3" s="2">
        <v>1</v>
      </c>
      <c r="Q3" s="2" t="s">
        <v>1</v>
      </c>
      <c r="R3" s="2" t="s">
        <v>1</v>
      </c>
      <c r="S3" s="2" t="s">
        <v>1</v>
      </c>
      <c r="T3" s="2" t="s">
        <v>251</v>
      </c>
      <c r="U3" s="2" t="s">
        <v>100</v>
      </c>
      <c r="V3" s="2" t="s">
        <v>101</v>
      </c>
      <c r="W3" s="2" t="s">
        <v>1</v>
      </c>
      <c r="X3" s="2" t="s">
        <v>1</v>
      </c>
      <c r="Y3" s="2" t="s">
        <v>1</v>
      </c>
      <c r="Z3" s="2" t="s">
        <v>1</v>
      </c>
      <c r="AA3" s="2" t="s">
        <v>1</v>
      </c>
      <c r="AB3" s="2" t="s">
        <v>1</v>
      </c>
      <c r="AC3" s="2" t="s">
        <v>1</v>
      </c>
    </row>
    <row r="4" spans="1:29" x14ac:dyDescent="0.25">
      <c r="A4" s="2" t="s">
        <v>29</v>
      </c>
      <c r="B4" s="2" t="b">
        <v>0</v>
      </c>
      <c r="C4" s="2" t="s">
        <v>2571</v>
      </c>
      <c r="D4" s="2" t="s">
        <v>2572</v>
      </c>
      <c r="E4" s="2" t="s">
        <v>2573</v>
      </c>
      <c r="F4" s="2">
        <v>44242</v>
      </c>
      <c r="G4" s="2">
        <v>9.2361111111111116E-2</v>
      </c>
      <c r="H4" s="2">
        <v>44242</v>
      </c>
      <c r="I4" s="2" t="s">
        <v>2583</v>
      </c>
      <c r="J4" s="2" t="s">
        <v>588</v>
      </c>
      <c r="K4" s="2" t="s">
        <v>19</v>
      </c>
      <c r="L4" s="2" t="s">
        <v>585</v>
      </c>
      <c r="M4" s="2" t="s">
        <v>2584</v>
      </c>
      <c r="N4" s="2" t="s">
        <v>1</v>
      </c>
      <c r="O4" s="2" t="s">
        <v>588</v>
      </c>
      <c r="P4" s="2">
        <v>1</v>
      </c>
      <c r="Q4" s="2" t="s">
        <v>1</v>
      </c>
      <c r="R4" s="2" t="s">
        <v>1</v>
      </c>
      <c r="S4" s="2" t="s">
        <v>1</v>
      </c>
      <c r="T4" s="2" t="s">
        <v>251</v>
      </c>
      <c r="U4" s="2" t="s">
        <v>100</v>
      </c>
      <c r="V4" s="2" t="s">
        <v>101</v>
      </c>
      <c r="W4" s="2" t="s">
        <v>1</v>
      </c>
      <c r="X4" s="2" t="s">
        <v>1</v>
      </c>
      <c r="Y4" s="2" t="s">
        <v>1</v>
      </c>
      <c r="Z4" s="2" t="s">
        <v>1</v>
      </c>
      <c r="AA4" s="2" t="s">
        <v>1</v>
      </c>
      <c r="AB4" s="2" t="s">
        <v>1</v>
      </c>
      <c r="AC4" s="2" t="s">
        <v>1</v>
      </c>
    </row>
    <row r="5" spans="1:29" x14ac:dyDescent="0.25">
      <c r="A5" s="2" t="s">
        <v>29</v>
      </c>
      <c r="B5" s="2" t="b">
        <v>0</v>
      </c>
      <c r="C5" s="2" t="s">
        <v>2571</v>
      </c>
      <c r="D5" s="2" t="s">
        <v>2572</v>
      </c>
      <c r="E5" s="2" t="s">
        <v>2573</v>
      </c>
      <c r="F5" s="2">
        <v>44241</v>
      </c>
      <c r="G5" s="2">
        <v>0.23819444444444443</v>
      </c>
      <c r="H5" s="2">
        <v>44241</v>
      </c>
      <c r="I5" s="2" t="s">
        <v>2585</v>
      </c>
      <c r="J5" s="2" t="s">
        <v>586</v>
      </c>
      <c r="K5" s="2" t="s">
        <v>19</v>
      </c>
      <c r="L5" s="2" t="s">
        <v>585</v>
      </c>
      <c r="M5" s="2" t="s">
        <v>2586</v>
      </c>
      <c r="N5" s="2" t="s">
        <v>1</v>
      </c>
      <c r="O5" s="2" t="s">
        <v>586</v>
      </c>
      <c r="P5" s="2">
        <v>1</v>
      </c>
      <c r="Q5" s="2" t="s">
        <v>1</v>
      </c>
      <c r="R5" s="2" t="s">
        <v>1</v>
      </c>
      <c r="S5" s="2" t="s">
        <v>1</v>
      </c>
      <c r="T5" s="2" t="s">
        <v>198</v>
      </c>
      <c r="U5" s="2" t="s">
        <v>100</v>
      </c>
      <c r="V5" s="2" t="s">
        <v>101</v>
      </c>
      <c r="W5" s="2" t="s">
        <v>1</v>
      </c>
      <c r="X5" s="2" t="s">
        <v>1</v>
      </c>
      <c r="Y5" s="2" t="s">
        <v>1</v>
      </c>
      <c r="Z5" s="2" t="s">
        <v>1</v>
      </c>
      <c r="AA5" s="2" t="s">
        <v>1</v>
      </c>
      <c r="AB5" s="2" t="s">
        <v>1</v>
      </c>
      <c r="AC5" s="2" t="s">
        <v>1</v>
      </c>
    </row>
    <row r="6" spans="1:29" x14ac:dyDescent="0.25">
      <c r="A6" s="2" t="s">
        <v>29</v>
      </c>
      <c r="B6" s="2" t="b">
        <v>0</v>
      </c>
      <c r="C6" s="2" t="s">
        <v>2571</v>
      </c>
      <c r="D6" s="2" t="s">
        <v>2572</v>
      </c>
      <c r="E6" s="2" t="s">
        <v>2573</v>
      </c>
      <c r="F6" s="2">
        <v>44221</v>
      </c>
      <c r="G6" s="2">
        <v>0.27916666666666667</v>
      </c>
      <c r="H6" s="2">
        <v>44221</v>
      </c>
      <c r="I6" s="2" t="s">
        <v>2650</v>
      </c>
      <c r="J6" s="2" t="s">
        <v>587</v>
      </c>
      <c r="K6" s="2" t="s">
        <v>19</v>
      </c>
      <c r="L6" s="2" t="s">
        <v>585</v>
      </c>
      <c r="M6" s="2" t="s">
        <v>2586</v>
      </c>
      <c r="N6" s="2" t="s">
        <v>1</v>
      </c>
      <c r="O6" s="2" t="s">
        <v>587</v>
      </c>
      <c r="P6" s="2">
        <v>1</v>
      </c>
      <c r="Q6" s="2" t="s">
        <v>1</v>
      </c>
      <c r="R6" s="2" t="s">
        <v>1</v>
      </c>
      <c r="S6" s="2" t="s">
        <v>1</v>
      </c>
      <c r="T6" s="2" t="s">
        <v>198</v>
      </c>
      <c r="U6" s="2" t="s">
        <v>100</v>
      </c>
      <c r="V6" s="2" t="s">
        <v>101</v>
      </c>
      <c r="W6" s="2" t="s">
        <v>1</v>
      </c>
      <c r="X6" s="2" t="s">
        <v>1</v>
      </c>
      <c r="Y6" s="2" t="s">
        <v>1</v>
      </c>
      <c r="Z6" s="2" t="s">
        <v>1</v>
      </c>
      <c r="AA6" s="2" t="s">
        <v>1</v>
      </c>
      <c r="AB6" s="2" t="s">
        <v>1</v>
      </c>
      <c r="AC6" s="2" t="s">
        <v>1</v>
      </c>
    </row>
    <row r="7" spans="1:29" x14ac:dyDescent="0.25">
      <c r="A7" s="2" t="s">
        <v>29</v>
      </c>
      <c r="B7" s="2" t="b">
        <v>0</v>
      </c>
      <c r="C7" s="2" t="s">
        <v>2571</v>
      </c>
      <c r="D7" s="2" t="s">
        <v>2572</v>
      </c>
      <c r="E7" s="2" t="s">
        <v>2573</v>
      </c>
      <c r="F7" s="2">
        <v>44238</v>
      </c>
      <c r="G7" s="2">
        <v>0.46875</v>
      </c>
      <c r="H7" s="2">
        <v>44238</v>
      </c>
      <c r="I7" s="2" t="s">
        <v>2589</v>
      </c>
      <c r="J7" s="2" t="s">
        <v>609</v>
      </c>
      <c r="K7" s="2" t="s">
        <v>38</v>
      </c>
      <c r="L7" s="2" t="s">
        <v>585</v>
      </c>
      <c r="M7" s="2" t="s">
        <v>2590</v>
      </c>
      <c r="N7" s="2" t="s">
        <v>1</v>
      </c>
      <c r="O7" s="2" t="s">
        <v>609</v>
      </c>
      <c r="P7" s="2">
        <v>1</v>
      </c>
      <c r="Q7" s="2" t="s">
        <v>1</v>
      </c>
      <c r="R7" s="2" t="s">
        <v>1</v>
      </c>
      <c r="S7" s="2" t="s">
        <v>1</v>
      </c>
      <c r="T7" s="2" t="s">
        <v>239</v>
      </c>
      <c r="U7" s="2" t="s">
        <v>27</v>
      </c>
      <c r="V7" s="2" t="s">
        <v>28</v>
      </c>
      <c r="W7" s="2" t="s">
        <v>1</v>
      </c>
      <c r="X7" s="2" t="s">
        <v>1</v>
      </c>
      <c r="Y7" s="2" t="s">
        <v>1</v>
      </c>
      <c r="Z7" s="2" t="s">
        <v>1</v>
      </c>
      <c r="AA7" s="2" t="s">
        <v>1</v>
      </c>
      <c r="AB7" s="2" t="s">
        <v>1</v>
      </c>
      <c r="AC7" s="2" t="s">
        <v>1</v>
      </c>
    </row>
    <row r="8" spans="1:29" x14ac:dyDescent="0.25">
      <c r="A8" s="2" t="s">
        <v>29</v>
      </c>
      <c r="B8" s="2" t="b">
        <v>0</v>
      </c>
      <c r="C8" s="2" t="s">
        <v>2571</v>
      </c>
      <c r="D8" s="2" t="s">
        <v>2572</v>
      </c>
      <c r="E8" s="2" t="s">
        <v>2573</v>
      </c>
      <c r="F8" s="2">
        <v>44238</v>
      </c>
      <c r="G8" s="2">
        <v>0.23958333333333337</v>
      </c>
      <c r="H8" s="2">
        <v>44238</v>
      </c>
      <c r="I8" s="2" t="s">
        <v>2589</v>
      </c>
      <c r="J8" s="2" t="s">
        <v>587</v>
      </c>
      <c r="K8" s="2" t="s">
        <v>24</v>
      </c>
      <c r="L8" s="2" t="s">
        <v>585</v>
      </c>
      <c r="M8" s="2" t="s">
        <v>2597</v>
      </c>
      <c r="N8" s="2" t="s">
        <v>1</v>
      </c>
      <c r="O8" s="2" t="s">
        <v>587</v>
      </c>
      <c r="P8" s="2">
        <v>1</v>
      </c>
      <c r="Q8" s="2" t="s">
        <v>1</v>
      </c>
      <c r="R8" s="2" t="s">
        <v>1</v>
      </c>
      <c r="S8" s="2" t="s">
        <v>1</v>
      </c>
      <c r="T8" s="2" t="s">
        <v>239</v>
      </c>
      <c r="U8" s="2" t="s">
        <v>27</v>
      </c>
      <c r="V8" s="2" t="s">
        <v>28</v>
      </c>
      <c r="W8" s="2" t="s">
        <v>1</v>
      </c>
      <c r="X8" s="2" t="s">
        <v>1</v>
      </c>
      <c r="Y8" s="2" t="s">
        <v>1</v>
      </c>
      <c r="Z8" s="2" t="s">
        <v>1</v>
      </c>
      <c r="AA8" s="2" t="s">
        <v>1</v>
      </c>
      <c r="AB8" s="2" t="s">
        <v>1</v>
      </c>
      <c r="AC8" s="2" t="s">
        <v>1</v>
      </c>
    </row>
    <row r="9" spans="1:29" x14ac:dyDescent="0.25">
      <c r="A9" s="2" t="s">
        <v>29</v>
      </c>
      <c r="B9" s="2" t="b">
        <v>0</v>
      </c>
      <c r="C9" s="2" t="s">
        <v>2571</v>
      </c>
      <c r="D9" s="2" t="s">
        <v>2572</v>
      </c>
      <c r="E9" s="2" t="s">
        <v>2573</v>
      </c>
      <c r="F9" s="2">
        <v>44238</v>
      </c>
      <c r="G9" s="2">
        <v>0.46250000000000002</v>
      </c>
      <c r="H9" s="2">
        <v>44238</v>
      </c>
      <c r="I9" s="2" t="s">
        <v>2591</v>
      </c>
      <c r="J9" s="2" t="s">
        <v>609</v>
      </c>
      <c r="K9" s="2" t="s">
        <v>38</v>
      </c>
      <c r="L9" s="2" t="s">
        <v>585</v>
      </c>
      <c r="M9" s="2" t="s">
        <v>2592</v>
      </c>
      <c r="N9" s="2" t="s">
        <v>1</v>
      </c>
      <c r="O9" s="2" t="s">
        <v>609</v>
      </c>
      <c r="P9" s="2">
        <v>1</v>
      </c>
      <c r="Q9" s="2" t="s">
        <v>1</v>
      </c>
      <c r="R9" s="2" t="s">
        <v>1</v>
      </c>
      <c r="S9" s="2" t="s">
        <v>1</v>
      </c>
      <c r="T9" s="2" t="s">
        <v>237</v>
      </c>
      <c r="U9" s="2" t="s">
        <v>27</v>
      </c>
      <c r="V9" s="2" t="s">
        <v>28</v>
      </c>
      <c r="W9" s="2" t="s">
        <v>1</v>
      </c>
      <c r="X9" s="2" t="s">
        <v>1</v>
      </c>
      <c r="Y9" s="2" t="s">
        <v>1</v>
      </c>
      <c r="Z9" s="2" t="s">
        <v>1</v>
      </c>
      <c r="AA9" s="2" t="s">
        <v>1</v>
      </c>
      <c r="AB9" s="2" t="s">
        <v>1</v>
      </c>
      <c r="AC9" s="2" t="s">
        <v>1</v>
      </c>
    </row>
    <row r="10" spans="1:29" x14ac:dyDescent="0.25">
      <c r="A10" s="2" t="s">
        <v>29</v>
      </c>
      <c r="B10" s="2" t="b">
        <v>0</v>
      </c>
      <c r="C10" s="2" t="s">
        <v>2571</v>
      </c>
      <c r="D10" s="2" t="s">
        <v>2572</v>
      </c>
      <c r="E10" s="2" t="s">
        <v>2573</v>
      </c>
      <c r="F10" s="2">
        <v>44238</v>
      </c>
      <c r="G10" s="2">
        <v>0.2326388888888889</v>
      </c>
      <c r="H10" s="2">
        <v>44238</v>
      </c>
      <c r="I10" s="2" t="s">
        <v>2598</v>
      </c>
      <c r="J10" s="2" t="s">
        <v>587</v>
      </c>
      <c r="K10" s="2" t="s">
        <v>24</v>
      </c>
      <c r="L10" s="2" t="s">
        <v>585</v>
      </c>
      <c r="M10" s="2" t="s">
        <v>2599</v>
      </c>
      <c r="N10" s="2" t="s">
        <v>1</v>
      </c>
      <c r="O10" s="2" t="s">
        <v>587</v>
      </c>
      <c r="P10" s="2">
        <v>1</v>
      </c>
      <c r="Q10" s="2" t="s">
        <v>1</v>
      </c>
      <c r="R10" s="2" t="s">
        <v>1</v>
      </c>
      <c r="S10" s="2" t="s">
        <v>1</v>
      </c>
      <c r="T10" s="2" t="s">
        <v>237</v>
      </c>
      <c r="U10" s="2" t="s">
        <v>27</v>
      </c>
      <c r="V10" s="2" t="s">
        <v>28</v>
      </c>
      <c r="W10" s="2" t="s">
        <v>1</v>
      </c>
      <c r="X10" s="2" t="s">
        <v>1</v>
      </c>
      <c r="Y10" s="2" t="s">
        <v>1</v>
      </c>
      <c r="Z10" s="2" t="s">
        <v>1</v>
      </c>
      <c r="AA10" s="2" t="s">
        <v>1</v>
      </c>
      <c r="AB10" s="2" t="s">
        <v>1</v>
      </c>
      <c r="AC10" s="2" t="s">
        <v>1</v>
      </c>
    </row>
    <row r="11" spans="1:29" x14ac:dyDescent="0.25">
      <c r="A11" s="2" t="s">
        <v>29</v>
      </c>
      <c r="B11" s="2" t="b">
        <v>0</v>
      </c>
      <c r="C11" s="2" t="s">
        <v>2571</v>
      </c>
      <c r="D11" s="2" t="s">
        <v>2572</v>
      </c>
      <c r="E11" s="2" t="s">
        <v>2573</v>
      </c>
      <c r="F11" s="2">
        <v>44238</v>
      </c>
      <c r="G11" s="2">
        <v>0.45277777777777778</v>
      </c>
      <c r="H11" s="2">
        <v>44238</v>
      </c>
      <c r="I11" s="2" t="s">
        <v>618</v>
      </c>
      <c r="J11" s="2" t="s">
        <v>609</v>
      </c>
      <c r="K11" s="2" t="s">
        <v>38</v>
      </c>
      <c r="L11" s="2" t="s">
        <v>585</v>
      </c>
      <c r="M11" s="2" t="s">
        <v>2593</v>
      </c>
      <c r="N11" s="2" t="s">
        <v>1</v>
      </c>
      <c r="O11" s="2" t="s">
        <v>609</v>
      </c>
      <c r="P11" s="2">
        <v>1</v>
      </c>
      <c r="Q11" s="2" t="s">
        <v>1</v>
      </c>
      <c r="R11" s="2" t="s">
        <v>1</v>
      </c>
      <c r="S11" s="2" t="s">
        <v>1</v>
      </c>
      <c r="T11" s="2" t="s">
        <v>235</v>
      </c>
      <c r="U11" s="2" t="s">
        <v>27</v>
      </c>
      <c r="V11" s="2" t="s">
        <v>28</v>
      </c>
      <c r="W11" s="2" t="s">
        <v>1</v>
      </c>
      <c r="X11" s="2" t="s">
        <v>1</v>
      </c>
      <c r="Y11" s="2" t="s">
        <v>1</v>
      </c>
      <c r="Z11" s="2" t="s">
        <v>1</v>
      </c>
      <c r="AA11" s="2" t="s">
        <v>1</v>
      </c>
      <c r="AB11" s="2" t="s">
        <v>1</v>
      </c>
      <c r="AC11" s="2" t="s">
        <v>1</v>
      </c>
    </row>
    <row r="12" spans="1:29" x14ac:dyDescent="0.25">
      <c r="A12" s="2" t="s">
        <v>29</v>
      </c>
      <c r="B12" s="2" t="b">
        <v>0</v>
      </c>
      <c r="C12" s="2" t="s">
        <v>2571</v>
      </c>
      <c r="D12" s="2" t="s">
        <v>2572</v>
      </c>
      <c r="E12" s="2" t="s">
        <v>2573</v>
      </c>
      <c r="F12" s="2">
        <v>44238</v>
      </c>
      <c r="G12" s="2">
        <v>0.34791666666666665</v>
      </c>
      <c r="H12" s="2">
        <v>44238</v>
      </c>
      <c r="I12" s="2" t="s">
        <v>2594</v>
      </c>
      <c r="J12" s="2" t="s">
        <v>598</v>
      </c>
      <c r="K12" s="2" t="s">
        <v>19</v>
      </c>
      <c r="L12" s="2" t="s">
        <v>585</v>
      </c>
      <c r="M12" s="2" t="s">
        <v>2595</v>
      </c>
      <c r="N12" s="2" t="s">
        <v>1</v>
      </c>
      <c r="O12" s="2" t="s">
        <v>598</v>
      </c>
      <c r="P12" s="2">
        <v>1</v>
      </c>
      <c r="Q12" s="2" t="s">
        <v>1</v>
      </c>
      <c r="R12" s="2" t="s">
        <v>1</v>
      </c>
      <c r="S12" s="2" t="s">
        <v>1</v>
      </c>
      <c r="T12" s="2" t="s">
        <v>235</v>
      </c>
      <c r="U12" s="2" t="s">
        <v>27</v>
      </c>
      <c r="V12" s="2" t="s">
        <v>28</v>
      </c>
      <c r="W12" s="2" t="s">
        <v>1</v>
      </c>
      <c r="X12" s="2" t="s">
        <v>1</v>
      </c>
      <c r="Y12" s="2" t="s">
        <v>1</v>
      </c>
      <c r="Z12" s="2" t="s">
        <v>1</v>
      </c>
      <c r="AA12" s="2" t="s">
        <v>1</v>
      </c>
      <c r="AB12" s="2" t="s">
        <v>1</v>
      </c>
      <c r="AC12" s="2" t="s">
        <v>1</v>
      </c>
    </row>
    <row r="13" spans="1:29" x14ac:dyDescent="0.25">
      <c r="A13" s="2" t="s">
        <v>29</v>
      </c>
      <c r="B13" s="2" t="b">
        <v>0</v>
      </c>
      <c r="C13" s="2" t="s">
        <v>2571</v>
      </c>
      <c r="D13" s="2" t="s">
        <v>2572</v>
      </c>
      <c r="E13" s="2" t="s">
        <v>2573</v>
      </c>
      <c r="F13" s="2">
        <v>44218</v>
      </c>
      <c r="G13" s="2">
        <v>4.791666666666667E-2</v>
      </c>
      <c r="H13" s="2">
        <v>44218</v>
      </c>
      <c r="I13" s="2" t="s">
        <v>2665</v>
      </c>
      <c r="J13" s="2" t="s">
        <v>598</v>
      </c>
      <c r="K13" s="2" t="s">
        <v>24</v>
      </c>
      <c r="L13" s="2" t="s">
        <v>585</v>
      </c>
      <c r="M13" s="2" t="s">
        <v>2666</v>
      </c>
      <c r="N13" s="2" t="s">
        <v>1</v>
      </c>
      <c r="O13" s="2" t="s">
        <v>598</v>
      </c>
      <c r="P13" s="2">
        <v>1</v>
      </c>
      <c r="Q13" s="2" t="s">
        <v>1</v>
      </c>
      <c r="R13" s="2" t="s">
        <v>1</v>
      </c>
      <c r="S13" s="2" t="s">
        <v>1</v>
      </c>
      <c r="T13" s="2" t="s">
        <v>168</v>
      </c>
      <c r="U13" s="2" t="s">
        <v>75</v>
      </c>
      <c r="V13" s="2" t="s">
        <v>43</v>
      </c>
      <c r="W13" s="2" t="s">
        <v>1</v>
      </c>
      <c r="X13" s="2" t="s">
        <v>1</v>
      </c>
      <c r="Y13" s="2" t="s">
        <v>1</v>
      </c>
      <c r="Z13" s="2" t="s">
        <v>1</v>
      </c>
      <c r="AA13" s="2" t="s">
        <v>1</v>
      </c>
      <c r="AB13" s="2" t="s">
        <v>1</v>
      </c>
      <c r="AC13" s="2" t="s">
        <v>1</v>
      </c>
    </row>
    <row r="14" spans="1:29" x14ac:dyDescent="0.25">
      <c r="A14" s="2" t="s">
        <v>29</v>
      </c>
      <c r="B14" s="2" t="b">
        <v>0</v>
      </c>
      <c r="C14" s="2" t="s">
        <v>2571</v>
      </c>
      <c r="D14" s="2" t="s">
        <v>2572</v>
      </c>
      <c r="E14" s="2" t="s">
        <v>2573</v>
      </c>
      <c r="F14" s="2">
        <v>44218</v>
      </c>
      <c r="G14" s="2">
        <v>6.9444444444444441E-3</v>
      </c>
      <c r="H14" s="2">
        <v>44218</v>
      </c>
      <c r="I14" s="2" t="s">
        <v>2668</v>
      </c>
      <c r="J14" s="2" t="s">
        <v>590</v>
      </c>
      <c r="K14" s="2" t="s">
        <v>38</v>
      </c>
      <c r="L14" s="2" t="s">
        <v>585</v>
      </c>
      <c r="M14" s="2" t="s">
        <v>2669</v>
      </c>
      <c r="N14" s="2" t="s">
        <v>1</v>
      </c>
      <c r="O14" s="2" t="s">
        <v>590</v>
      </c>
      <c r="P14" s="2">
        <v>1</v>
      </c>
      <c r="Q14" s="2" t="s">
        <v>1</v>
      </c>
      <c r="R14" s="2" t="s">
        <v>1</v>
      </c>
      <c r="S14" s="2" t="s">
        <v>1</v>
      </c>
      <c r="T14" s="2" t="s">
        <v>168</v>
      </c>
      <c r="U14" s="2" t="s">
        <v>75</v>
      </c>
      <c r="V14" s="2" t="s">
        <v>43</v>
      </c>
      <c r="W14" s="2" t="s">
        <v>1</v>
      </c>
      <c r="X14" s="2" t="s">
        <v>1</v>
      </c>
      <c r="Y14" s="2" t="s">
        <v>1</v>
      </c>
      <c r="Z14" s="2" t="s">
        <v>1</v>
      </c>
      <c r="AA14" s="2" t="s">
        <v>1</v>
      </c>
      <c r="AB14" s="2" t="s">
        <v>1</v>
      </c>
      <c r="AC14" s="2" t="s">
        <v>1</v>
      </c>
    </row>
    <row r="15" spans="1:29" x14ac:dyDescent="0.25">
      <c r="A15" s="2" t="s">
        <v>29</v>
      </c>
      <c r="B15" s="2" t="b">
        <v>0</v>
      </c>
      <c r="C15" s="2" t="s">
        <v>2571</v>
      </c>
      <c r="D15" s="2" t="s">
        <v>2572</v>
      </c>
      <c r="E15" s="2" t="s">
        <v>2573</v>
      </c>
      <c r="F15" s="2">
        <v>44214</v>
      </c>
      <c r="G15" s="2">
        <v>0.45069444444444445</v>
      </c>
      <c r="H15" s="2">
        <v>44214</v>
      </c>
      <c r="I15" s="2" t="s">
        <v>2649</v>
      </c>
      <c r="J15" s="2" t="s">
        <v>604</v>
      </c>
      <c r="K15" s="2" t="s">
        <v>24</v>
      </c>
      <c r="L15" s="2" t="s">
        <v>585</v>
      </c>
      <c r="M15" s="2" t="s">
        <v>2666</v>
      </c>
      <c r="N15" s="2" t="s">
        <v>1</v>
      </c>
      <c r="O15" s="2" t="s">
        <v>604</v>
      </c>
      <c r="P15" s="2">
        <v>1</v>
      </c>
      <c r="Q15" s="2" t="s">
        <v>1</v>
      </c>
      <c r="R15" s="2" t="s">
        <v>1</v>
      </c>
      <c r="S15" s="2" t="s">
        <v>1</v>
      </c>
      <c r="T15" s="2" t="s">
        <v>168</v>
      </c>
      <c r="U15" s="2" t="s">
        <v>75</v>
      </c>
      <c r="V15" s="2" t="s">
        <v>43</v>
      </c>
      <c r="W15" s="2" t="s">
        <v>1</v>
      </c>
      <c r="X15" s="2" t="s">
        <v>1</v>
      </c>
      <c r="Y15" s="2" t="s">
        <v>1</v>
      </c>
      <c r="Z15" s="2" t="s">
        <v>1</v>
      </c>
      <c r="AA15" s="2" t="s">
        <v>1</v>
      </c>
      <c r="AB15" s="2" t="s">
        <v>1</v>
      </c>
      <c r="AC15" s="2" t="s">
        <v>1</v>
      </c>
    </row>
    <row r="16" spans="1:29" x14ac:dyDescent="0.25">
      <c r="A16" s="2" t="s">
        <v>29</v>
      </c>
      <c r="B16" s="2" t="b">
        <v>0</v>
      </c>
      <c r="C16" s="2" t="s">
        <v>2571</v>
      </c>
      <c r="D16" s="2" t="s">
        <v>2572</v>
      </c>
      <c r="E16" s="2" t="s">
        <v>2573</v>
      </c>
      <c r="F16" s="2">
        <v>44214</v>
      </c>
      <c r="G16" s="2">
        <v>0.40833333333333338</v>
      </c>
      <c r="H16" s="2">
        <v>44214</v>
      </c>
      <c r="I16" s="2" t="s">
        <v>2646</v>
      </c>
      <c r="J16" s="2" t="s">
        <v>586</v>
      </c>
      <c r="K16" s="2" t="s">
        <v>38</v>
      </c>
      <c r="L16" s="2" t="s">
        <v>585</v>
      </c>
      <c r="M16" s="2" t="s">
        <v>2669</v>
      </c>
      <c r="N16" s="2" t="s">
        <v>1</v>
      </c>
      <c r="O16" s="2" t="s">
        <v>586</v>
      </c>
      <c r="P16" s="2">
        <v>1</v>
      </c>
      <c r="Q16" s="2" t="s">
        <v>1</v>
      </c>
      <c r="R16" s="2" t="s">
        <v>1</v>
      </c>
      <c r="S16" s="2" t="s">
        <v>1</v>
      </c>
      <c r="T16" s="2" t="s">
        <v>168</v>
      </c>
      <c r="U16" s="2" t="s">
        <v>75</v>
      </c>
      <c r="V16" s="2" t="s">
        <v>43</v>
      </c>
      <c r="W16" s="2" t="s">
        <v>1</v>
      </c>
      <c r="X16" s="2" t="s">
        <v>1</v>
      </c>
      <c r="Y16" s="2" t="s">
        <v>1</v>
      </c>
      <c r="Z16" s="2" t="s">
        <v>1</v>
      </c>
      <c r="AA16" s="2" t="s">
        <v>1</v>
      </c>
      <c r="AB16" s="2" t="s">
        <v>1</v>
      </c>
      <c r="AC16" s="2" t="s">
        <v>1</v>
      </c>
    </row>
    <row r="17" spans="1:29" x14ac:dyDescent="0.25">
      <c r="A17" s="2" t="s">
        <v>29</v>
      </c>
      <c r="B17" s="2" t="b">
        <v>0</v>
      </c>
      <c r="C17" s="2" t="s">
        <v>2571</v>
      </c>
      <c r="D17" s="2" t="s">
        <v>2572</v>
      </c>
      <c r="E17" s="2" t="s">
        <v>2573</v>
      </c>
      <c r="F17" s="2">
        <v>44221</v>
      </c>
      <c r="G17" s="2">
        <v>0.17986111111111111</v>
      </c>
      <c r="H17" s="2">
        <v>44221</v>
      </c>
      <c r="I17" s="2" t="s">
        <v>2651</v>
      </c>
      <c r="J17" s="2" t="s">
        <v>586</v>
      </c>
      <c r="K17" s="2" t="s">
        <v>24</v>
      </c>
      <c r="L17" s="2" t="s">
        <v>585</v>
      </c>
      <c r="M17" s="2" t="s">
        <v>2652</v>
      </c>
      <c r="N17" s="2" t="s">
        <v>1</v>
      </c>
      <c r="O17" s="2" t="s">
        <v>586</v>
      </c>
      <c r="P17" s="2">
        <v>1</v>
      </c>
      <c r="Q17" s="2" t="s">
        <v>1</v>
      </c>
      <c r="R17" s="2" t="s">
        <v>1</v>
      </c>
      <c r="S17" s="2" t="s">
        <v>1</v>
      </c>
      <c r="T17" s="2" t="s">
        <v>170</v>
      </c>
      <c r="U17" s="2" t="s">
        <v>75</v>
      </c>
      <c r="V17" s="2" t="s">
        <v>43</v>
      </c>
      <c r="W17" s="2" t="s">
        <v>1</v>
      </c>
      <c r="X17" s="2" t="s">
        <v>1</v>
      </c>
      <c r="Y17" s="2" t="s">
        <v>1</v>
      </c>
      <c r="Z17" s="2" t="s">
        <v>1</v>
      </c>
      <c r="AA17" s="2" t="s">
        <v>1</v>
      </c>
      <c r="AB17" s="2" t="s">
        <v>1</v>
      </c>
      <c r="AC17" s="2" t="s">
        <v>1</v>
      </c>
    </row>
    <row r="18" spans="1:29" x14ac:dyDescent="0.25">
      <c r="A18" s="2" t="s">
        <v>29</v>
      </c>
      <c r="B18" s="2" t="b">
        <v>0</v>
      </c>
      <c r="C18" s="2" t="s">
        <v>2571</v>
      </c>
      <c r="D18" s="2" t="s">
        <v>2572</v>
      </c>
      <c r="E18" s="2" t="s">
        <v>2573</v>
      </c>
      <c r="F18" s="2">
        <v>44218</v>
      </c>
      <c r="G18" s="2">
        <v>9.5138888888888884E-2</v>
      </c>
      <c r="H18" s="2">
        <v>44218</v>
      </c>
      <c r="I18" s="2" t="s">
        <v>622</v>
      </c>
      <c r="J18" s="2" t="s">
        <v>586</v>
      </c>
      <c r="K18" s="2" t="s">
        <v>24</v>
      </c>
      <c r="L18" s="2" t="s">
        <v>585</v>
      </c>
      <c r="M18" s="2" t="s">
        <v>2664</v>
      </c>
      <c r="N18" s="2" t="s">
        <v>1</v>
      </c>
      <c r="O18" s="2" t="s">
        <v>586</v>
      </c>
      <c r="P18" s="2">
        <v>1</v>
      </c>
      <c r="Q18" s="2" t="s">
        <v>1</v>
      </c>
      <c r="R18" s="2" t="s">
        <v>1</v>
      </c>
      <c r="S18" s="2" t="s">
        <v>1</v>
      </c>
      <c r="T18" s="2" t="s">
        <v>172</v>
      </c>
      <c r="U18" s="2" t="s">
        <v>75</v>
      </c>
      <c r="V18" s="2" t="s">
        <v>43</v>
      </c>
      <c r="W18" s="2" t="s">
        <v>1</v>
      </c>
      <c r="X18" s="2" t="s">
        <v>1</v>
      </c>
      <c r="Y18" s="2" t="s">
        <v>1</v>
      </c>
      <c r="Z18" s="2" t="s">
        <v>1</v>
      </c>
      <c r="AA18" s="2" t="s">
        <v>1</v>
      </c>
      <c r="AB18" s="2" t="s">
        <v>1</v>
      </c>
      <c r="AC18" s="2" t="s">
        <v>1</v>
      </c>
    </row>
    <row r="19" spans="1:29" x14ac:dyDescent="0.25">
      <c r="A19" s="2" t="s">
        <v>29</v>
      </c>
      <c r="B19" s="2" t="b">
        <v>0</v>
      </c>
      <c r="C19" s="2" t="s">
        <v>2571</v>
      </c>
      <c r="D19" s="2" t="s">
        <v>2572</v>
      </c>
      <c r="E19" s="2" t="s">
        <v>2573</v>
      </c>
      <c r="F19" s="2">
        <v>44218</v>
      </c>
      <c r="G19" s="2">
        <v>1.1805555555555555E-2</v>
      </c>
      <c r="H19" s="2">
        <v>44218</v>
      </c>
      <c r="I19" s="2" t="s">
        <v>622</v>
      </c>
      <c r="J19" s="2" t="s">
        <v>590</v>
      </c>
      <c r="K19" s="2" t="s">
        <v>38</v>
      </c>
      <c r="L19" s="2" t="s">
        <v>585</v>
      </c>
      <c r="M19" s="2" t="s">
        <v>2667</v>
      </c>
      <c r="N19" s="2" t="s">
        <v>1</v>
      </c>
      <c r="O19" s="2" t="s">
        <v>590</v>
      </c>
      <c r="P19" s="2">
        <v>1</v>
      </c>
      <c r="Q19" s="2" t="s">
        <v>1</v>
      </c>
      <c r="R19" s="2" t="s">
        <v>1</v>
      </c>
      <c r="S19" s="2" t="s">
        <v>1</v>
      </c>
      <c r="T19" s="2" t="s">
        <v>172</v>
      </c>
      <c r="U19" s="2" t="s">
        <v>75</v>
      </c>
      <c r="V19" s="2" t="s">
        <v>43</v>
      </c>
      <c r="W19" s="2" t="s">
        <v>1</v>
      </c>
      <c r="X19" s="2" t="s">
        <v>1</v>
      </c>
      <c r="Y19" s="2" t="s">
        <v>1</v>
      </c>
      <c r="Z19" s="2" t="s">
        <v>1</v>
      </c>
      <c r="AA19" s="2" t="s">
        <v>1</v>
      </c>
      <c r="AB19" s="2" t="s">
        <v>1</v>
      </c>
      <c r="AC19" s="2" t="s">
        <v>1</v>
      </c>
    </row>
    <row r="20" spans="1:29" x14ac:dyDescent="0.25">
      <c r="A20" s="2" t="s">
        <v>29</v>
      </c>
      <c r="B20" s="2" t="b">
        <v>0</v>
      </c>
      <c r="C20" s="2" t="s">
        <v>2571</v>
      </c>
      <c r="D20" s="2" t="s">
        <v>2572</v>
      </c>
      <c r="E20" s="2" t="s">
        <v>2573</v>
      </c>
      <c r="F20" s="2">
        <v>44214</v>
      </c>
      <c r="G20" s="2">
        <v>0.4055555555555555</v>
      </c>
      <c r="H20" s="2">
        <v>44214</v>
      </c>
      <c r="I20" s="2" t="s">
        <v>2675</v>
      </c>
      <c r="J20" s="2" t="s">
        <v>586</v>
      </c>
      <c r="K20" s="2" t="s">
        <v>38</v>
      </c>
      <c r="L20" s="2" t="s">
        <v>585</v>
      </c>
      <c r="M20" s="2" t="s">
        <v>2667</v>
      </c>
      <c r="N20" s="2" t="s">
        <v>1</v>
      </c>
      <c r="O20" s="2" t="s">
        <v>586</v>
      </c>
      <c r="P20" s="2">
        <v>1</v>
      </c>
      <c r="Q20" s="2" t="s">
        <v>1</v>
      </c>
      <c r="R20" s="2" t="s">
        <v>1</v>
      </c>
      <c r="S20" s="2" t="s">
        <v>1</v>
      </c>
      <c r="T20" s="2" t="s">
        <v>172</v>
      </c>
      <c r="U20" s="2" t="s">
        <v>75</v>
      </c>
      <c r="V20" s="2" t="s">
        <v>43</v>
      </c>
      <c r="W20" s="2" t="s">
        <v>1</v>
      </c>
      <c r="X20" s="2" t="s">
        <v>1</v>
      </c>
      <c r="Y20" s="2" t="s">
        <v>1</v>
      </c>
      <c r="Z20" s="2" t="s">
        <v>1</v>
      </c>
      <c r="AA20" s="2" t="s">
        <v>1</v>
      </c>
      <c r="AB20" s="2" t="s">
        <v>1</v>
      </c>
      <c r="AC20" s="2" t="s">
        <v>1</v>
      </c>
    </row>
    <row r="21" spans="1:29" x14ac:dyDescent="0.25">
      <c r="A21" s="2" t="s">
        <v>29</v>
      </c>
      <c r="B21" s="2" t="b">
        <v>0</v>
      </c>
      <c r="C21" s="2" t="s">
        <v>2571</v>
      </c>
      <c r="D21" s="2" t="s">
        <v>2572</v>
      </c>
      <c r="E21" s="2" t="s">
        <v>2573</v>
      </c>
      <c r="F21" s="2">
        <v>44214</v>
      </c>
      <c r="G21" s="2">
        <v>0.40486111111111112</v>
      </c>
      <c r="H21" s="2">
        <v>44214</v>
      </c>
      <c r="I21" s="2" t="s">
        <v>2676</v>
      </c>
      <c r="J21" s="2" t="s">
        <v>586</v>
      </c>
      <c r="K21" s="2" t="s">
        <v>24</v>
      </c>
      <c r="L21" s="2" t="s">
        <v>585</v>
      </c>
      <c r="M21" s="2" t="s">
        <v>2664</v>
      </c>
      <c r="N21" s="2" t="s">
        <v>1</v>
      </c>
      <c r="O21" s="2" t="s">
        <v>586</v>
      </c>
      <c r="P21" s="2">
        <v>1</v>
      </c>
      <c r="Q21" s="2" t="s">
        <v>1</v>
      </c>
      <c r="R21" s="2" t="s">
        <v>1</v>
      </c>
      <c r="S21" s="2" t="s">
        <v>1</v>
      </c>
      <c r="T21" s="2" t="s">
        <v>172</v>
      </c>
      <c r="U21" s="2" t="s">
        <v>75</v>
      </c>
      <c r="V21" s="2" t="s">
        <v>43</v>
      </c>
      <c r="W21" s="2" t="s">
        <v>1</v>
      </c>
      <c r="X21" s="2" t="s">
        <v>1</v>
      </c>
      <c r="Y21" s="2" t="s">
        <v>1</v>
      </c>
      <c r="Z21" s="2" t="s">
        <v>1</v>
      </c>
      <c r="AA21" s="2" t="s">
        <v>1</v>
      </c>
      <c r="AB21" s="2" t="s">
        <v>1</v>
      </c>
      <c r="AC21" s="2" t="s">
        <v>1</v>
      </c>
    </row>
    <row r="22" spans="1:29" x14ac:dyDescent="0.25">
      <c r="A22" s="2" t="s">
        <v>29</v>
      </c>
      <c r="B22" s="2" t="b">
        <v>0</v>
      </c>
      <c r="C22" s="2" t="s">
        <v>2571</v>
      </c>
      <c r="D22" s="2" t="s">
        <v>2572</v>
      </c>
      <c r="E22" s="2" t="s">
        <v>2573</v>
      </c>
      <c r="F22" s="2">
        <v>44237</v>
      </c>
      <c r="G22" s="2">
        <v>0.6118055555555556</v>
      </c>
      <c r="H22" s="2">
        <v>44238</v>
      </c>
      <c r="I22" s="2" t="s">
        <v>2600</v>
      </c>
      <c r="J22" s="2" t="s">
        <v>603</v>
      </c>
      <c r="K22" s="2" t="s">
        <v>606</v>
      </c>
      <c r="L22" s="2" t="s">
        <v>585</v>
      </c>
      <c r="M22" s="2" t="s">
        <v>2601</v>
      </c>
      <c r="N22" s="2" t="s">
        <v>1</v>
      </c>
      <c r="O22" s="2" t="s">
        <v>603</v>
      </c>
      <c r="P22" s="2">
        <v>1</v>
      </c>
      <c r="Q22" s="2" t="s">
        <v>1</v>
      </c>
      <c r="R22" s="2" t="s">
        <v>1</v>
      </c>
      <c r="S22" s="2" t="s">
        <v>1</v>
      </c>
      <c r="T22" s="2" t="s">
        <v>247</v>
      </c>
      <c r="U22" s="2" t="s">
        <v>22</v>
      </c>
      <c r="V22" s="2" t="s">
        <v>23</v>
      </c>
      <c r="W22" s="2" t="s">
        <v>1</v>
      </c>
      <c r="X22" s="2" t="s">
        <v>1</v>
      </c>
      <c r="Y22" s="2" t="s">
        <v>1</v>
      </c>
      <c r="Z22" s="2" t="s">
        <v>1</v>
      </c>
      <c r="AA22" s="2" t="s">
        <v>1</v>
      </c>
      <c r="AB22" s="2" t="s">
        <v>1</v>
      </c>
      <c r="AC22" s="2" t="s">
        <v>1</v>
      </c>
    </row>
    <row r="23" spans="1:29" x14ac:dyDescent="0.25">
      <c r="A23" s="2" t="s">
        <v>29</v>
      </c>
      <c r="B23" s="2" t="b">
        <v>0</v>
      </c>
      <c r="C23" s="2" t="s">
        <v>2571</v>
      </c>
      <c r="D23" s="2" t="s">
        <v>2572</v>
      </c>
      <c r="E23" s="2" t="s">
        <v>2573</v>
      </c>
      <c r="F23" s="2">
        <v>44228</v>
      </c>
      <c r="G23" s="2">
        <v>0.99861111111111101</v>
      </c>
      <c r="H23" s="2">
        <v>44229</v>
      </c>
      <c r="I23" s="2" t="s">
        <v>2612</v>
      </c>
      <c r="J23" s="2" t="s">
        <v>590</v>
      </c>
      <c r="K23" s="2" t="s">
        <v>24</v>
      </c>
      <c r="L23" s="2" t="s">
        <v>585</v>
      </c>
      <c r="M23" s="2" t="s">
        <v>2613</v>
      </c>
      <c r="N23" s="2" t="s">
        <v>1</v>
      </c>
      <c r="O23" s="2" t="s">
        <v>590</v>
      </c>
      <c r="P23" s="2">
        <v>1</v>
      </c>
      <c r="Q23" s="2" t="s">
        <v>1</v>
      </c>
      <c r="R23" s="2" t="s">
        <v>1</v>
      </c>
      <c r="S23" s="2" t="s">
        <v>1</v>
      </c>
      <c r="T23" s="2" t="s">
        <v>175</v>
      </c>
      <c r="U23" s="2" t="s">
        <v>75</v>
      </c>
      <c r="V23" s="2" t="s">
        <v>43</v>
      </c>
      <c r="W23" s="2" t="s">
        <v>1</v>
      </c>
      <c r="X23" s="2" t="s">
        <v>1</v>
      </c>
      <c r="Y23" s="2" t="s">
        <v>1</v>
      </c>
      <c r="Z23" s="2" t="s">
        <v>1</v>
      </c>
      <c r="AA23" s="2" t="s">
        <v>1</v>
      </c>
      <c r="AB23" s="2" t="s">
        <v>1</v>
      </c>
      <c r="AC23" s="2" t="s">
        <v>1</v>
      </c>
    </row>
    <row r="24" spans="1:29" x14ac:dyDescent="0.25">
      <c r="A24" s="2" t="s">
        <v>29</v>
      </c>
      <c r="B24" s="2" t="b">
        <v>0</v>
      </c>
      <c r="C24" s="2" t="s">
        <v>2571</v>
      </c>
      <c r="D24" s="2" t="s">
        <v>2572</v>
      </c>
      <c r="E24" s="2" t="s">
        <v>2573</v>
      </c>
      <c r="F24" s="2">
        <v>44201</v>
      </c>
      <c r="G24" s="2">
        <v>0.42152777777777778</v>
      </c>
      <c r="H24" s="2">
        <v>44201</v>
      </c>
      <c r="I24" s="2" t="s">
        <v>2687</v>
      </c>
      <c r="J24" s="2" t="s">
        <v>604</v>
      </c>
      <c r="K24" s="2" t="s">
        <v>24</v>
      </c>
      <c r="L24" s="2" t="s">
        <v>585</v>
      </c>
      <c r="M24" s="2" t="s">
        <v>2688</v>
      </c>
      <c r="N24" s="2" t="s">
        <v>1</v>
      </c>
      <c r="O24" s="2" t="s">
        <v>604</v>
      </c>
      <c r="P24" s="2">
        <v>1</v>
      </c>
      <c r="Q24" s="2" t="s">
        <v>1</v>
      </c>
      <c r="R24" s="2" t="s">
        <v>1</v>
      </c>
      <c r="S24" s="2" t="s">
        <v>1</v>
      </c>
      <c r="T24" s="2" t="s">
        <v>177</v>
      </c>
      <c r="U24" s="2" t="s">
        <v>75</v>
      </c>
      <c r="V24" s="2" t="s">
        <v>43</v>
      </c>
      <c r="W24" s="2" t="s">
        <v>1</v>
      </c>
      <c r="X24" s="2" t="s">
        <v>1</v>
      </c>
      <c r="Y24" s="2" t="s">
        <v>1</v>
      </c>
      <c r="Z24" s="2" t="s">
        <v>1</v>
      </c>
      <c r="AA24" s="2" t="s">
        <v>1</v>
      </c>
      <c r="AB24" s="2" t="s">
        <v>1</v>
      </c>
      <c r="AC24" s="2" t="s">
        <v>1</v>
      </c>
    </row>
    <row r="25" spans="1:29" x14ac:dyDescent="0.25">
      <c r="A25" s="2" t="s">
        <v>29</v>
      </c>
      <c r="B25" s="2" t="b">
        <v>0</v>
      </c>
      <c r="C25" s="2" t="s">
        <v>2571</v>
      </c>
      <c r="D25" s="2" t="s">
        <v>2572</v>
      </c>
      <c r="E25" s="2" t="s">
        <v>2573</v>
      </c>
      <c r="F25" s="2">
        <v>44214</v>
      </c>
      <c r="G25" s="2">
        <v>0.40763888888888888</v>
      </c>
      <c r="H25" s="2">
        <v>44214</v>
      </c>
      <c r="I25" s="2" t="s">
        <v>615</v>
      </c>
      <c r="J25" s="2" t="s">
        <v>586</v>
      </c>
      <c r="K25" s="2" t="s">
        <v>38</v>
      </c>
      <c r="L25" s="2" t="s">
        <v>585</v>
      </c>
      <c r="M25" s="2" t="s">
        <v>2672</v>
      </c>
      <c r="N25" s="2" t="s">
        <v>1</v>
      </c>
      <c r="O25" s="2" t="s">
        <v>586</v>
      </c>
      <c r="P25" s="2">
        <v>1</v>
      </c>
      <c r="Q25" s="2" t="s">
        <v>1</v>
      </c>
      <c r="R25" s="2" t="s">
        <v>1</v>
      </c>
      <c r="S25" s="2" t="s">
        <v>1</v>
      </c>
      <c r="T25" s="2" t="s">
        <v>179</v>
      </c>
      <c r="U25" s="2" t="s">
        <v>75</v>
      </c>
      <c r="V25" s="2" t="s">
        <v>43</v>
      </c>
      <c r="W25" s="2" t="s">
        <v>1</v>
      </c>
      <c r="X25" s="2" t="s">
        <v>1</v>
      </c>
      <c r="Y25" s="2" t="s">
        <v>1</v>
      </c>
      <c r="Z25" s="2" t="s">
        <v>1</v>
      </c>
      <c r="AA25" s="2" t="s">
        <v>1</v>
      </c>
      <c r="AB25" s="2" t="s">
        <v>1</v>
      </c>
      <c r="AC25" s="2" t="s">
        <v>1</v>
      </c>
    </row>
    <row r="26" spans="1:29" x14ac:dyDescent="0.25">
      <c r="A26" s="2" t="s">
        <v>29</v>
      </c>
      <c r="B26" s="2" t="b">
        <v>0</v>
      </c>
      <c r="C26" s="2" t="s">
        <v>2571</v>
      </c>
      <c r="D26" s="2" t="s">
        <v>2572</v>
      </c>
      <c r="E26" s="2" t="s">
        <v>2573</v>
      </c>
      <c r="F26" s="2">
        <v>44214</v>
      </c>
      <c r="G26" s="2">
        <v>0.4069444444444445</v>
      </c>
      <c r="H26" s="2">
        <v>44214</v>
      </c>
      <c r="I26" s="2" t="s">
        <v>2674</v>
      </c>
      <c r="J26" s="2" t="s">
        <v>586</v>
      </c>
      <c r="K26" s="2" t="s">
        <v>24</v>
      </c>
      <c r="L26" s="2" t="s">
        <v>585</v>
      </c>
      <c r="M26" s="2" t="s">
        <v>596</v>
      </c>
      <c r="N26" s="2" t="s">
        <v>1</v>
      </c>
      <c r="O26" s="2" t="s">
        <v>586</v>
      </c>
      <c r="P26" s="2">
        <v>1</v>
      </c>
      <c r="Q26" s="2" t="s">
        <v>1</v>
      </c>
      <c r="R26" s="2" t="s">
        <v>1</v>
      </c>
      <c r="S26" s="2" t="s">
        <v>1</v>
      </c>
      <c r="T26" s="2" t="s">
        <v>179</v>
      </c>
      <c r="U26" s="2" t="s">
        <v>75</v>
      </c>
      <c r="V26" s="2" t="s">
        <v>43</v>
      </c>
      <c r="W26" s="2" t="s">
        <v>1</v>
      </c>
      <c r="X26" s="2" t="s">
        <v>1</v>
      </c>
      <c r="Y26" s="2" t="s">
        <v>1</v>
      </c>
      <c r="Z26" s="2" t="s">
        <v>1</v>
      </c>
      <c r="AA26" s="2" t="s">
        <v>1</v>
      </c>
      <c r="AB26" s="2" t="s">
        <v>1</v>
      </c>
      <c r="AC26" s="2" t="s">
        <v>1</v>
      </c>
    </row>
    <row r="27" spans="1:29" x14ac:dyDescent="0.25">
      <c r="A27" s="2" t="s">
        <v>29</v>
      </c>
      <c r="B27" s="2" t="b">
        <v>0</v>
      </c>
      <c r="C27" s="2" t="s">
        <v>2571</v>
      </c>
      <c r="D27" s="2" t="s">
        <v>2572</v>
      </c>
      <c r="E27" s="2" t="s">
        <v>2573</v>
      </c>
      <c r="F27" s="2">
        <v>44229</v>
      </c>
      <c r="G27" s="2">
        <v>9.6527777777777782E-2</v>
      </c>
      <c r="H27" s="2">
        <v>44229</v>
      </c>
      <c r="I27" s="2" t="s">
        <v>620</v>
      </c>
      <c r="J27" s="2" t="s">
        <v>586</v>
      </c>
      <c r="K27" s="2" t="s">
        <v>24</v>
      </c>
      <c r="L27" s="2" t="s">
        <v>585</v>
      </c>
      <c r="M27" s="2" t="s">
        <v>2611</v>
      </c>
      <c r="N27" s="2" t="s">
        <v>1</v>
      </c>
      <c r="O27" s="2" t="s">
        <v>586</v>
      </c>
      <c r="P27" s="2">
        <v>1</v>
      </c>
      <c r="Q27" s="2" t="s">
        <v>1</v>
      </c>
      <c r="R27" s="2" t="s">
        <v>1</v>
      </c>
      <c r="S27" s="2" t="s">
        <v>1</v>
      </c>
      <c r="T27" s="2" t="s">
        <v>180</v>
      </c>
      <c r="U27" s="2" t="s">
        <v>75</v>
      </c>
      <c r="V27" s="2" t="s">
        <v>43</v>
      </c>
      <c r="W27" s="2" t="s">
        <v>1</v>
      </c>
      <c r="X27" s="2" t="s">
        <v>1</v>
      </c>
      <c r="Y27" s="2" t="s">
        <v>1</v>
      </c>
      <c r="Z27" s="2" t="s">
        <v>1</v>
      </c>
      <c r="AA27" s="2" t="s">
        <v>1</v>
      </c>
      <c r="AB27" s="2" t="s">
        <v>1</v>
      </c>
      <c r="AC27" s="2" t="s">
        <v>1</v>
      </c>
    </row>
    <row r="28" spans="1:29" x14ac:dyDescent="0.25">
      <c r="A28" s="2" t="s">
        <v>29</v>
      </c>
      <c r="B28" s="2" t="b">
        <v>0</v>
      </c>
      <c r="C28" s="2" t="s">
        <v>2571</v>
      </c>
      <c r="D28" s="2" t="s">
        <v>2572</v>
      </c>
      <c r="E28" s="2" t="s">
        <v>2573</v>
      </c>
      <c r="F28" s="2">
        <v>44214</v>
      </c>
      <c r="G28" s="2">
        <v>0.40833333333333338</v>
      </c>
      <c r="H28" s="2">
        <v>44214</v>
      </c>
      <c r="I28" s="2" t="s">
        <v>2646</v>
      </c>
      <c r="J28" s="2" t="s">
        <v>586</v>
      </c>
      <c r="K28" s="2" t="s">
        <v>2671</v>
      </c>
      <c r="L28" s="2" t="s">
        <v>585</v>
      </c>
      <c r="M28" s="2" t="s">
        <v>2611</v>
      </c>
      <c r="N28" s="2" t="s">
        <v>1</v>
      </c>
      <c r="O28" s="2" t="s">
        <v>586</v>
      </c>
      <c r="P28" s="2">
        <v>1</v>
      </c>
      <c r="Q28" s="2" t="s">
        <v>1</v>
      </c>
      <c r="R28" s="2" t="s">
        <v>1</v>
      </c>
      <c r="S28" s="2" t="s">
        <v>1</v>
      </c>
      <c r="T28" s="2" t="s">
        <v>180</v>
      </c>
      <c r="U28" s="2" t="s">
        <v>75</v>
      </c>
      <c r="V28" s="2" t="s">
        <v>43</v>
      </c>
      <c r="W28" s="2" t="s">
        <v>1</v>
      </c>
      <c r="X28" s="2" t="s">
        <v>1</v>
      </c>
      <c r="Y28" s="2" t="s">
        <v>1</v>
      </c>
      <c r="Z28" s="2" t="s">
        <v>1</v>
      </c>
      <c r="AA28" s="2" t="s">
        <v>1</v>
      </c>
      <c r="AB28" s="2" t="s">
        <v>1</v>
      </c>
      <c r="AC28" s="2" t="s">
        <v>1</v>
      </c>
    </row>
    <row r="29" spans="1:29" x14ac:dyDescent="0.25">
      <c r="A29" s="2" t="s">
        <v>29</v>
      </c>
      <c r="B29" s="2" t="b">
        <v>0</v>
      </c>
      <c r="C29" s="2" t="s">
        <v>2571</v>
      </c>
      <c r="D29" s="2" t="s">
        <v>2572</v>
      </c>
      <c r="E29" s="2" t="s">
        <v>2573</v>
      </c>
      <c r="F29" s="2">
        <v>44214</v>
      </c>
      <c r="G29" s="2">
        <v>0.40763888888888888</v>
      </c>
      <c r="H29" s="2">
        <v>44214</v>
      </c>
      <c r="I29" s="2" t="s">
        <v>615</v>
      </c>
      <c r="J29" s="2" t="s">
        <v>586</v>
      </c>
      <c r="K29" s="2" t="s">
        <v>38</v>
      </c>
      <c r="L29" s="2" t="s">
        <v>585</v>
      </c>
      <c r="M29" s="2" t="s">
        <v>2673</v>
      </c>
      <c r="N29" s="2" t="s">
        <v>1</v>
      </c>
      <c r="O29" s="2" t="s">
        <v>586</v>
      </c>
      <c r="P29" s="2">
        <v>1</v>
      </c>
      <c r="Q29" s="2" t="s">
        <v>1</v>
      </c>
      <c r="R29" s="2" t="s">
        <v>1</v>
      </c>
      <c r="S29" s="2" t="s">
        <v>1</v>
      </c>
      <c r="T29" s="2" t="s">
        <v>180</v>
      </c>
      <c r="U29" s="2" t="s">
        <v>75</v>
      </c>
      <c r="V29" s="2" t="s">
        <v>43</v>
      </c>
      <c r="W29" s="2" t="s">
        <v>1</v>
      </c>
      <c r="X29" s="2" t="s">
        <v>1</v>
      </c>
      <c r="Y29" s="2" t="s">
        <v>1</v>
      </c>
      <c r="Z29" s="2" t="s">
        <v>1</v>
      </c>
      <c r="AA29" s="2" t="s">
        <v>1</v>
      </c>
      <c r="AB29" s="2" t="s">
        <v>1</v>
      </c>
      <c r="AC29" s="2" t="s">
        <v>1</v>
      </c>
    </row>
    <row r="30" spans="1:29" x14ac:dyDescent="0.25">
      <c r="A30" s="2" t="s">
        <v>29</v>
      </c>
      <c r="B30" s="2" t="b">
        <v>0</v>
      </c>
      <c r="C30" s="2" t="s">
        <v>2571</v>
      </c>
      <c r="D30" s="2" t="s">
        <v>2572</v>
      </c>
      <c r="E30" s="2" t="s">
        <v>2573</v>
      </c>
      <c r="F30" s="2">
        <v>44213</v>
      </c>
      <c r="G30" s="2">
        <v>0.15208333333333332</v>
      </c>
      <c r="H30" s="2">
        <v>44213</v>
      </c>
      <c r="I30" s="2" t="s">
        <v>2677</v>
      </c>
      <c r="J30" s="2" t="s">
        <v>598</v>
      </c>
      <c r="K30" s="2" t="s">
        <v>38</v>
      </c>
      <c r="L30" s="2" t="s">
        <v>585</v>
      </c>
      <c r="M30" s="2" t="s">
        <v>2679</v>
      </c>
      <c r="N30" s="2" t="s">
        <v>1</v>
      </c>
      <c r="O30" s="2" t="s">
        <v>598</v>
      </c>
      <c r="P30" s="2">
        <v>1</v>
      </c>
      <c r="Q30" s="2" t="s">
        <v>1</v>
      </c>
      <c r="R30" s="2" t="s">
        <v>1</v>
      </c>
      <c r="S30" s="2" t="s">
        <v>1</v>
      </c>
      <c r="T30" s="2" t="s">
        <v>181</v>
      </c>
      <c r="U30" s="2" t="s">
        <v>75</v>
      </c>
      <c r="V30" s="2" t="s">
        <v>43</v>
      </c>
      <c r="W30" s="2" t="s">
        <v>1</v>
      </c>
      <c r="X30" s="2" t="s">
        <v>1</v>
      </c>
      <c r="Y30" s="2" t="s">
        <v>1</v>
      </c>
      <c r="Z30" s="2" t="s">
        <v>1</v>
      </c>
      <c r="AA30" s="2" t="s">
        <v>1</v>
      </c>
      <c r="AB30" s="2" t="s">
        <v>1</v>
      </c>
      <c r="AC30" s="2" t="s">
        <v>1</v>
      </c>
    </row>
    <row r="31" spans="1:29" x14ac:dyDescent="0.25">
      <c r="A31" s="2" t="s">
        <v>29</v>
      </c>
      <c r="B31" s="2" t="b">
        <v>0</v>
      </c>
      <c r="C31" s="2" t="s">
        <v>2571</v>
      </c>
      <c r="D31" s="2" t="s">
        <v>2572</v>
      </c>
      <c r="E31" s="2" t="s">
        <v>2573</v>
      </c>
      <c r="F31" s="2">
        <v>44213</v>
      </c>
      <c r="G31" s="2">
        <v>0.15208333333333332</v>
      </c>
      <c r="H31" s="2">
        <v>44213</v>
      </c>
      <c r="I31" s="2" t="s">
        <v>2677</v>
      </c>
      <c r="J31" s="2" t="s">
        <v>598</v>
      </c>
      <c r="K31" s="2" t="s">
        <v>38</v>
      </c>
      <c r="L31" s="2" t="s">
        <v>585</v>
      </c>
      <c r="M31" s="2" t="s">
        <v>2678</v>
      </c>
      <c r="N31" s="2" t="s">
        <v>1</v>
      </c>
      <c r="O31" s="2" t="s">
        <v>598</v>
      </c>
      <c r="P31" s="2">
        <v>1</v>
      </c>
      <c r="Q31" s="2" t="s">
        <v>1</v>
      </c>
      <c r="R31" s="2" t="s">
        <v>1</v>
      </c>
      <c r="S31" s="2" t="s">
        <v>1</v>
      </c>
      <c r="T31" s="2" t="s">
        <v>182</v>
      </c>
      <c r="U31" s="2" t="s">
        <v>75</v>
      </c>
      <c r="V31" s="2" t="s">
        <v>43</v>
      </c>
      <c r="W31" s="2" t="s">
        <v>1</v>
      </c>
      <c r="X31" s="2" t="s">
        <v>1</v>
      </c>
      <c r="Y31" s="2" t="s">
        <v>1</v>
      </c>
      <c r="Z31" s="2" t="s">
        <v>1</v>
      </c>
      <c r="AA31" s="2" t="s">
        <v>1</v>
      </c>
      <c r="AB31" s="2" t="s">
        <v>1</v>
      </c>
      <c r="AC31" s="2" t="s">
        <v>1</v>
      </c>
    </row>
    <row r="32" spans="1:29" x14ac:dyDescent="0.25">
      <c r="A32" s="2" t="s">
        <v>29</v>
      </c>
      <c r="B32" s="2" t="b">
        <v>0</v>
      </c>
      <c r="C32" s="2" t="s">
        <v>2571</v>
      </c>
      <c r="D32" s="2" t="s">
        <v>2572</v>
      </c>
      <c r="E32" s="2" t="s">
        <v>2573</v>
      </c>
      <c r="F32" s="2">
        <v>44226</v>
      </c>
      <c r="G32" s="2">
        <v>0.15138888888888888</v>
      </c>
      <c r="H32" s="2">
        <v>44226</v>
      </c>
      <c r="I32" s="2" t="s">
        <v>2622</v>
      </c>
      <c r="J32" s="2" t="s">
        <v>2623</v>
      </c>
      <c r="K32" s="2" t="s">
        <v>2624</v>
      </c>
      <c r="L32" s="2" t="s">
        <v>585</v>
      </c>
      <c r="M32" s="2" t="s">
        <v>2625</v>
      </c>
      <c r="N32" s="2" t="s">
        <v>1</v>
      </c>
      <c r="O32" s="2" t="s">
        <v>2623</v>
      </c>
      <c r="P32" s="2">
        <v>1</v>
      </c>
      <c r="Q32" s="2" t="s">
        <v>1</v>
      </c>
      <c r="R32" s="2" t="s">
        <v>1</v>
      </c>
      <c r="S32" s="2" t="s">
        <v>1</v>
      </c>
      <c r="T32" s="2" t="s">
        <v>190</v>
      </c>
      <c r="U32" s="2" t="s">
        <v>22</v>
      </c>
      <c r="V32" s="2" t="s">
        <v>23</v>
      </c>
      <c r="W32" s="2" t="s">
        <v>1</v>
      </c>
      <c r="X32" s="2" t="s">
        <v>1</v>
      </c>
      <c r="Y32" s="2" t="s">
        <v>1</v>
      </c>
      <c r="Z32" s="2" t="s">
        <v>1</v>
      </c>
      <c r="AA32" s="2" t="s">
        <v>1</v>
      </c>
      <c r="AB32" s="2" t="s">
        <v>1</v>
      </c>
      <c r="AC32" s="2" t="s">
        <v>1</v>
      </c>
    </row>
    <row r="33" spans="1:29" x14ac:dyDescent="0.25">
      <c r="A33" s="2" t="s">
        <v>29</v>
      </c>
      <c r="B33" s="2" t="b">
        <v>0</v>
      </c>
      <c r="C33" s="2" t="s">
        <v>2571</v>
      </c>
      <c r="D33" s="2" t="s">
        <v>2572</v>
      </c>
      <c r="E33" s="2" t="s">
        <v>2573</v>
      </c>
      <c r="F33" s="2">
        <v>44226</v>
      </c>
      <c r="G33" s="2">
        <v>6.9444444444444448E-2</v>
      </c>
      <c r="H33" s="2">
        <v>44226</v>
      </c>
      <c r="I33" s="2" t="s">
        <v>2633</v>
      </c>
      <c r="J33" s="2" t="s">
        <v>604</v>
      </c>
      <c r="K33" s="2" t="s">
        <v>38</v>
      </c>
      <c r="L33" s="2" t="s">
        <v>585</v>
      </c>
      <c r="M33" s="2" t="s">
        <v>2634</v>
      </c>
      <c r="N33" s="2" t="s">
        <v>1</v>
      </c>
      <c r="O33" s="2" t="s">
        <v>604</v>
      </c>
      <c r="P33" s="2">
        <v>1</v>
      </c>
      <c r="Q33" s="2" t="s">
        <v>1</v>
      </c>
      <c r="R33" s="2" t="s">
        <v>1</v>
      </c>
      <c r="S33" s="2" t="s">
        <v>1</v>
      </c>
      <c r="T33" s="2" t="s">
        <v>190</v>
      </c>
      <c r="U33" s="2" t="s">
        <v>22</v>
      </c>
      <c r="V33" s="2" t="s">
        <v>23</v>
      </c>
      <c r="W33" s="2" t="s">
        <v>1</v>
      </c>
      <c r="X33" s="2" t="s">
        <v>1</v>
      </c>
      <c r="Y33" s="2" t="s">
        <v>1</v>
      </c>
      <c r="Z33" s="2" t="s">
        <v>1</v>
      </c>
      <c r="AA33" s="2" t="s">
        <v>1</v>
      </c>
      <c r="AB33" s="2" t="s">
        <v>1</v>
      </c>
      <c r="AC33" s="2" t="s">
        <v>1</v>
      </c>
    </row>
    <row r="34" spans="1:29" x14ac:dyDescent="0.25">
      <c r="A34" s="2" t="s">
        <v>29</v>
      </c>
      <c r="B34" s="2" t="b">
        <v>0</v>
      </c>
      <c r="C34" s="2" t="s">
        <v>2571</v>
      </c>
      <c r="D34" s="2" t="s">
        <v>2572</v>
      </c>
      <c r="E34" s="2" t="s">
        <v>2573</v>
      </c>
      <c r="F34" s="2">
        <v>44225</v>
      </c>
      <c r="G34" s="2">
        <v>0.77777777777777779</v>
      </c>
      <c r="H34" s="2">
        <v>44226</v>
      </c>
      <c r="I34" s="2" t="s">
        <v>2633</v>
      </c>
      <c r="J34" s="2" t="s">
        <v>605</v>
      </c>
      <c r="K34" s="2" t="s">
        <v>19</v>
      </c>
      <c r="L34" s="2" t="s">
        <v>585</v>
      </c>
      <c r="M34" s="2" t="s">
        <v>2638</v>
      </c>
      <c r="N34" s="2" t="s">
        <v>1</v>
      </c>
      <c r="O34" s="2" t="s">
        <v>605</v>
      </c>
      <c r="P34" s="2">
        <v>1</v>
      </c>
      <c r="Q34" s="2" t="s">
        <v>1</v>
      </c>
      <c r="R34" s="2" t="s">
        <v>1</v>
      </c>
      <c r="S34" s="2" t="s">
        <v>1</v>
      </c>
      <c r="T34" s="2" t="s">
        <v>190</v>
      </c>
      <c r="U34" s="2" t="s">
        <v>22</v>
      </c>
      <c r="V34" s="2" t="s">
        <v>23</v>
      </c>
      <c r="W34" s="2" t="s">
        <v>1</v>
      </c>
      <c r="X34" s="2" t="s">
        <v>1</v>
      </c>
      <c r="Y34" s="2" t="s">
        <v>1</v>
      </c>
      <c r="Z34" s="2" t="s">
        <v>1</v>
      </c>
      <c r="AA34" s="2" t="s">
        <v>1</v>
      </c>
      <c r="AB34" s="2" t="s">
        <v>1</v>
      </c>
      <c r="AC34" s="2" t="s">
        <v>1</v>
      </c>
    </row>
    <row r="35" spans="1:29" x14ac:dyDescent="0.25">
      <c r="A35" s="2" t="s">
        <v>29</v>
      </c>
      <c r="B35" s="2" t="b">
        <v>0</v>
      </c>
      <c r="C35" s="2" t="s">
        <v>2571</v>
      </c>
      <c r="D35" s="2" t="s">
        <v>2572</v>
      </c>
      <c r="E35" s="2" t="s">
        <v>2573</v>
      </c>
      <c r="F35" s="2">
        <v>44210</v>
      </c>
      <c r="G35" s="2">
        <v>2.361111111111111E-2</v>
      </c>
      <c r="H35" s="2">
        <v>44210</v>
      </c>
      <c r="I35" s="2" t="s">
        <v>2680</v>
      </c>
      <c r="J35" s="2" t="s">
        <v>603</v>
      </c>
      <c r="K35" s="2" t="s">
        <v>19</v>
      </c>
      <c r="L35" s="2" t="s">
        <v>585</v>
      </c>
      <c r="M35" s="2" t="s">
        <v>2638</v>
      </c>
      <c r="N35" s="2" t="s">
        <v>1</v>
      </c>
      <c r="O35" s="2" t="s">
        <v>603</v>
      </c>
      <c r="P35" s="2">
        <v>1</v>
      </c>
      <c r="Q35" s="2" t="s">
        <v>1</v>
      </c>
      <c r="R35" s="2" t="s">
        <v>1</v>
      </c>
      <c r="S35" s="2" t="s">
        <v>1</v>
      </c>
      <c r="T35" s="2" t="s">
        <v>190</v>
      </c>
      <c r="U35" s="2" t="s">
        <v>22</v>
      </c>
      <c r="V35" s="2" t="s">
        <v>23</v>
      </c>
      <c r="W35" s="2" t="s">
        <v>1</v>
      </c>
      <c r="X35" s="2" t="s">
        <v>1</v>
      </c>
      <c r="Y35" s="2" t="s">
        <v>1</v>
      </c>
      <c r="Z35" s="2" t="s">
        <v>1</v>
      </c>
      <c r="AA35" s="2" t="s">
        <v>1</v>
      </c>
      <c r="AB35" s="2" t="s">
        <v>1</v>
      </c>
      <c r="AC35" s="2" t="s">
        <v>1</v>
      </c>
    </row>
    <row r="36" spans="1:29" x14ac:dyDescent="0.25">
      <c r="A36" s="2" t="s">
        <v>29</v>
      </c>
      <c r="B36" s="2" t="b">
        <v>0</v>
      </c>
      <c r="C36" s="2" t="s">
        <v>2571</v>
      </c>
      <c r="D36" s="2" t="s">
        <v>2572</v>
      </c>
      <c r="E36" s="2" t="s">
        <v>2573</v>
      </c>
      <c r="F36" s="2">
        <v>44226</v>
      </c>
      <c r="G36" s="2">
        <v>0.25138888888888888</v>
      </c>
      <c r="H36" s="2">
        <v>44226</v>
      </c>
      <c r="I36" s="2" t="s">
        <v>2616</v>
      </c>
      <c r="J36" s="2" t="s">
        <v>609</v>
      </c>
      <c r="K36" s="2" t="s">
        <v>19</v>
      </c>
      <c r="L36" s="2" t="s">
        <v>585</v>
      </c>
      <c r="M36" s="2" t="s">
        <v>2617</v>
      </c>
      <c r="N36" s="2" t="s">
        <v>1</v>
      </c>
      <c r="O36" s="2" t="s">
        <v>609</v>
      </c>
      <c r="P36" s="2">
        <v>1</v>
      </c>
      <c r="Q36" s="2" t="s">
        <v>1</v>
      </c>
      <c r="R36" s="2" t="s">
        <v>1</v>
      </c>
      <c r="S36" s="2" t="s">
        <v>1</v>
      </c>
      <c r="T36" s="2" t="s">
        <v>252</v>
      </c>
      <c r="U36" s="2" t="s">
        <v>610</v>
      </c>
      <c r="V36" s="2" t="s">
        <v>611</v>
      </c>
      <c r="W36" s="2" t="s">
        <v>1</v>
      </c>
      <c r="X36" s="2" t="s">
        <v>1</v>
      </c>
      <c r="Y36" s="2" t="s">
        <v>1</v>
      </c>
      <c r="Z36" s="2" t="s">
        <v>1</v>
      </c>
      <c r="AA36" s="2" t="s">
        <v>1</v>
      </c>
      <c r="AB36" s="2" t="s">
        <v>1</v>
      </c>
      <c r="AC36" s="2" t="s">
        <v>1</v>
      </c>
    </row>
    <row r="37" spans="1:29" x14ac:dyDescent="0.25">
      <c r="A37" s="2" t="s">
        <v>29</v>
      </c>
      <c r="B37" s="2" t="b">
        <v>0</v>
      </c>
      <c r="C37" s="2" t="s">
        <v>2571</v>
      </c>
      <c r="D37" s="2" t="s">
        <v>2572</v>
      </c>
      <c r="E37" s="2" t="s">
        <v>2573</v>
      </c>
      <c r="F37" s="2">
        <v>44226</v>
      </c>
      <c r="G37" s="2">
        <v>0.18958333333333333</v>
      </c>
      <c r="H37" s="2">
        <v>44226</v>
      </c>
      <c r="I37" s="2" t="s">
        <v>2620</v>
      </c>
      <c r="J37" s="2" t="s">
        <v>586</v>
      </c>
      <c r="K37" s="2" t="s">
        <v>19</v>
      </c>
      <c r="L37" s="2" t="s">
        <v>585</v>
      </c>
      <c r="M37" s="2" t="s">
        <v>2621</v>
      </c>
      <c r="N37" s="2" t="s">
        <v>1</v>
      </c>
      <c r="O37" s="2" t="s">
        <v>586</v>
      </c>
      <c r="P37" s="2">
        <v>1</v>
      </c>
      <c r="Q37" s="2" t="s">
        <v>1</v>
      </c>
      <c r="R37" s="2" t="s">
        <v>1</v>
      </c>
      <c r="S37" s="2" t="s">
        <v>1</v>
      </c>
      <c r="T37" s="2" t="s">
        <v>252</v>
      </c>
      <c r="U37" s="2" t="s">
        <v>610</v>
      </c>
      <c r="V37" s="2" t="s">
        <v>611</v>
      </c>
      <c r="W37" s="2" t="s">
        <v>1</v>
      </c>
      <c r="X37" s="2" t="s">
        <v>1</v>
      </c>
      <c r="Y37" s="2" t="s">
        <v>1</v>
      </c>
      <c r="Z37" s="2" t="s">
        <v>1</v>
      </c>
      <c r="AA37" s="2" t="s">
        <v>1</v>
      </c>
      <c r="AB37" s="2" t="s">
        <v>1</v>
      </c>
      <c r="AC37" s="2" t="s">
        <v>1</v>
      </c>
    </row>
    <row r="38" spans="1:29" x14ac:dyDescent="0.25">
      <c r="A38" s="2" t="s">
        <v>29</v>
      </c>
      <c r="B38" s="2" t="b">
        <v>0</v>
      </c>
      <c r="C38" s="2" t="s">
        <v>2571</v>
      </c>
      <c r="D38" s="2" t="s">
        <v>2572</v>
      </c>
      <c r="E38" s="2" t="s">
        <v>2573</v>
      </c>
      <c r="F38" s="2">
        <v>44219</v>
      </c>
      <c r="G38" s="2">
        <v>0.31111111111111112</v>
      </c>
      <c r="H38" s="2">
        <v>44219</v>
      </c>
      <c r="I38" s="2" t="s">
        <v>2655</v>
      </c>
      <c r="J38" s="2" t="s">
        <v>598</v>
      </c>
      <c r="K38" s="2" t="s">
        <v>24</v>
      </c>
      <c r="L38" s="2" t="s">
        <v>585</v>
      </c>
      <c r="M38" s="2" t="s">
        <v>2656</v>
      </c>
      <c r="N38" s="2" t="s">
        <v>1</v>
      </c>
      <c r="O38" s="2" t="s">
        <v>598</v>
      </c>
      <c r="P38" s="2">
        <v>1</v>
      </c>
      <c r="Q38" s="2" t="s">
        <v>1</v>
      </c>
      <c r="R38" s="2" t="s">
        <v>1</v>
      </c>
      <c r="S38" s="2" t="s">
        <v>1</v>
      </c>
      <c r="T38" s="2" t="s">
        <v>229</v>
      </c>
      <c r="U38" s="2" t="s">
        <v>27</v>
      </c>
      <c r="V38" s="2" t="s">
        <v>28</v>
      </c>
      <c r="W38" s="2" t="s">
        <v>1</v>
      </c>
      <c r="X38" s="2" t="s">
        <v>1</v>
      </c>
      <c r="Y38" s="2" t="s">
        <v>1</v>
      </c>
      <c r="Z38" s="2" t="s">
        <v>1</v>
      </c>
      <c r="AA38" s="2" t="s">
        <v>1</v>
      </c>
      <c r="AB38" s="2" t="s">
        <v>1</v>
      </c>
      <c r="AC38" s="2" t="s">
        <v>1</v>
      </c>
    </row>
    <row r="39" spans="1:29" x14ac:dyDescent="0.25">
      <c r="A39" s="2" t="s">
        <v>29</v>
      </c>
      <c r="B39" s="2" t="b">
        <v>0</v>
      </c>
      <c r="C39" s="2" t="s">
        <v>2571</v>
      </c>
      <c r="D39" s="2" t="s">
        <v>2572</v>
      </c>
      <c r="E39" s="2" t="s">
        <v>2573</v>
      </c>
      <c r="F39" s="2">
        <v>44219</v>
      </c>
      <c r="G39" s="2">
        <v>0.29791666666666666</v>
      </c>
      <c r="H39" s="2">
        <v>44219</v>
      </c>
      <c r="I39" s="2" t="s">
        <v>2657</v>
      </c>
      <c r="J39" s="2" t="s">
        <v>598</v>
      </c>
      <c r="K39" s="2" t="s">
        <v>24</v>
      </c>
      <c r="L39" s="2" t="s">
        <v>585</v>
      </c>
      <c r="M39" s="2" t="s">
        <v>2658</v>
      </c>
      <c r="N39" s="2" t="s">
        <v>1</v>
      </c>
      <c r="O39" s="2" t="s">
        <v>598</v>
      </c>
      <c r="P39" s="2">
        <v>1</v>
      </c>
      <c r="Q39" s="2" t="s">
        <v>1</v>
      </c>
      <c r="R39" s="2" t="s">
        <v>1</v>
      </c>
      <c r="S39" s="2" t="s">
        <v>1</v>
      </c>
      <c r="T39" s="2" t="s">
        <v>230</v>
      </c>
      <c r="U39" s="2" t="s">
        <v>27</v>
      </c>
      <c r="V39" s="2" t="s">
        <v>28</v>
      </c>
      <c r="W39" s="2" t="s">
        <v>1</v>
      </c>
      <c r="X39" s="2" t="s">
        <v>1</v>
      </c>
      <c r="Y39" s="2" t="s">
        <v>1</v>
      </c>
      <c r="Z39" s="2" t="s">
        <v>1</v>
      </c>
      <c r="AA39" s="2" t="s">
        <v>1</v>
      </c>
      <c r="AB39" s="2" t="s">
        <v>1</v>
      </c>
      <c r="AC39" s="2" t="s">
        <v>1</v>
      </c>
    </row>
    <row r="40" spans="1:29" x14ac:dyDescent="0.25">
      <c r="A40" s="2" t="s">
        <v>29</v>
      </c>
      <c r="B40" s="2" t="b">
        <v>0</v>
      </c>
      <c r="C40" s="2" t="s">
        <v>2571</v>
      </c>
      <c r="D40" s="2" t="s">
        <v>2572</v>
      </c>
      <c r="E40" s="2" t="s">
        <v>2573</v>
      </c>
      <c r="F40" s="2">
        <v>44219</v>
      </c>
      <c r="G40" s="2">
        <v>0.25138888888888888</v>
      </c>
      <c r="H40" s="2">
        <v>44219</v>
      </c>
      <c r="I40" s="2" t="s">
        <v>2659</v>
      </c>
      <c r="J40" s="2" t="s">
        <v>604</v>
      </c>
      <c r="K40" s="2" t="s">
        <v>24</v>
      </c>
      <c r="L40" s="2" t="s">
        <v>585</v>
      </c>
      <c r="M40" s="2" t="s">
        <v>2660</v>
      </c>
      <c r="N40" s="2" t="s">
        <v>1</v>
      </c>
      <c r="O40" s="2" t="s">
        <v>604</v>
      </c>
      <c r="P40" s="2">
        <v>1</v>
      </c>
      <c r="Q40" s="2" t="s">
        <v>1</v>
      </c>
      <c r="R40" s="2" t="s">
        <v>1</v>
      </c>
      <c r="S40" s="2" t="s">
        <v>1</v>
      </c>
      <c r="T40" s="2" t="s">
        <v>233</v>
      </c>
      <c r="U40" s="2" t="s">
        <v>27</v>
      </c>
      <c r="V40" s="2" t="s">
        <v>28</v>
      </c>
      <c r="W40" s="2" t="s">
        <v>1</v>
      </c>
      <c r="X40" s="2" t="s">
        <v>1</v>
      </c>
      <c r="Y40" s="2" t="s">
        <v>1</v>
      </c>
      <c r="Z40" s="2" t="s">
        <v>1</v>
      </c>
      <c r="AA40" s="2" t="s">
        <v>1</v>
      </c>
      <c r="AB40" s="2" t="s">
        <v>1</v>
      </c>
      <c r="AC40" s="2" t="s">
        <v>1</v>
      </c>
    </row>
    <row r="41" spans="1:29" x14ac:dyDescent="0.25">
      <c r="A41" s="2" t="s">
        <v>29</v>
      </c>
      <c r="B41" s="2" t="b">
        <v>0</v>
      </c>
      <c r="C41" s="2" t="s">
        <v>2571</v>
      </c>
      <c r="D41" s="2" t="s">
        <v>2572</v>
      </c>
      <c r="E41" s="2" t="s">
        <v>2573</v>
      </c>
      <c r="F41" s="2">
        <v>44206</v>
      </c>
      <c r="G41" s="2">
        <v>0.21875</v>
      </c>
      <c r="H41" s="2">
        <v>44206</v>
      </c>
      <c r="I41" s="2" t="s">
        <v>2681</v>
      </c>
      <c r="J41" s="2" t="s">
        <v>601</v>
      </c>
      <c r="K41" s="2" t="s">
        <v>24</v>
      </c>
      <c r="L41" s="2" t="s">
        <v>585</v>
      </c>
      <c r="M41" s="2" t="s">
        <v>2682</v>
      </c>
      <c r="N41" s="2" t="s">
        <v>1</v>
      </c>
      <c r="O41" s="2" t="s">
        <v>601</v>
      </c>
      <c r="P41" s="2">
        <v>1</v>
      </c>
      <c r="Q41" s="2" t="s">
        <v>1</v>
      </c>
      <c r="R41" s="2" t="s">
        <v>1</v>
      </c>
      <c r="S41" s="2" t="s">
        <v>1</v>
      </c>
      <c r="T41" s="2" t="s">
        <v>260</v>
      </c>
      <c r="U41" s="2" t="s">
        <v>22</v>
      </c>
      <c r="V41" s="2" t="s">
        <v>23</v>
      </c>
      <c r="W41" s="2" t="s">
        <v>1</v>
      </c>
      <c r="X41" s="2" t="s">
        <v>1</v>
      </c>
      <c r="Y41" s="2" t="s">
        <v>1</v>
      </c>
      <c r="Z41" s="2" t="s">
        <v>1</v>
      </c>
      <c r="AA41" s="2" t="s">
        <v>1</v>
      </c>
      <c r="AB41" s="2" t="s">
        <v>1</v>
      </c>
      <c r="AC41" s="2" t="s">
        <v>1</v>
      </c>
    </row>
    <row r="42" spans="1:29" x14ac:dyDescent="0.25">
      <c r="A42" s="2" t="s">
        <v>29</v>
      </c>
      <c r="B42" s="2" t="b">
        <v>0</v>
      </c>
      <c r="C42" s="2" t="s">
        <v>2571</v>
      </c>
      <c r="D42" s="2" t="s">
        <v>2572</v>
      </c>
      <c r="E42" s="2" t="s">
        <v>2573</v>
      </c>
      <c r="F42" s="2">
        <v>44206</v>
      </c>
      <c r="G42" s="2">
        <v>6.6666666666666666E-2</v>
      </c>
      <c r="H42" s="2">
        <v>44206</v>
      </c>
      <c r="I42" s="2" t="s">
        <v>2683</v>
      </c>
      <c r="J42" s="2" t="s">
        <v>605</v>
      </c>
      <c r="K42" s="2" t="s">
        <v>24</v>
      </c>
      <c r="L42" s="2" t="s">
        <v>585</v>
      </c>
      <c r="M42" s="2" t="s">
        <v>2684</v>
      </c>
      <c r="N42" s="2" t="s">
        <v>1</v>
      </c>
      <c r="O42" s="2" t="s">
        <v>605</v>
      </c>
      <c r="P42" s="2">
        <v>1</v>
      </c>
      <c r="Q42" s="2" t="s">
        <v>1</v>
      </c>
      <c r="R42" s="2" t="s">
        <v>1</v>
      </c>
      <c r="S42" s="2" t="s">
        <v>1</v>
      </c>
      <c r="T42" s="2" t="s">
        <v>260</v>
      </c>
      <c r="U42" s="2" t="s">
        <v>50</v>
      </c>
      <c r="V42" s="2" t="s">
        <v>51</v>
      </c>
      <c r="W42" s="2" t="s">
        <v>1</v>
      </c>
      <c r="X42" s="2" t="s">
        <v>1</v>
      </c>
      <c r="Y42" s="2" t="s">
        <v>1</v>
      </c>
      <c r="Z42" s="2" t="s">
        <v>1</v>
      </c>
      <c r="AA42" s="2" t="s">
        <v>1</v>
      </c>
      <c r="AB42" s="2" t="s">
        <v>1</v>
      </c>
      <c r="AC42" s="2" t="s">
        <v>1</v>
      </c>
    </row>
    <row r="43" spans="1:29" x14ac:dyDescent="0.25">
      <c r="A43" s="2" t="s">
        <v>29</v>
      </c>
      <c r="B43" s="2" t="b">
        <v>0</v>
      </c>
      <c r="C43" s="2" t="s">
        <v>2571</v>
      </c>
      <c r="D43" s="2" t="s">
        <v>2572</v>
      </c>
      <c r="E43" s="2" t="s">
        <v>2573</v>
      </c>
      <c r="F43" s="2">
        <v>44201</v>
      </c>
      <c r="G43" s="2">
        <v>3.0555555555555555E-2</v>
      </c>
      <c r="H43" s="2">
        <v>44201</v>
      </c>
      <c r="I43" s="2" t="s">
        <v>2691</v>
      </c>
      <c r="J43" s="2" t="s">
        <v>605</v>
      </c>
      <c r="K43" s="2" t="s">
        <v>19</v>
      </c>
      <c r="L43" s="2" t="s">
        <v>585</v>
      </c>
      <c r="M43" s="2" t="s">
        <v>2692</v>
      </c>
      <c r="N43" s="2" t="s">
        <v>1</v>
      </c>
      <c r="O43" s="2" t="s">
        <v>605</v>
      </c>
      <c r="P43" s="2">
        <v>1</v>
      </c>
      <c r="Q43" s="2" t="s">
        <v>1</v>
      </c>
      <c r="R43" s="2" t="s">
        <v>1</v>
      </c>
      <c r="S43" s="2" t="s">
        <v>1</v>
      </c>
      <c r="T43" s="2" t="s">
        <v>249</v>
      </c>
      <c r="U43" s="2" t="s">
        <v>610</v>
      </c>
      <c r="V43" s="2" t="s">
        <v>611</v>
      </c>
      <c r="W43" s="2" t="s">
        <v>1</v>
      </c>
      <c r="X43" s="2" t="s">
        <v>1</v>
      </c>
      <c r="Y43" s="2" t="s">
        <v>1</v>
      </c>
      <c r="Z43" s="2" t="s">
        <v>1</v>
      </c>
      <c r="AA43" s="2" t="s">
        <v>1</v>
      </c>
      <c r="AB43" s="2" t="s">
        <v>1</v>
      </c>
      <c r="AC43" s="2" t="s">
        <v>1</v>
      </c>
    </row>
    <row r="44" spans="1:29" x14ac:dyDescent="0.25">
      <c r="A44" s="2" t="s">
        <v>29</v>
      </c>
      <c r="B44" s="2" t="b">
        <v>0</v>
      </c>
      <c r="C44" s="2" t="s">
        <v>2571</v>
      </c>
      <c r="D44" s="2" t="s">
        <v>2572</v>
      </c>
      <c r="E44" s="2" t="s">
        <v>2573</v>
      </c>
      <c r="F44" s="2">
        <v>44201</v>
      </c>
      <c r="G44" s="2">
        <v>7.9166666666666649E-2</v>
      </c>
      <c r="H44" s="2">
        <v>44201</v>
      </c>
      <c r="I44" s="2" t="s">
        <v>2689</v>
      </c>
      <c r="J44" s="2" t="s">
        <v>2685</v>
      </c>
      <c r="K44" s="2" t="s">
        <v>19</v>
      </c>
      <c r="L44" s="2" t="s">
        <v>585</v>
      </c>
      <c r="M44" s="2" t="s">
        <v>2690</v>
      </c>
      <c r="N44" s="2" t="s">
        <v>1</v>
      </c>
      <c r="O44" s="2" t="s">
        <v>2685</v>
      </c>
      <c r="P44" s="2">
        <v>1</v>
      </c>
      <c r="Q44" s="2" t="s">
        <v>1</v>
      </c>
      <c r="R44" s="2" t="s">
        <v>1</v>
      </c>
      <c r="S44" s="2" t="s">
        <v>1</v>
      </c>
      <c r="T44" s="2" t="s">
        <v>250</v>
      </c>
      <c r="U44" s="2" t="s">
        <v>610</v>
      </c>
      <c r="V44" s="2" t="s">
        <v>611</v>
      </c>
      <c r="W44" s="2" t="s">
        <v>1</v>
      </c>
      <c r="X44" s="2" t="s">
        <v>1</v>
      </c>
      <c r="Y44" s="2" t="s">
        <v>1</v>
      </c>
      <c r="Z44" s="2" t="s">
        <v>1</v>
      </c>
      <c r="AA44" s="2" t="s">
        <v>1</v>
      </c>
      <c r="AB44" s="2" t="s">
        <v>1</v>
      </c>
      <c r="AC44" s="2" t="s">
        <v>1</v>
      </c>
    </row>
    <row r="45" spans="1:29" x14ac:dyDescent="0.25">
      <c r="A45" s="2" t="s">
        <v>29</v>
      </c>
      <c r="B45" s="2" t="b">
        <v>0</v>
      </c>
      <c r="C45" s="2" t="s">
        <v>2571</v>
      </c>
      <c r="D45" s="2" t="s">
        <v>2572</v>
      </c>
      <c r="E45" s="2" t="s">
        <v>2573</v>
      </c>
      <c r="F45" s="2">
        <v>44222</v>
      </c>
      <c r="G45" s="2">
        <v>0.24305555555555555</v>
      </c>
      <c r="H45" s="2">
        <v>44222</v>
      </c>
      <c r="I45" s="2" t="s">
        <v>2648</v>
      </c>
      <c r="J45" s="2" t="s">
        <v>587</v>
      </c>
      <c r="K45" s="2" t="s">
        <v>19</v>
      </c>
      <c r="L45" s="2" t="s">
        <v>585</v>
      </c>
      <c r="M45" s="2" t="s">
        <v>602</v>
      </c>
      <c r="N45" s="2" t="s">
        <v>1</v>
      </c>
      <c r="O45" s="2" t="s">
        <v>587</v>
      </c>
      <c r="P45" s="2">
        <v>1</v>
      </c>
      <c r="Q45" s="2" t="s">
        <v>1</v>
      </c>
      <c r="R45" s="2" t="s">
        <v>1</v>
      </c>
      <c r="S45" s="2" t="s">
        <v>1</v>
      </c>
      <c r="T45" s="2" t="s">
        <v>519</v>
      </c>
      <c r="U45" s="2" t="s">
        <v>50</v>
      </c>
      <c r="V45" s="2" t="s">
        <v>51</v>
      </c>
      <c r="W45" s="2" t="s">
        <v>1</v>
      </c>
      <c r="X45" s="2" t="s">
        <v>1</v>
      </c>
      <c r="Y45" s="2" t="s">
        <v>1</v>
      </c>
      <c r="Z45" s="2" t="s">
        <v>1</v>
      </c>
      <c r="AA45" s="2" t="s">
        <v>1</v>
      </c>
      <c r="AB45" s="2" t="s">
        <v>1</v>
      </c>
      <c r="AC45" s="2" t="s">
        <v>1</v>
      </c>
    </row>
    <row r="46" spans="1:29" x14ac:dyDescent="0.25">
      <c r="A46" s="2" t="s">
        <v>29</v>
      </c>
      <c r="B46" s="2" t="b">
        <v>0</v>
      </c>
      <c r="C46" s="2" t="s">
        <v>2571</v>
      </c>
      <c r="D46" s="2" t="s">
        <v>2572</v>
      </c>
      <c r="E46" s="2" t="s">
        <v>2573</v>
      </c>
      <c r="F46" s="2">
        <v>44234</v>
      </c>
      <c r="G46" s="2">
        <v>0.12847222222222221</v>
      </c>
      <c r="H46" s="2">
        <v>44234</v>
      </c>
      <c r="I46" s="2" t="s">
        <v>2605</v>
      </c>
      <c r="J46" s="2" t="s">
        <v>605</v>
      </c>
      <c r="K46" s="2" t="s">
        <v>19</v>
      </c>
      <c r="L46" s="2" t="s">
        <v>585</v>
      </c>
      <c r="M46" s="2" t="s">
        <v>593</v>
      </c>
      <c r="N46" s="2" t="s">
        <v>1</v>
      </c>
      <c r="O46" s="2" t="s">
        <v>605</v>
      </c>
      <c r="P46" s="2">
        <v>1</v>
      </c>
      <c r="Q46" s="2" t="s">
        <v>1</v>
      </c>
      <c r="R46" s="2" t="s">
        <v>1</v>
      </c>
      <c r="S46" s="2" t="s">
        <v>1</v>
      </c>
      <c r="T46" s="2" t="s">
        <v>521</v>
      </c>
      <c r="U46" s="2" t="s">
        <v>50</v>
      </c>
      <c r="V46" s="2" t="s">
        <v>51</v>
      </c>
      <c r="W46" s="2" t="s">
        <v>1</v>
      </c>
      <c r="X46" s="2" t="s">
        <v>1</v>
      </c>
      <c r="Y46" s="2" t="s">
        <v>1</v>
      </c>
      <c r="Z46" s="2" t="s">
        <v>1</v>
      </c>
      <c r="AA46" s="2" t="s">
        <v>1</v>
      </c>
      <c r="AB46" s="2" t="s">
        <v>1</v>
      </c>
      <c r="AC46" s="2" t="s">
        <v>1</v>
      </c>
    </row>
    <row r="47" spans="1:29" x14ac:dyDescent="0.25">
      <c r="A47" s="2" t="s">
        <v>29</v>
      </c>
      <c r="B47" s="2" t="b">
        <v>0</v>
      </c>
      <c r="C47" s="2" t="s">
        <v>2571</v>
      </c>
      <c r="D47" s="2" t="s">
        <v>2572</v>
      </c>
      <c r="E47" s="2" t="s">
        <v>2573</v>
      </c>
      <c r="F47" s="2">
        <v>44233</v>
      </c>
      <c r="G47" s="2">
        <v>0.26250000000000001</v>
      </c>
      <c r="H47" s="2">
        <v>44233</v>
      </c>
      <c r="I47" s="2" t="s">
        <v>2606</v>
      </c>
      <c r="J47" s="2" t="s">
        <v>587</v>
      </c>
      <c r="K47" s="2" t="s">
        <v>19</v>
      </c>
      <c r="L47" s="2" t="s">
        <v>585</v>
      </c>
      <c r="M47" s="2" t="s">
        <v>600</v>
      </c>
      <c r="N47" s="2" t="s">
        <v>1</v>
      </c>
      <c r="O47" s="2" t="s">
        <v>587</v>
      </c>
      <c r="P47" s="2">
        <v>1</v>
      </c>
      <c r="Q47" s="2" t="s">
        <v>1</v>
      </c>
      <c r="R47" s="2" t="s">
        <v>1</v>
      </c>
      <c r="S47" s="2" t="s">
        <v>1</v>
      </c>
      <c r="T47" s="2" t="s">
        <v>521</v>
      </c>
      <c r="U47" s="2" t="s">
        <v>22</v>
      </c>
      <c r="V47" s="2" t="s">
        <v>23</v>
      </c>
      <c r="W47" s="2" t="s">
        <v>1</v>
      </c>
      <c r="X47" s="2" t="s">
        <v>1</v>
      </c>
      <c r="Y47" s="2" t="s">
        <v>1</v>
      </c>
      <c r="Z47" s="2" t="s">
        <v>1</v>
      </c>
      <c r="AA47" s="2" t="s">
        <v>1</v>
      </c>
      <c r="AB47" s="2" t="s">
        <v>1</v>
      </c>
      <c r="AC47" s="2" t="s">
        <v>1</v>
      </c>
    </row>
    <row r="48" spans="1:29" x14ac:dyDescent="0.25">
      <c r="A48" s="2" t="s">
        <v>15</v>
      </c>
      <c r="B48" s="2" t="b">
        <v>0</v>
      </c>
      <c r="C48" s="2" t="s">
        <v>2571</v>
      </c>
      <c r="D48" s="2" t="s">
        <v>2572</v>
      </c>
      <c r="E48" s="2" t="s">
        <v>2573</v>
      </c>
      <c r="F48" s="2">
        <v>44221</v>
      </c>
      <c r="G48" s="2">
        <v>0.27986111111111112</v>
      </c>
      <c r="H48" s="2">
        <v>44221</v>
      </c>
      <c r="I48" s="2" t="s">
        <v>2576</v>
      </c>
      <c r="J48" s="2" t="s">
        <v>587</v>
      </c>
      <c r="K48" s="2" t="s">
        <v>24</v>
      </c>
      <c r="L48" s="2" t="s">
        <v>585</v>
      </c>
      <c r="M48" s="2" t="s">
        <v>2577</v>
      </c>
      <c r="N48" s="2" t="s">
        <v>1</v>
      </c>
      <c r="O48" s="2" t="s">
        <v>587</v>
      </c>
      <c r="P48" s="2">
        <v>1</v>
      </c>
      <c r="Q48" s="2" t="s">
        <v>1</v>
      </c>
      <c r="R48" s="2" t="s">
        <v>1</v>
      </c>
      <c r="S48" s="2" t="s">
        <v>1</v>
      </c>
      <c r="T48" s="2" t="s">
        <v>528</v>
      </c>
      <c r="U48" s="2" t="s">
        <v>100</v>
      </c>
      <c r="V48" s="2" t="s">
        <v>101</v>
      </c>
      <c r="W48" s="2" t="s">
        <v>1</v>
      </c>
      <c r="X48" s="2" t="s">
        <v>1</v>
      </c>
      <c r="Y48" s="2" t="s">
        <v>1</v>
      </c>
      <c r="Z48" s="2" t="s">
        <v>1</v>
      </c>
      <c r="AA48" s="2" t="s">
        <v>1</v>
      </c>
      <c r="AB48" s="2" t="s">
        <v>1</v>
      </c>
      <c r="AC48" s="2" t="s">
        <v>1</v>
      </c>
    </row>
    <row r="49" spans="1:29" x14ac:dyDescent="0.25">
      <c r="A49" s="2" t="s">
        <v>29</v>
      </c>
      <c r="B49" s="2" t="b">
        <v>0</v>
      </c>
      <c r="C49" s="2" t="s">
        <v>2571</v>
      </c>
      <c r="D49" s="2" t="s">
        <v>2572</v>
      </c>
      <c r="E49" s="2" t="s">
        <v>2573</v>
      </c>
      <c r="F49" s="2">
        <v>44234</v>
      </c>
      <c r="G49" s="2">
        <v>0.42083333333333334</v>
      </c>
      <c r="H49" s="2">
        <v>44234</v>
      </c>
      <c r="I49" s="2" t="s">
        <v>2603</v>
      </c>
      <c r="J49" s="2" t="s">
        <v>604</v>
      </c>
      <c r="K49" s="2" t="s">
        <v>38</v>
      </c>
      <c r="L49" s="2" t="s">
        <v>585</v>
      </c>
      <c r="M49" s="2" t="s">
        <v>2604</v>
      </c>
      <c r="N49" s="2" t="s">
        <v>1</v>
      </c>
      <c r="O49" s="2" t="s">
        <v>604</v>
      </c>
      <c r="P49" s="2">
        <v>1</v>
      </c>
      <c r="Q49" s="2" t="s">
        <v>1</v>
      </c>
      <c r="R49" s="2" t="s">
        <v>1</v>
      </c>
      <c r="S49" s="2" t="s">
        <v>1</v>
      </c>
      <c r="T49" s="2" t="s">
        <v>530</v>
      </c>
      <c r="U49" s="2" t="s">
        <v>50</v>
      </c>
      <c r="V49" s="2" t="s">
        <v>51</v>
      </c>
      <c r="W49" s="2" t="s">
        <v>1</v>
      </c>
      <c r="X49" s="2" t="s">
        <v>1</v>
      </c>
      <c r="Y49" s="2" t="s">
        <v>1</v>
      </c>
      <c r="Z49" s="2" t="s">
        <v>1</v>
      </c>
      <c r="AA49" s="2" t="s">
        <v>1</v>
      </c>
      <c r="AB49" s="2" t="s">
        <v>1</v>
      </c>
      <c r="AC49" s="2" t="s">
        <v>1</v>
      </c>
    </row>
    <row r="50" spans="1:29" x14ac:dyDescent="0.25">
      <c r="A50" s="2" t="s">
        <v>29</v>
      </c>
      <c r="B50" s="2" t="b">
        <v>0</v>
      </c>
      <c r="C50" s="2" t="s">
        <v>2571</v>
      </c>
      <c r="D50" s="2" t="s">
        <v>2572</v>
      </c>
      <c r="E50" s="2" t="s">
        <v>2573</v>
      </c>
      <c r="F50" s="2">
        <v>44234</v>
      </c>
      <c r="G50" s="2">
        <v>0.29583333333333334</v>
      </c>
      <c r="H50" s="2">
        <v>44234</v>
      </c>
      <c r="I50" s="2" t="s">
        <v>2603</v>
      </c>
      <c r="J50" s="2" t="s">
        <v>590</v>
      </c>
      <c r="K50" s="2" t="s">
        <v>24</v>
      </c>
      <c r="L50" s="2" t="s">
        <v>585</v>
      </c>
      <c r="M50" s="2" t="s">
        <v>591</v>
      </c>
      <c r="N50" s="2" t="s">
        <v>1</v>
      </c>
      <c r="O50" s="2" t="s">
        <v>590</v>
      </c>
      <c r="P50" s="2">
        <v>1</v>
      </c>
      <c r="Q50" s="2" t="s">
        <v>1</v>
      </c>
      <c r="R50" s="2" t="s">
        <v>1</v>
      </c>
      <c r="S50" s="2" t="s">
        <v>1</v>
      </c>
      <c r="T50" s="2" t="s">
        <v>530</v>
      </c>
      <c r="U50" s="2" t="s">
        <v>50</v>
      </c>
      <c r="V50" s="2" t="s">
        <v>51</v>
      </c>
      <c r="W50" s="2" t="s">
        <v>1</v>
      </c>
      <c r="X50" s="2" t="s">
        <v>1</v>
      </c>
      <c r="Y50" s="2" t="s">
        <v>1</v>
      </c>
      <c r="Z50" s="2" t="s">
        <v>1</v>
      </c>
      <c r="AA50" s="2" t="s">
        <v>1</v>
      </c>
      <c r="AB50" s="2" t="s">
        <v>1</v>
      </c>
      <c r="AC50" s="2" t="s">
        <v>1</v>
      </c>
    </row>
    <row r="51" spans="1:29" x14ac:dyDescent="0.25">
      <c r="A51" s="2" t="s">
        <v>29</v>
      </c>
      <c r="B51" s="2" t="b">
        <v>0</v>
      </c>
      <c r="C51" s="2" t="s">
        <v>2571</v>
      </c>
      <c r="D51" s="2" t="s">
        <v>2572</v>
      </c>
      <c r="E51" s="2" t="s">
        <v>2573</v>
      </c>
      <c r="F51" s="2">
        <v>44233</v>
      </c>
      <c r="G51" s="2">
        <v>0.96388888888888891</v>
      </c>
      <c r="H51" s="2">
        <v>44234</v>
      </c>
      <c r="I51" s="2" t="s">
        <v>608</v>
      </c>
      <c r="J51" s="2" t="s">
        <v>603</v>
      </c>
      <c r="K51" s="2" t="s">
        <v>19</v>
      </c>
      <c r="L51" s="2" t="s">
        <v>585</v>
      </c>
      <c r="M51" s="2" t="s">
        <v>595</v>
      </c>
      <c r="N51" s="2" t="s">
        <v>1</v>
      </c>
      <c r="O51" s="2" t="s">
        <v>603</v>
      </c>
      <c r="P51" s="2">
        <v>1</v>
      </c>
      <c r="Q51" s="2" t="s">
        <v>1</v>
      </c>
      <c r="R51" s="2" t="s">
        <v>1</v>
      </c>
      <c r="S51" s="2" t="s">
        <v>1</v>
      </c>
      <c r="T51" s="2" t="s">
        <v>530</v>
      </c>
      <c r="U51" s="2" t="s">
        <v>22</v>
      </c>
      <c r="V51" s="2" t="s">
        <v>23</v>
      </c>
      <c r="W51" s="2" t="s">
        <v>1</v>
      </c>
      <c r="X51" s="2" t="s">
        <v>1</v>
      </c>
      <c r="Y51" s="2" t="s">
        <v>1</v>
      </c>
      <c r="Z51" s="2" t="s">
        <v>1</v>
      </c>
      <c r="AA51" s="2" t="s">
        <v>1</v>
      </c>
      <c r="AB51" s="2" t="s">
        <v>1</v>
      </c>
      <c r="AC51" s="2" t="s">
        <v>1</v>
      </c>
    </row>
    <row r="52" spans="1:29" x14ac:dyDescent="0.25">
      <c r="A52" s="2" t="s">
        <v>29</v>
      </c>
      <c r="B52" s="2" t="b">
        <v>0</v>
      </c>
      <c r="C52" s="2" t="s">
        <v>2571</v>
      </c>
      <c r="D52" s="2" t="s">
        <v>2572</v>
      </c>
      <c r="E52" s="2" t="s">
        <v>2573</v>
      </c>
      <c r="F52" s="2">
        <v>44233</v>
      </c>
      <c r="G52" s="2">
        <v>0.26250000000000001</v>
      </c>
      <c r="H52" s="2">
        <v>44233</v>
      </c>
      <c r="I52" s="2" t="s">
        <v>2606</v>
      </c>
      <c r="J52" s="2" t="s">
        <v>587</v>
      </c>
      <c r="K52" s="2" t="s">
        <v>38</v>
      </c>
      <c r="L52" s="2" t="s">
        <v>585</v>
      </c>
      <c r="M52" s="2" t="s">
        <v>2607</v>
      </c>
      <c r="N52" s="2" t="s">
        <v>1</v>
      </c>
      <c r="O52" s="2" t="s">
        <v>587</v>
      </c>
      <c r="P52" s="2">
        <v>1</v>
      </c>
      <c r="Q52" s="2" t="s">
        <v>1</v>
      </c>
      <c r="R52" s="2" t="s">
        <v>1</v>
      </c>
      <c r="S52" s="2" t="s">
        <v>1</v>
      </c>
      <c r="T52" s="2" t="s">
        <v>530</v>
      </c>
      <c r="U52" s="2" t="s">
        <v>22</v>
      </c>
      <c r="V52" s="2" t="s">
        <v>23</v>
      </c>
      <c r="W52" s="2" t="s">
        <v>1</v>
      </c>
      <c r="X52" s="2" t="s">
        <v>1</v>
      </c>
      <c r="Y52" s="2" t="s">
        <v>1</v>
      </c>
      <c r="Z52" s="2" t="s">
        <v>1</v>
      </c>
      <c r="AA52" s="2" t="s">
        <v>1</v>
      </c>
      <c r="AB52" s="2" t="s">
        <v>1</v>
      </c>
      <c r="AC52" s="2" t="s">
        <v>1</v>
      </c>
    </row>
    <row r="53" spans="1:29" x14ac:dyDescent="0.25">
      <c r="A53" s="2" t="s">
        <v>29</v>
      </c>
      <c r="B53" s="2" t="b">
        <v>0</v>
      </c>
      <c r="C53" s="2" t="s">
        <v>2571</v>
      </c>
      <c r="D53" s="2" t="s">
        <v>2572</v>
      </c>
      <c r="E53" s="2" t="s">
        <v>2573</v>
      </c>
      <c r="F53" s="2">
        <v>44223</v>
      </c>
      <c r="G53" s="2">
        <v>0.4236111111111111</v>
      </c>
      <c r="H53" s="2">
        <v>44223</v>
      </c>
      <c r="I53" s="2" t="s">
        <v>2641</v>
      </c>
      <c r="J53" s="2" t="s">
        <v>586</v>
      </c>
      <c r="K53" s="2" t="s">
        <v>19</v>
      </c>
      <c r="L53" s="2" t="s">
        <v>585</v>
      </c>
      <c r="M53" s="2" t="s">
        <v>2642</v>
      </c>
      <c r="N53" s="2" t="s">
        <v>1</v>
      </c>
      <c r="O53" s="2" t="s">
        <v>586</v>
      </c>
      <c r="P53" s="2">
        <v>1</v>
      </c>
      <c r="Q53" s="2" t="s">
        <v>1</v>
      </c>
      <c r="R53" s="2" t="s">
        <v>1</v>
      </c>
      <c r="S53" s="2" t="s">
        <v>1</v>
      </c>
      <c r="T53" s="2" t="s">
        <v>532</v>
      </c>
      <c r="U53" s="2" t="s">
        <v>22</v>
      </c>
      <c r="V53" s="2" t="s">
        <v>23</v>
      </c>
      <c r="W53" s="2" t="s">
        <v>1</v>
      </c>
      <c r="X53" s="2" t="s">
        <v>1</v>
      </c>
      <c r="Y53" s="2" t="s">
        <v>1</v>
      </c>
      <c r="Z53" s="2" t="s">
        <v>1</v>
      </c>
      <c r="AA53" s="2" t="s">
        <v>1</v>
      </c>
      <c r="AB53" s="2" t="s">
        <v>1</v>
      </c>
      <c r="AC53" s="2" t="s">
        <v>1</v>
      </c>
    </row>
    <row r="54" spans="1:29" x14ac:dyDescent="0.25">
      <c r="A54" s="2" t="s">
        <v>29</v>
      </c>
      <c r="B54" s="2" t="b">
        <v>0</v>
      </c>
      <c r="C54" s="2" t="s">
        <v>2571</v>
      </c>
      <c r="D54" s="2" t="s">
        <v>2572</v>
      </c>
      <c r="E54" s="2" t="s">
        <v>2573</v>
      </c>
      <c r="F54" s="2">
        <v>44223</v>
      </c>
      <c r="G54" s="2">
        <v>0.31805555555555554</v>
      </c>
      <c r="H54" s="2">
        <v>44223</v>
      </c>
      <c r="I54" s="2" t="s">
        <v>2643</v>
      </c>
      <c r="J54" s="2" t="s">
        <v>590</v>
      </c>
      <c r="K54" s="2" t="s">
        <v>19</v>
      </c>
      <c r="L54" s="2" t="s">
        <v>585</v>
      </c>
      <c r="M54" s="2" t="s">
        <v>2644</v>
      </c>
      <c r="N54" s="2" t="s">
        <v>1</v>
      </c>
      <c r="O54" s="2" t="s">
        <v>590</v>
      </c>
      <c r="P54" s="2">
        <v>1</v>
      </c>
      <c r="Q54" s="2" t="s">
        <v>1</v>
      </c>
      <c r="R54" s="2" t="s">
        <v>1</v>
      </c>
      <c r="S54" s="2" t="s">
        <v>1</v>
      </c>
      <c r="T54" s="2" t="s">
        <v>532</v>
      </c>
      <c r="U54" s="2" t="s">
        <v>50</v>
      </c>
      <c r="V54" s="2" t="s">
        <v>51</v>
      </c>
      <c r="W54" s="2" t="s">
        <v>1</v>
      </c>
      <c r="X54" s="2" t="s">
        <v>1</v>
      </c>
      <c r="Y54" s="2" t="s">
        <v>1</v>
      </c>
      <c r="Z54" s="2" t="s">
        <v>1</v>
      </c>
      <c r="AA54" s="2" t="s">
        <v>1</v>
      </c>
      <c r="AB54" s="2" t="s">
        <v>1</v>
      </c>
      <c r="AC54" s="2" t="s">
        <v>1</v>
      </c>
    </row>
    <row r="55" spans="1:29" x14ac:dyDescent="0.25">
      <c r="A55" s="2" t="s">
        <v>29</v>
      </c>
      <c r="B55" s="2" t="b">
        <v>0</v>
      </c>
      <c r="C55" s="2" t="s">
        <v>2571</v>
      </c>
      <c r="D55" s="2" t="s">
        <v>2572</v>
      </c>
      <c r="E55" s="2" t="s">
        <v>2573</v>
      </c>
      <c r="F55" s="2">
        <v>44222</v>
      </c>
      <c r="G55" s="2">
        <v>0.45</v>
      </c>
      <c r="H55" s="2">
        <v>44222</v>
      </c>
      <c r="I55" s="2" t="s">
        <v>2646</v>
      </c>
      <c r="J55" s="2" t="s">
        <v>604</v>
      </c>
      <c r="K55" s="2" t="s">
        <v>38</v>
      </c>
      <c r="L55" s="2" t="s">
        <v>585</v>
      </c>
      <c r="M55" s="2" t="s">
        <v>2647</v>
      </c>
      <c r="N55" s="2" t="s">
        <v>1</v>
      </c>
      <c r="O55" s="2" t="s">
        <v>604</v>
      </c>
      <c r="P55" s="2">
        <v>1</v>
      </c>
      <c r="Q55" s="2" t="s">
        <v>1</v>
      </c>
      <c r="R55" s="2" t="s">
        <v>1</v>
      </c>
      <c r="S55" s="2" t="s">
        <v>1</v>
      </c>
      <c r="T55" s="2" t="s">
        <v>532</v>
      </c>
      <c r="U55" s="2" t="s">
        <v>22</v>
      </c>
      <c r="V55" s="2" t="s">
        <v>23</v>
      </c>
      <c r="W55" s="2" t="s">
        <v>1</v>
      </c>
      <c r="X55" s="2" t="s">
        <v>1</v>
      </c>
      <c r="Y55" s="2" t="s">
        <v>1</v>
      </c>
      <c r="Z55" s="2" t="s">
        <v>1</v>
      </c>
      <c r="AA55" s="2" t="s">
        <v>1</v>
      </c>
      <c r="AB55" s="2" t="s">
        <v>1</v>
      </c>
      <c r="AC55" s="2" t="s">
        <v>1</v>
      </c>
    </row>
    <row r="56" spans="1:29" x14ac:dyDescent="0.25">
      <c r="A56" s="2" t="s">
        <v>29</v>
      </c>
      <c r="B56" s="2" t="b">
        <v>0</v>
      </c>
      <c r="C56" s="2" t="s">
        <v>2571</v>
      </c>
      <c r="D56" s="2" t="s">
        <v>2572</v>
      </c>
      <c r="E56" s="2" t="s">
        <v>2573</v>
      </c>
      <c r="F56" s="2">
        <v>44222</v>
      </c>
      <c r="G56" s="2">
        <v>0.15902777777777777</v>
      </c>
      <c r="H56" s="2">
        <v>44222</v>
      </c>
      <c r="I56" s="2" t="s">
        <v>2649</v>
      </c>
      <c r="J56" s="2" t="s">
        <v>605</v>
      </c>
      <c r="K56" s="2" t="s">
        <v>19</v>
      </c>
      <c r="L56" s="2" t="s">
        <v>585</v>
      </c>
      <c r="M56" s="2" t="s">
        <v>2644</v>
      </c>
      <c r="N56" s="2" t="s">
        <v>1</v>
      </c>
      <c r="O56" s="2" t="s">
        <v>605</v>
      </c>
      <c r="P56" s="2">
        <v>1</v>
      </c>
      <c r="Q56" s="2" t="s">
        <v>1</v>
      </c>
      <c r="R56" s="2" t="s">
        <v>1</v>
      </c>
      <c r="S56" s="2" t="s">
        <v>1</v>
      </c>
      <c r="T56" s="2" t="s">
        <v>532</v>
      </c>
      <c r="U56" s="2" t="s">
        <v>50</v>
      </c>
      <c r="V56" s="2" t="s">
        <v>51</v>
      </c>
      <c r="W56" s="2" t="s">
        <v>1</v>
      </c>
      <c r="X56" s="2" t="s">
        <v>1</v>
      </c>
      <c r="Y56" s="2" t="s">
        <v>1</v>
      </c>
      <c r="Z56" s="2" t="s">
        <v>1</v>
      </c>
      <c r="AA56" s="2" t="s">
        <v>1</v>
      </c>
      <c r="AB56" s="2" t="s">
        <v>1</v>
      </c>
      <c r="AC56" s="2" t="s">
        <v>1</v>
      </c>
    </row>
    <row r="57" spans="1:29" x14ac:dyDescent="0.25">
      <c r="A57" s="2" t="s">
        <v>29</v>
      </c>
      <c r="B57" s="2" t="b">
        <v>0</v>
      </c>
      <c r="C57" s="2" t="s">
        <v>2571</v>
      </c>
      <c r="D57" s="2" t="s">
        <v>2572</v>
      </c>
      <c r="E57" s="2" t="s">
        <v>2573</v>
      </c>
      <c r="F57" s="2">
        <v>44226</v>
      </c>
      <c r="G57" s="2">
        <v>0.10486111111111111</v>
      </c>
      <c r="H57" s="2">
        <v>44226</v>
      </c>
      <c r="I57" s="2" t="s">
        <v>619</v>
      </c>
      <c r="J57" s="2" t="s">
        <v>587</v>
      </c>
      <c r="K57" s="2" t="s">
        <v>19</v>
      </c>
      <c r="L57" s="2" t="s">
        <v>585</v>
      </c>
      <c r="M57" s="2" t="s">
        <v>2628</v>
      </c>
      <c r="N57" s="2" t="s">
        <v>1</v>
      </c>
      <c r="O57" s="2" t="s">
        <v>587</v>
      </c>
      <c r="P57" s="2">
        <v>1</v>
      </c>
      <c r="Q57" s="2" t="s">
        <v>1</v>
      </c>
      <c r="R57" s="2" t="s">
        <v>1</v>
      </c>
      <c r="S57" s="2" t="s">
        <v>1</v>
      </c>
      <c r="T57" s="2" t="s">
        <v>534</v>
      </c>
      <c r="U57" s="2" t="s">
        <v>610</v>
      </c>
      <c r="V57" s="2" t="s">
        <v>611</v>
      </c>
      <c r="W57" s="2" t="s">
        <v>1</v>
      </c>
      <c r="X57" s="2" t="s">
        <v>1</v>
      </c>
      <c r="Y57" s="2" t="s">
        <v>1</v>
      </c>
      <c r="Z57" s="2" t="s">
        <v>1</v>
      </c>
      <c r="AA57" s="2" t="s">
        <v>1</v>
      </c>
      <c r="AB57" s="2" t="s">
        <v>1</v>
      </c>
      <c r="AC57" s="2" t="s">
        <v>1</v>
      </c>
    </row>
    <row r="58" spans="1:29" x14ac:dyDescent="0.25">
      <c r="A58" s="2" t="s">
        <v>29</v>
      </c>
      <c r="B58" s="2" t="b">
        <v>0</v>
      </c>
      <c r="C58" s="2" t="s">
        <v>2571</v>
      </c>
      <c r="D58" s="2" t="s">
        <v>2572</v>
      </c>
      <c r="E58" s="2" t="s">
        <v>2573</v>
      </c>
      <c r="F58" s="2">
        <v>44226</v>
      </c>
      <c r="G58" s="2">
        <v>0.32291666666666669</v>
      </c>
      <c r="H58" s="2">
        <v>44226</v>
      </c>
      <c r="I58" s="2" t="s">
        <v>2614</v>
      </c>
      <c r="J58" s="2" t="s">
        <v>604</v>
      </c>
      <c r="K58" s="2" t="s">
        <v>19</v>
      </c>
      <c r="L58" s="2" t="s">
        <v>585</v>
      </c>
      <c r="M58" s="2" t="s">
        <v>2615</v>
      </c>
      <c r="N58" s="2" t="s">
        <v>1</v>
      </c>
      <c r="O58" s="2" t="s">
        <v>604</v>
      </c>
      <c r="P58" s="2">
        <v>1</v>
      </c>
      <c r="Q58" s="2" t="s">
        <v>1</v>
      </c>
      <c r="R58" s="2" t="s">
        <v>1</v>
      </c>
      <c r="S58" s="2" t="s">
        <v>1</v>
      </c>
      <c r="T58" s="2" t="s">
        <v>535</v>
      </c>
      <c r="U58" s="2" t="s">
        <v>610</v>
      </c>
      <c r="V58" s="2" t="s">
        <v>611</v>
      </c>
      <c r="W58" s="2" t="s">
        <v>1</v>
      </c>
      <c r="X58" s="2" t="s">
        <v>1</v>
      </c>
      <c r="Y58" s="2" t="s">
        <v>1</v>
      </c>
      <c r="Z58" s="2" t="s">
        <v>1</v>
      </c>
      <c r="AA58" s="2" t="s">
        <v>1</v>
      </c>
      <c r="AB58" s="2" t="s">
        <v>1</v>
      </c>
      <c r="AC58" s="2" t="s">
        <v>1</v>
      </c>
    </row>
    <row r="59" spans="1:29" x14ac:dyDescent="0.25">
      <c r="A59" s="2" t="s">
        <v>29</v>
      </c>
      <c r="B59" s="2" t="b">
        <v>0</v>
      </c>
      <c r="C59" s="2" t="s">
        <v>2571</v>
      </c>
      <c r="D59" s="2" t="s">
        <v>2572</v>
      </c>
      <c r="E59" s="2" t="s">
        <v>2573</v>
      </c>
      <c r="F59" s="2">
        <v>44225</v>
      </c>
      <c r="G59" s="2">
        <v>0.28680555555555554</v>
      </c>
      <c r="H59" s="2">
        <v>44225</v>
      </c>
      <c r="I59" s="2" t="s">
        <v>2639</v>
      </c>
      <c r="J59" s="2" t="s">
        <v>587</v>
      </c>
      <c r="K59" s="2" t="s">
        <v>19</v>
      </c>
      <c r="L59" s="2" t="s">
        <v>585</v>
      </c>
      <c r="M59" s="2" t="s">
        <v>2615</v>
      </c>
      <c r="N59" s="2" t="s">
        <v>1</v>
      </c>
      <c r="O59" s="2" t="s">
        <v>587</v>
      </c>
      <c r="P59" s="2">
        <v>1</v>
      </c>
      <c r="Q59" s="2" t="s">
        <v>1</v>
      </c>
      <c r="R59" s="2" t="s">
        <v>1</v>
      </c>
      <c r="S59" s="2" t="s">
        <v>1</v>
      </c>
      <c r="T59" s="2" t="s">
        <v>535</v>
      </c>
      <c r="U59" s="2" t="s">
        <v>610</v>
      </c>
      <c r="V59" s="2" t="s">
        <v>611</v>
      </c>
      <c r="W59" s="2" t="s">
        <v>1</v>
      </c>
      <c r="X59" s="2" t="s">
        <v>1</v>
      </c>
      <c r="Y59" s="2" t="s">
        <v>1</v>
      </c>
      <c r="Z59" s="2" t="s">
        <v>1</v>
      </c>
      <c r="AA59" s="2" t="s">
        <v>1</v>
      </c>
      <c r="AB59" s="2" t="s">
        <v>1</v>
      </c>
      <c r="AC59" s="2" t="s">
        <v>1</v>
      </c>
    </row>
    <row r="60" spans="1:29" x14ac:dyDescent="0.25">
      <c r="A60" s="2" t="s">
        <v>29</v>
      </c>
      <c r="B60" s="2" t="b">
        <v>0</v>
      </c>
      <c r="C60" s="2" t="s">
        <v>2571</v>
      </c>
      <c r="D60" s="2" t="s">
        <v>2572</v>
      </c>
      <c r="E60" s="2" t="s">
        <v>2573</v>
      </c>
      <c r="F60" s="2">
        <v>44226</v>
      </c>
      <c r="G60" s="2">
        <v>0.21041666666666667</v>
      </c>
      <c r="H60" s="2">
        <v>44226</v>
      </c>
      <c r="I60" s="2" t="s">
        <v>2618</v>
      </c>
      <c r="J60" s="2" t="s">
        <v>586</v>
      </c>
      <c r="K60" s="2" t="s">
        <v>19</v>
      </c>
      <c r="L60" s="2" t="s">
        <v>585</v>
      </c>
      <c r="M60" s="2" t="s">
        <v>2619</v>
      </c>
      <c r="N60" s="2" t="s">
        <v>1</v>
      </c>
      <c r="O60" s="2" t="s">
        <v>586</v>
      </c>
      <c r="P60" s="2">
        <v>1</v>
      </c>
      <c r="Q60" s="2" t="s">
        <v>1</v>
      </c>
      <c r="R60" s="2" t="s">
        <v>1</v>
      </c>
      <c r="S60" s="2" t="s">
        <v>1</v>
      </c>
      <c r="T60" s="2" t="s">
        <v>536</v>
      </c>
      <c r="U60" s="2" t="s">
        <v>610</v>
      </c>
      <c r="V60" s="2" t="s">
        <v>611</v>
      </c>
      <c r="W60" s="2" t="s">
        <v>1</v>
      </c>
      <c r="X60" s="2" t="s">
        <v>1</v>
      </c>
      <c r="Y60" s="2" t="s">
        <v>1</v>
      </c>
      <c r="Z60" s="2" t="s">
        <v>1</v>
      </c>
      <c r="AA60" s="2" t="s">
        <v>1</v>
      </c>
      <c r="AB60" s="2" t="s">
        <v>1</v>
      </c>
      <c r="AC60" s="2" t="s">
        <v>1</v>
      </c>
    </row>
    <row r="61" spans="1:29" x14ac:dyDescent="0.25">
      <c r="A61" s="2" t="s">
        <v>29</v>
      </c>
      <c r="B61" s="2" t="b">
        <v>0</v>
      </c>
      <c r="C61" s="2" t="s">
        <v>2571</v>
      </c>
      <c r="D61" s="2" t="s">
        <v>2572</v>
      </c>
      <c r="E61" s="2" t="s">
        <v>2573</v>
      </c>
      <c r="F61" s="2">
        <v>44225</v>
      </c>
      <c r="G61" s="2">
        <v>0.28680555555555554</v>
      </c>
      <c r="H61" s="2">
        <v>44225</v>
      </c>
      <c r="I61" s="2" t="s">
        <v>2639</v>
      </c>
      <c r="J61" s="2" t="s">
        <v>587</v>
      </c>
      <c r="K61" s="2" t="s">
        <v>19</v>
      </c>
      <c r="L61" s="2" t="s">
        <v>585</v>
      </c>
      <c r="M61" s="2" t="s">
        <v>2619</v>
      </c>
      <c r="N61" s="2" t="s">
        <v>1</v>
      </c>
      <c r="O61" s="2" t="s">
        <v>587</v>
      </c>
      <c r="P61" s="2">
        <v>1</v>
      </c>
      <c r="Q61" s="2" t="s">
        <v>1</v>
      </c>
      <c r="R61" s="2" t="s">
        <v>1</v>
      </c>
      <c r="S61" s="2" t="s">
        <v>1</v>
      </c>
      <c r="T61" s="2" t="s">
        <v>536</v>
      </c>
      <c r="U61" s="2" t="s">
        <v>610</v>
      </c>
      <c r="V61" s="2" t="s">
        <v>611</v>
      </c>
      <c r="W61" s="2" t="s">
        <v>1</v>
      </c>
      <c r="X61" s="2" t="s">
        <v>1</v>
      </c>
      <c r="Y61" s="2" t="s">
        <v>1</v>
      </c>
      <c r="Z61" s="2" t="s">
        <v>1</v>
      </c>
      <c r="AA61" s="2" t="s">
        <v>1</v>
      </c>
      <c r="AB61" s="2" t="s">
        <v>1</v>
      </c>
      <c r="AC61" s="2" t="s">
        <v>1</v>
      </c>
    </row>
    <row r="62" spans="1:29" x14ac:dyDescent="0.25">
      <c r="A62" s="2" t="s">
        <v>29</v>
      </c>
      <c r="B62" s="2" t="b">
        <v>0</v>
      </c>
      <c r="C62" s="2" t="s">
        <v>2571</v>
      </c>
      <c r="D62" s="2" t="s">
        <v>2572</v>
      </c>
      <c r="E62" s="2" t="s">
        <v>2573</v>
      </c>
      <c r="F62" s="2">
        <v>44226</v>
      </c>
      <c r="G62" s="2">
        <v>3.3333333333333333E-2</v>
      </c>
      <c r="H62" s="2">
        <v>44226</v>
      </c>
      <c r="I62" s="2" t="s">
        <v>617</v>
      </c>
      <c r="J62" s="2" t="s">
        <v>587</v>
      </c>
      <c r="K62" s="2" t="s">
        <v>19</v>
      </c>
      <c r="L62" s="2" t="s">
        <v>585</v>
      </c>
      <c r="M62" s="2" t="s">
        <v>2635</v>
      </c>
      <c r="N62" s="2" t="s">
        <v>1</v>
      </c>
      <c r="O62" s="2" t="s">
        <v>587</v>
      </c>
      <c r="P62" s="2">
        <v>1</v>
      </c>
      <c r="Q62" s="2" t="s">
        <v>1</v>
      </c>
      <c r="R62" s="2" t="s">
        <v>1</v>
      </c>
      <c r="S62" s="2" t="s">
        <v>1</v>
      </c>
      <c r="T62" s="2" t="s">
        <v>537</v>
      </c>
      <c r="U62" s="2" t="s">
        <v>610</v>
      </c>
      <c r="V62" s="2" t="s">
        <v>611</v>
      </c>
      <c r="W62" s="2" t="s">
        <v>1</v>
      </c>
      <c r="X62" s="2" t="s">
        <v>1</v>
      </c>
      <c r="Y62" s="2" t="s">
        <v>1</v>
      </c>
      <c r="Z62" s="2" t="s">
        <v>1</v>
      </c>
      <c r="AA62" s="2" t="s">
        <v>1</v>
      </c>
      <c r="AB62" s="2" t="s">
        <v>1</v>
      </c>
      <c r="AC62" s="2" t="s">
        <v>1</v>
      </c>
    </row>
    <row r="63" spans="1:29" x14ac:dyDescent="0.25">
      <c r="A63" s="2" t="s">
        <v>29</v>
      </c>
      <c r="B63" s="2" t="b">
        <v>0</v>
      </c>
      <c r="C63" s="2" t="s">
        <v>2571</v>
      </c>
      <c r="D63" s="2" t="s">
        <v>2572</v>
      </c>
      <c r="E63" s="2" t="s">
        <v>2573</v>
      </c>
      <c r="F63" s="2">
        <v>44225</v>
      </c>
      <c r="G63" s="2">
        <v>0.28680555555555554</v>
      </c>
      <c r="H63" s="2">
        <v>44225</v>
      </c>
      <c r="I63" s="2" t="s">
        <v>2639</v>
      </c>
      <c r="J63" s="2" t="s">
        <v>587</v>
      </c>
      <c r="K63" s="2" t="s">
        <v>19</v>
      </c>
      <c r="L63" s="2" t="s">
        <v>585</v>
      </c>
      <c r="M63" s="2" t="s">
        <v>2640</v>
      </c>
      <c r="N63" s="2" t="s">
        <v>1</v>
      </c>
      <c r="O63" s="2" t="s">
        <v>587</v>
      </c>
      <c r="P63" s="2">
        <v>1</v>
      </c>
      <c r="Q63" s="2" t="s">
        <v>1</v>
      </c>
      <c r="R63" s="2" t="s">
        <v>1</v>
      </c>
      <c r="S63" s="2" t="s">
        <v>1</v>
      </c>
      <c r="T63" s="2" t="s">
        <v>538</v>
      </c>
      <c r="U63" s="2" t="s">
        <v>610</v>
      </c>
      <c r="V63" s="2" t="s">
        <v>611</v>
      </c>
      <c r="W63" s="2" t="s">
        <v>1</v>
      </c>
      <c r="X63" s="2" t="s">
        <v>1</v>
      </c>
      <c r="Y63" s="2" t="s">
        <v>1</v>
      </c>
      <c r="Z63" s="2" t="s">
        <v>1</v>
      </c>
      <c r="AA63" s="2" t="s">
        <v>1</v>
      </c>
      <c r="AB63" s="2" t="s">
        <v>1</v>
      </c>
      <c r="AC63" s="2" t="s">
        <v>1</v>
      </c>
    </row>
    <row r="64" spans="1:29" x14ac:dyDescent="0.25">
      <c r="A64" s="2" t="s">
        <v>29</v>
      </c>
      <c r="B64" s="2" t="b">
        <v>0</v>
      </c>
      <c r="C64" s="2" t="s">
        <v>2571</v>
      </c>
      <c r="D64" s="2" t="s">
        <v>2572</v>
      </c>
      <c r="E64" s="2" t="s">
        <v>2573</v>
      </c>
      <c r="F64" s="2">
        <v>44226</v>
      </c>
      <c r="G64" s="2">
        <v>1.1805555555555555E-2</v>
      </c>
      <c r="H64" s="2">
        <v>44226</v>
      </c>
      <c r="I64" s="2" t="s">
        <v>2636</v>
      </c>
      <c r="J64" s="2" t="s">
        <v>587</v>
      </c>
      <c r="K64" s="2" t="s">
        <v>19</v>
      </c>
      <c r="L64" s="2" t="s">
        <v>585</v>
      </c>
      <c r="M64" s="2" t="s">
        <v>2637</v>
      </c>
      <c r="N64" s="2" t="s">
        <v>1</v>
      </c>
      <c r="O64" s="2" t="s">
        <v>587</v>
      </c>
      <c r="P64" s="2">
        <v>1</v>
      </c>
      <c r="Q64" s="2" t="s">
        <v>1</v>
      </c>
      <c r="R64" s="2" t="s">
        <v>1</v>
      </c>
      <c r="S64" s="2" t="s">
        <v>1</v>
      </c>
      <c r="T64" s="2" t="s">
        <v>539</v>
      </c>
      <c r="U64" s="2" t="s">
        <v>610</v>
      </c>
      <c r="V64" s="2" t="s">
        <v>611</v>
      </c>
      <c r="W64" s="2" t="s">
        <v>1</v>
      </c>
      <c r="X64" s="2" t="s">
        <v>1</v>
      </c>
      <c r="Y64" s="2" t="s">
        <v>1</v>
      </c>
      <c r="Z64" s="2" t="s">
        <v>1</v>
      </c>
      <c r="AA64" s="2" t="s">
        <v>1</v>
      </c>
      <c r="AB64" s="2" t="s">
        <v>1</v>
      </c>
      <c r="AC64" s="2" t="s">
        <v>1</v>
      </c>
    </row>
    <row r="65" spans="1:29" x14ac:dyDescent="0.25">
      <c r="A65" s="2" t="s">
        <v>29</v>
      </c>
      <c r="B65" s="2" t="b">
        <v>0</v>
      </c>
      <c r="C65" s="2" t="s">
        <v>2571</v>
      </c>
      <c r="D65" s="2" t="s">
        <v>2572</v>
      </c>
      <c r="E65" s="2" t="s">
        <v>2573</v>
      </c>
      <c r="F65" s="2">
        <v>44226</v>
      </c>
      <c r="G65" s="2">
        <v>8.611111111111111E-2</v>
      </c>
      <c r="H65" s="2">
        <v>44226</v>
      </c>
      <c r="I65" s="2" t="s">
        <v>2630</v>
      </c>
      <c r="J65" s="2" t="s">
        <v>587</v>
      </c>
      <c r="K65" s="2" t="s">
        <v>19</v>
      </c>
      <c r="L65" s="2" t="s">
        <v>585</v>
      </c>
      <c r="M65" s="2" t="s">
        <v>2631</v>
      </c>
      <c r="N65" s="2" t="s">
        <v>1</v>
      </c>
      <c r="O65" s="2" t="s">
        <v>587</v>
      </c>
      <c r="P65" s="2">
        <v>1</v>
      </c>
      <c r="Q65" s="2" t="s">
        <v>1</v>
      </c>
      <c r="R65" s="2" t="s">
        <v>1</v>
      </c>
      <c r="S65" s="2" t="s">
        <v>1</v>
      </c>
      <c r="T65" s="2" t="s">
        <v>540</v>
      </c>
      <c r="U65" s="2" t="s">
        <v>610</v>
      </c>
      <c r="V65" s="2" t="s">
        <v>611</v>
      </c>
      <c r="W65" s="2" t="s">
        <v>1</v>
      </c>
      <c r="X65" s="2" t="s">
        <v>1</v>
      </c>
      <c r="Y65" s="2" t="s">
        <v>1</v>
      </c>
      <c r="Z65" s="2" t="s">
        <v>1</v>
      </c>
      <c r="AA65" s="2" t="s">
        <v>1</v>
      </c>
      <c r="AB65" s="2" t="s">
        <v>1</v>
      </c>
      <c r="AC65" s="2" t="s">
        <v>1</v>
      </c>
    </row>
    <row r="66" spans="1:29" x14ac:dyDescent="0.25">
      <c r="A66" s="2" t="s">
        <v>29</v>
      </c>
      <c r="B66" s="2" t="b">
        <v>0</v>
      </c>
      <c r="C66" s="2" t="s">
        <v>2571</v>
      </c>
      <c r="D66" s="2" t="s">
        <v>2572</v>
      </c>
      <c r="E66" s="2" t="s">
        <v>2573</v>
      </c>
      <c r="F66" s="2">
        <v>44226</v>
      </c>
      <c r="G66" s="2">
        <v>9.7222222222222224E-2</v>
      </c>
      <c r="H66" s="2">
        <v>44226</v>
      </c>
      <c r="I66" s="2" t="s">
        <v>594</v>
      </c>
      <c r="J66" s="2" t="s">
        <v>587</v>
      </c>
      <c r="K66" s="2" t="s">
        <v>19</v>
      </c>
      <c r="L66" s="2" t="s">
        <v>585</v>
      </c>
      <c r="M66" s="2" t="s">
        <v>2629</v>
      </c>
      <c r="N66" s="2" t="s">
        <v>1</v>
      </c>
      <c r="O66" s="2" t="s">
        <v>587</v>
      </c>
      <c r="P66" s="2">
        <v>1</v>
      </c>
      <c r="Q66" s="2" t="s">
        <v>1</v>
      </c>
      <c r="R66" s="2" t="s">
        <v>1</v>
      </c>
      <c r="S66" s="2" t="s">
        <v>1</v>
      </c>
      <c r="T66" s="2" t="s">
        <v>541</v>
      </c>
      <c r="U66" s="2" t="s">
        <v>610</v>
      </c>
      <c r="V66" s="2" t="s">
        <v>611</v>
      </c>
      <c r="W66" s="2" t="s">
        <v>1</v>
      </c>
      <c r="X66" s="2" t="s">
        <v>1</v>
      </c>
      <c r="Y66" s="2" t="s">
        <v>1</v>
      </c>
      <c r="Z66" s="2" t="s">
        <v>1</v>
      </c>
      <c r="AA66" s="2" t="s">
        <v>1</v>
      </c>
      <c r="AB66" s="2" t="s">
        <v>1</v>
      </c>
      <c r="AC66" s="2" t="s">
        <v>1</v>
      </c>
    </row>
    <row r="67" spans="1:29" x14ac:dyDescent="0.25">
      <c r="A67" s="2" t="s">
        <v>29</v>
      </c>
      <c r="B67" s="2" t="b">
        <v>0</v>
      </c>
      <c r="C67" s="2" t="s">
        <v>2571</v>
      </c>
      <c r="D67" s="2" t="s">
        <v>2572</v>
      </c>
      <c r="E67" s="2" t="s">
        <v>2573</v>
      </c>
      <c r="F67" s="2">
        <v>44226</v>
      </c>
      <c r="G67" s="2">
        <v>7.1527777777777773E-2</v>
      </c>
      <c r="H67" s="2">
        <v>44226</v>
      </c>
      <c r="I67" s="2" t="s">
        <v>2585</v>
      </c>
      <c r="J67" s="2" t="s">
        <v>587</v>
      </c>
      <c r="K67" s="2" t="s">
        <v>19</v>
      </c>
      <c r="L67" s="2" t="s">
        <v>585</v>
      </c>
      <c r="M67" s="2" t="s">
        <v>2632</v>
      </c>
      <c r="N67" s="2" t="s">
        <v>1</v>
      </c>
      <c r="O67" s="2" t="s">
        <v>587</v>
      </c>
      <c r="P67" s="2">
        <v>1</v>
      </c>
      <c r="Q67" s="2" t="s">
        <v>1</v>
      </c>
      <c r="R67" s="2" t="s">
        <v>1</v>
      </c>
      <c r="S67" s="2" t="s">
        <v>1</v>
      </c>
      <c r="T67" s="2" t="s">
        <v>542</v>
      </c>
      <c r="U67" s="2" t="s">
        <v>42</v>
      </c>
      <c r="V67" s="2" t="s">
        <v>43</v>
      </c>
      <c r="W67" s="2" t="s">
        <v>1</v>
      </c>
      <c r="X67" s="2" t="s">
        <v>1</v>
      </c>
      <c r="Y67" s="2" t="s">
        <v>1</v>
      </c>
      <c r="Z67" s="2" t="s">
        <v>1</v>
      </c>
      <c r="AA67" s="2" t="s">
        <v>1</v>
      </c>
      <c r="AB67" s="2" t="s">
        <v>1</v>
      </c>
      <c r="AC67" s="2" t="s">
        <v>1</v>
      </c>
    </row>
    <row r="68" spans="1:29" x14ac:dyDescent="0.25">
      <c r="A68" s="2" t="s">
        <v>29</v>
      </c>
      <c r="B68" s="2" t="b">
        <v>0</v>
      </c>
      <c r="C68" s="2" t="s">
        <v>2571</v>
      </c>
      <c r="D68" s="2" t="s">
        <v>2572</v>
      </c>
      <c r="E68" s="2" t="s">
        <v>2573</v>
      </c>
      <c r="F68" s="2">
        <v>44238</v>
      </c>
      <c r="G68" s="2">
        <v>0.47499999999999998</v>
      </c>
      <c r="H68" s="2">
        <v>44238</v>
      </c>
      <c r="I68" s="2" t="s">
        <v>2587</v>
      </c>
      <c r="J68" s="2" t="s">
        <v>609</v>
      </c>
      <c r="K68" s="2" t="s">
        <v>38</v>
      </c>
      <c r="L68" s="2" t="s">
        <v>585</v>
      </c>
      <c r="M68" s="2" t="s">
        <v>2588</v>
      </c>
      <c r="N68" s="2" t="s">
        <v>1</v>
      </c>
      <c r="O68" s="2" t="s">
        <v>609</v>
      </c>
      <c r="P68" s="2">
        <v>1</v>
      </c>
      <c r="Q68" s="2" t="s">
        <v>1</v>
      </c>
      <c r="R68" s="2" t="s">
        <v>1</v>
      </c>
      <c r="S68" s="2" t="s">
        <v>1</v>
      </c>
      <c r="T68" s="2" t="s">
        <v>544</v>
      </c>
      <c r="U68" s="2" t="s">
        <v>27</v>
      </c>
      <c r="V68" s="2" t="s">
        <v>28</v>
      </c>
      <c r="W68" s="2" t="s">
        <v>1</v>
      </c>
      <c r="X68" s="2" t="s">
        <v>1</v>
      </c>
      <c r="Y68" s="2" t="s">
        <v>1</v>
      </c>
      <c r="Z68" s="2" t="s">
        <v>1</v>
      </c>
      <c r="AA68" s="2" t="s">
        <v>1</v>
      </c>
      <c r="AB68" s="2" t="s">
        <v>1</v>
      </c>
      <c r="AC68" s="2" t="s">
        <v>1</v>
      </c>
    </row>
    <row r="69" spans="1:29" x14ac:dyDescent="0.25">
      <c r="A69" s="2" t="s">
        <v>29</v>
      </c>
      <c r="B69" s="2" t="b">
        <v>0</v>
      </c>
      <c r="C69" s="2" t="s">
        <v>2571</v>
      </c>
      <c r="D69" s="2" t="s">
        <v>2572</v>
      </c>
      <c r="E69" s="2" t="s">
        <v>2573</v>
      </c>
      <c r="F69" s="2">
        <v>44238</v>
      </c>
      <c r="G69" s="2">
        <v>0.32916666666666666</v>
      </c>
      <c r="H69" s="2">
        <v>44238</v>
      </c>
      <c r="I69" s="2" t="s">
        <v>2587</v>
      </c>
      <c r="J69" s="2" t="s">
        <v>590</v>
      </c>
      <c r="K69" s="2" t="s">
        <v>24</v>
      </c>
      <c r="L69" s="2" t="s">
        <v>585</v>
      </c>
      <c r="M69" s="2" t="s">
        <v>2596</v>
      </c>
      <c r="N69" s="2" t="s">
        <v>1</v>
      </c>
      <c r="O69" s="2" t="s">
        <v>590</v>
      </c>
      <c r="P69" s="2">
        <v>1</v>
      </c>
      <c r="Q69" s="2" t="s">
        <v>1</v>
      </c>
      <c r="R69" s="2" t="s">
        <v>1</v>
      </c>
      <c r="S69" s="2" t="s">
        <v>1</v>
      </c>
      <c r="T69" s="2" t="s">
        <v>544</v>
      </c>
      <c r="U69" s="2" t="s">
        <v>27</v>
      </c>
      <c r="V69" s="2" t="s">
        <v>28</v>
      </c>
      <c r="W69" s="2" t="s">
        <v>1</v>
      </c>
      <c r="X69" s="2" t="s">
        <v>1</v>
      </c>
      <c r="Y69" s="2" t="s">
        <v>1</v>
      </c>
      <c r="Z69" s="2" t="s">
        <v>1</v>
      </c>
      <c r="AA69" s="2" t="s">
        <v>1</v>
      </c>
      <c r="AB69" s="2" t="s">
        <v>1</v>
      </c>
      <c r="AC69" s="2" t="s">
        <v>1</v>
      </c>
    </row>
    <row r="70" spans="1:29" x14ac:dyDescent="0.25">
      <c r="A70" s="2" t="s">
        <v>29</v>
      </c>
      <c r="B70" s="2" t="b">
        <v>0</v>
      </c>
      <c r="C70" s="2" t="s">
        <v>2571</v>
      </c>
      <c r="D70" s="2" t="s">
        <v>2572</v>
      </c>
      <c r="E70" s="2" t="s">
        <v>2573</v>
      </c>
      <c r="F70" s="2">
        <v>44236</v>
      </c>
      <c r="G70" s="2">
        <v>0.89583333333333348</v>
      </c>
      <c r="H70" s="2">
        <v>44237</v>
      </c>
      <c r="I70" s="2" t="s">
        <v>2602</v>
      </c>
      <c r="J70" s="2" t="s">
        <v>612</v>
      </c>
      <c r="K70" s="2" t="s">
        <v>19</v>
      </c>
      <c r="L70" s="2" t="s">
        <v>585</v>
      </c>
      <c r="M70" s="2" t="s">
        <v>589</v>
      </c>
      <c r="N70" s="2" t="s">
        <v>1</v>
      </c>
      <c r="O70" s="2" t="s">
        <v>612</v>
      </c>
      <c r="P70" s="2">
        <v>1</v>
      </c>
      <c r="Q70" s="2" t="s">
        <v>1</v>
      </c>
      <c r="R70" s="2" t="s">
        <v>1</v>
      </c>
      <c r="S70" s="2" t="s">
        <v>1</v>
      </c>
      <c r="T70" s="2" t="s">
        <v>554</v>
      </c>
      <c r="U70" s="2" t="s">
        <v>22</v>
      </c>
      <c r="V70" s="2" t="s">
        <v>23</v>
      </c>
      <c r="W70" s="2" t="s">
        <v>1</v>
      </c>
      <c r="X70" s="2" t="s">
        <v>1</v>
      </c>
      <c r="Y70" s="2" t="s">
        <v>1</v>
      </c>
      <c r="Z70" s="2" t="s">
        <v>1</v>
      </c>
      <c r="AA70" s="2" t="s">
        <v>1</v>
      </c>
      <c r="AB70" s="2" t="s">
        <v>1</v>
      </c>
      <c r="AC70" s="2" t="s">
        <v>1</v>
      </c>
    </row>
    <row r="71" spans="1:29" x14ac:dyDescent="0.25">
      <c r="A71" s="2" t="s">
        <v>15</v>
      </c>
      <c r="B71" s="2" t="b">
        <v>0</v>
      </c>
      <c r="C71" s="2" t="s">
        <v>2571</v>
      </c>
      <c r="D71" s="2" t="s">
        <v>2572</v>
      </c>
      <c r="E71" s="2" t="s">
        <v>2573</v>
      </c>
      <c r="F71" s="2">
        <v>44237</v>
      </c>
      <c r="G71" s="2">
        <v>0.86597222222222225</v>
      </c>
      <c r="H71" s="2">
        <v>44238</v>
      </c>
      <c r="I71" s="2" t="s">
        <v>2574</v>
      </c>
      <c r="J71" s="2" t="s">
        <v>603</v>
      </c>
      <c r="K71" s="2" t="s">
        <v>19</v>
      </c>
      <c r="L71" s="2" t="s">
        <v>585</v>
      </c>
      <c r="M71" s="2" t="s">
        <v>2575</v>
      </c>
      <c r="N71" s="2" t="s">
        <v>1</v>
      </c>
      <c r="O71" s="2" t="s">
        <v>603</v>
      </c>
      <c r="P71" s="2">
        <v>1</v>
      </c>
      <c r="Q71" s="2" t="s">
        <v>1</v>
      </c>
      <c r="R71" s="2" t="s">
        <v>1</v>
      </c>
      <c r="S71" s="2" t="s">
        <v>1</v>
      </c>
      <c r="T71" s="2" t="s">
        <v>560</v>
      </c>
      <c r="U71" s="2" t="s">
        <v>22</v>
      </c>
      <c r="V71" s="2" t="s">
        <v>23</v>
      </c>
      <c r="W71" s="2" t="s">
        <v>1</v>
      </c>
      <c r="X71" s="2" t="s">
        <v>1</v>
      </c>
      <c r="Y71" s="2" t="s">
        <v>1</v>
      </c>
      <c r="Z71" s="2" t="s">
        <v>1</v>
      </c>
      <c r="AA71" s="2" t="s">
        <v>1</v>
      </c>
      <c r="AB71" s="2" t="s">
        <v>1</v>
      </c>
      <c r="AC71" s="2" t="s">
        <v>1</v>
      </c>
    </row>
    <row r="72" spans="1:29" x14ac:dyDescent="0.25">
      <c r="A72" s="2" t="s">
        <v>29</v>
      </c>
      <c r="B72" s="2" t="b">
        <v>0</v>
      </c>
      <c r="C72" s="2" t="s">
        <v>2571</v>
      </c>
      <c r="D72" s="2" t="s">
        <v>2572</v>
      </c>
      <c r="E72" s="2" t="s">
        <v>2573</v>
      </c>
      <c r="F72" s="2">
        <v>44233</v>
      </c>
      <c r="G72" s="2">
        <v>0.10486111111111111</v>
      </c>
      <c r="H72" s="2">
        <v>44233</v>
      </c>
      <c r="I72" s="2" t="s">
        <v>599</v>
      </c>
      <c r="J72" s="2" t="s">
        <v>590</v>
      </c>
      <c r="K72" s="2" t="s">
        <v>24</v>
      </c>
      <c r="L72" s="2" t="s">
        <v>585</v>
      </c>
      <c r="M72" s="2" t="s">
        <v>2610</v>
      </c>
      <c r="N72" s="2" t="s">
        <v>1</v>
      </c>
      <c r="O72" s="2" t="s">
        <v>590</v>
      </c>
      <c r="P72" s="2">
        <v>1</v>
      </c>
      <c r="Q72" s="2" t="s">
        <v>1</v>
      </c>
      <c r="R72" s="2" t="s">
        <v>1</v>
      </c>
      <c r="S72" s="2" t="s">
        <v>1</v>
      </c>
      <c r="T72" s="2" t="s">
        <v>561</v>
      </c>
      <c r="U72" s="2" t="s">
        <v>75</v>
      </c>
      <c r="V72" s="2" t="s">
        <v>43</v>
      </c>
      <c r="W72" s="2" t="s">
        <v>1</v>
      </c>
      <c r="X72" s="2" t="s">
        <v>1</v>
      </c>
      <c r="Y72" s="2" t="s">
        <v>1</v>
      </c>
      <c r="Z72" s="2" t="s">
        <v>1</v>
      </c>
      <c r="AA72" s="2" t="s">
        <v>1</v>
      </c>
      <c r="AB72" s="2" t="s">
        <v>1</v>
      </c>
      <c r="AC72" s="2" t="s">
        <v>1</v>
      </c>
    </row>
    <row r="73" spans="1:29" x14ac:dyDescent="0.25">
      <c r="A73" s="2" t="s">
        <v>29</v>
      </c>
      <c r="B73" s="2" t="b">
        <v>0</v>
      </c>
      <c r="C73" s="2" t="s">
        <v>2571</v>
      </c>
      <c r="D73" s="2" t="s">
        <v>2572</v>
      </c>
      <c r="E73" s="2" t="s">
        <v>2573</v>
      </c>
      <c r="F73" s="2">
        <v>44233</v>
      </c>
      <c r="G73" s="2">
        <v>0.12222222222222222</v>
      </c>
      <c r="H73" s="2">
        <v>44233</v>
      </c>
      <c r="I73" s="2" t="s">
        <v>2608</v>
      </c>
      <c r="J73" s="2" t="s">
        <v>590</v>
      </c>
      <c r="K73" s="2" t="s">
        <v>24</v>
      </c>
      <c r="L73" s="2" t="s">
        <v>585</v>
      </c>
      <c r="M73" s="2" t="s">
        <v>2609</v>
      </c>
      <c r="N73" s="2" t="s">
        <v>1</v>
      </c>
      <c r="O73" s="2" t="s">
        <v>590</v>
      </c>
      <c r="P73" s="2">
        <v>1</v>
      </c>
      <c r="Q73" s="2" t="s">
        <v>1</v>
      </c>
      <c r="R73" s="2" t="s">
        <v>1</v>
      </c>
      <c r="S73" s="2" t="s">
        <v>1</v>
      </c>
      <c r="T73" s="2" t="s">
        <v>563</v>
      </c>
      <c r="U73" s="2" t="s">
        <v>75</v>
      </c>
      <c r="V73" s="2" t="s">
        <v>43</v>
      </c>
      <c r="W73" s="2" t="s">
        <v>1</v>
      </c>
      <c r="X73" s="2" t="s">
        <v>1</v>
      </c>
      <c r="Y73" s="2" t="s">
        <v>1</v>
      </c>
      <c r="Z73" s="2" t="s">
        <v>1</v>
      </c>
      <c r="AA73" s="2" t="s">
        <v>1</v>
      </c>
      <c r="AB73" s="2" t="s">
        <v>1</v>
      </c>
      <c r="AC73" s="2" t="s">
        <v>1</v>
      </c>
    </row>
    <row r="74" spans="1:29" x14ac:dyDescent="0.25">
      <c r="A74" s="2" t="s">
        <v>29</v>
      </c>
      <c r="B74" s="2" t="b">
        <v>0</v>
      </c>
      <c r="C74" s="2" t="s">
        <v>2571</v>
      </c>
      <c r="D74" s="2" t="s">
        <v>2572</v>
      </c>
      <c r="E74" s="2" t="s">
        <v>2573</v>
      </c>
      <c r="F74" s="2">
        <v>44226</v>
      </c>
      <c r="G74" s="2">
        <v>0.13958333333333334</v>
      </c>
      <c r="H74" s="2">
        <v>44226</v>
      </c>
      <c r="I74" s="2" t="s">
        <v>2626</v>
      </c>
      <c r="J74" s="2" t="s">
        <v>2623</v>
      </c>
      <c r="K74" s="2" t="s">
        <v>2624</v>
      </c>
      <c r="L74" s="2" t="s">
        <v>585</v>
      </c>
      <c r="M74" s="2" t="s">
        <v>2627</v>
      </c>
      <c r="N74" s="2" t="s">
        <v>1</v>
      </c>
      <c r="O74" s="2" t="s">
        <v>2623</v>
      </c>
      <c r="P74" s="2">
        <v>1</v>
      </c>
      <c r="Q74" s="2" t="s">
        <v>1</v>
      </c>
      <c r="R74" s="2" t="s">
        <v>1</v>
      </c>
      <c r="S74" s="2" t="s">
        <v>1</v>
      </c>
      <c r="T74" s="2" t="s">
        <v>423</v>
      </c>
      <c r="U74" s="2" t="s">
        <v>22</v>
      </c>
      <c r="V74" s="2" t="s">
        <v>23</v>
      </c>
      <c r="W74" s="2" t="s">
        <v>1</v>
      </c>
      <c r="X74" s="2" t="s">
        <v>1</v>
      </c>
      <c r="Y74" s="2" t="s">
        <v>1</v>
      </c>
      <c r="Z74" s="2" t="s">
        <v>1</v>
      </c>
      <c r="AA74" s="2" t="s">
        <v>1</v>
      </c>
      <c r="AB74" s="2" t="s">
        <v>1</v>
      </c>
      <c r="AC74" s="2" t="s">
        <v>1</v>
      </c>
    </row>
    <row r="75" spans="1:29" x14ac:dyDescent="0.25">
      <c r="A75" s="2" t="s">
        <v>29</v>
      </c>
      <c r="B75" s="2" t="b">
        <v>0</v>
      </c>
      <c r="C75" s="2" t="s">
        <v>2571</v>
      </c>
      <c r="D75" s="2" t="s">
        <v>2572</v>
      </c>
      <c r="E75" s="2" t="s">
        <v>2573</v>
      </c>
      <c r="F75" s="2">
        <v>44225</v>
      </c>
      <c r="G75" s="2">
        <v>0.57013888888888886</v>
      </c>
      <c r="H75" s="2">
        <v>44226</v>
      </c>
      <c r="I75" s="2" t="s">
        <v>2600</v>
      </c>
      <c r="J75" s="2" t="s">
        <v>621</v>
      </c>
      <c r="K75" s="2" t="s">
        <v>19</v>
      </c>
      <c r="L75" s="2" t="s">
        <v>585</v>
      </c>
      <c r="M75" s="2" t="s">
        <v>607</v>
      </c>
      <c r="N75" s="2" t="s">
        <v>1</v>
      </c>
      <c r="O75" s="2" t="s">
        <v>621</v>
      </c>
      <c r="P75" s="2">
        <v>1</v>
      </c>
      <c r="Q75" s="2" t="s">
        <v>1</v>
      </c>
      <c r="R75" s="2" t="s">
        <v>1</v>
      </c>
      <c r="S75" s="2" t="s">
        <v>1</v>
      </c>
      <c r="T75" s="2" t="s">
        <v>423</v>
      </c>
      <c r="U75" s="2" t="s">
        <v>22</v>
      </c>
      <c r="V75" s="2" t="s">
        <v>23</v>
      </c>
      <c r="W75" s="2" t="s">
        <v>1</v>
      </c>
      <c r="X75" s="2" t="s">
        <v>1</v>
      </c>
      <c r="Y75" s="2" t="s">
        <v>1</v>
      </c>
      <c r="Z75" s="2" t="s">
        <v>1</v>
      </c>
      <c r="AA75" s="2" t="s">
        <v>1</v>
      </c>
      <c r="AB75" s="2" t="s">
        <v>1</v>
      </c>
      <c r="AC75" s="2" t="s">
        <v>1</v>
      </c>
    </row>
    <row r="76" spans="1:29" x14ac:dyDescent="0.25">
      <c r="A76" s="2" t="s">
        <v>29</v>
      </c>
      <c r="B76" s="2" t="b">
        <v>0</v>
      </c>
      <c r="C76" s="2" t="s">
        <v>2571</v>
      </c>
      <c r="D76" s="2" t="s">
        <v>2572</v>
      </c>
      <c r="E76" s="2" t="s">
        <v>2573</v>
      </c>
      <c r="F76" s="2">
        <v>44223</v>
      </c>
      <c r="G76" s="2">
        <v>2.2222222222222223E-2</v>
      </c>
      <c r="H76" s="2">
        <v>44223</v>
      </c>
      <c r="I76" s="2" t="s">
        <v>2645</v>
      </c>
      <c r="J76" s="2" t="s">
        <v>603</v>
      </c>
      <c r="K76" s="2" t="s">
        <v>19</v>
      </c>
      <c r="L76" s="2" t="s">
        <v>585</v>
      </c>
      <c r="M76" s="2" t="s">
        <v>607</v>
      </c>
      <c r="N76" s="2" t="s">
        <v>1</v>
      </c>
      <c r="O76" s="2" t="s">
        <v>603</v>
      </c>
      <c r="P76" s="2">
        <v>1</v>
      </c>
      <c r="Q76" s="2" t="s">
        <v>1</v>
      </c>
      <c r="R76" s="2" t="s">
        <v>1</v>
      </c>
      <c r="S76" s="2" t="s">
        <v>1</v>
      </c>
      <c r="T76" s="2" t="s">
        <v>423</v>
      </c>
      <c r="U76" s="2" t="s">
        <v>22</v>
      </c>
      <c r="V76" s="2" t="s">
        <v>23</v>
      </c>
      <c r="W76" s="2" t="s">
        <v>1</v>
      </c>
      <c r="X76" s="2" t="s">
        <v>1</v>
      </c>
      <c r="Y76" s="2" t="s">
        <v>1</v>
      </c>
      <c r="Z76" s="2" t="s">
        <v>1</v>
      </c>
      <c r="AA76" s="2" t="s">
        <v>1</v>
      </c>
      <c r="AB76" s="2" t="s">
        <v>1</v>
      </c>
      <c r="AC76" s="2" t="s">
        <v>1</v>
      </c>
    </row>
    <row r="77" spans="1:29" x14ac:dyDescent="0.25">
      <c r="A77" s="2" t="s">
        <v>29</v>
      </c>
      <c r="B77" s="2" t="b">
        <v>0</v>
      </c>
      <c r="C77" s="2" t="s">
        <v>2571</v>
      </c>
      <c r="D77" s="2" t="s">
        <v>2572</v>
      </c>
      <c r="E77" s="2" t="s">
        <v>2573</v>
      </c>
      <c r="F77" s="2">
        <v>44219</v>
      </c>
      <c r="G77" s="2">
        <v>0.3743055555555555</v>
      </c>
      <c r="H77" s="2">
        <v>44219</v>
      </c>
      <c r="I77" s="2" t="s">
        <v>2653</v>
      </c>
      <c r="J77" s="2" t="s">
        <v>604</v>
      </c>
      <c r="K77" s="2" t="s">
        <v>24</v>
      </c>
      <c r="L77" s="2" t="s">
        <v>585</v>
      </c>
      <c r="M77" s="2" t="s">
        <v>2654</v>
      </c>
      <c r="N77" s="2" t="s">
        <v>1</v>
      </c>
      <c r="O77" s="2" t="s">
        <v>604</v>
      </c>
      <c r="P77" s="2">
        <v>1</v>
      </c>
      <c r="Q77" s="2" t="s">
        <v>1</v>
      </c>
      <c r="R77" s="2" t="s">
        <v>1</v>
      </c>
      <c r="S77" s="2" t="s">
        <v>1</v>
      </c>
      <c r="T77" s="2" t="s">
        <v>427</v>
      </c>
      <c r="U77" s="2" t="s">
        <v>75</v>
      </c>
      <c r="V77" s="2" t="s">
        <v>43</v>
      </c>
      <c r="W77" s="2" t="s">
        <v>1</v>
      </c>
      <c r="X77" s="2" t="s">
        <v>1</v>
      </c>
      <c r="Y77" s="2" t="s">
        <v>1</v>
      </c>
      <c r="Z77" s="2" t="s">
        <v>1</v>
      </c>
      <c r="AA77" s="2" t="s">
        <v>1</v>
      </c>
      <c r="AB77" s="2" t="s">
        <v>1</v>
      </c>
      <c r="AC77" s="2" t="s">
        <v>1</v>
      </c>
    </row>
    <row r="78" spans="1:29" x14ac:dyDescent="0.25">
      <c r="A78" s="2" t="s">
        <v>29</v>
      </c>
      <c r="B78" s="2" t="b">
        <v>0</v>
      </c>
      <c r="C78" s="2" t="s">
        <v>2571</v>
      </c>
      <c r="D78" s="2" t="s">
        <v>2572</v>
      </c>
      <c r="E78" s="2" t="s">
        <v>2573</v>
      </c>
      <c r="F78" s="2">
        <v>44218</v>
      </c>
      <c r="G78" s="2">
        <v>0.35</v>
      </c>
      <c r="H78" s="2">
        <v>44218</v>
      </c>
      <c r="I78" s="2" t="s">
        <v>2661</v>
      </c>
      <c r="J78" s="2" t="s">
        <v>2662</v>
      </c>
      <c r="K78" s="2" t="s">
        <v>38</v>
      </c>
      <c r="L78" s="2" t="s">
        <v>585</v>
      </c>
      <c r="M78" s="2" t="s">
        <v>2663</v>
      </c>
      <c r="N78" s="2" t="s">
        <v>1</v>
      </c>
      <c r="O78" s="2" t="s">
        <v>2662</v>
      </c>
      <c r="P78" s="2">
        <v>1</v>
      </c>
      <c r="Q78" s="2" t="s">
        <v>1</v>
      </c>
      <c r="R78" s="2" t="s">
        <v>1</v>
      </c>
      <c r="S78" s="2" t="s">
        <v>1</v>
      </c>
      <c r="T78" s="2" t="s">
        <v>416</v>
      </c>
      <c r="U78" s="2" t="s">
        <v>22</v>
      </c>
      <c r="V78" s="2" t="s">
        <v>23</v>
      </c>
      <c r="W78" s="2" t="s">
        <v>1</v>
      </c>
      <c r="X78" s="2" t="s">
        <v>1</v>
      </c>
      <c r="Y78" s="2" t="s">
        <v>1</v>
      </c>
      <c r="Z78" s="2" t="s">
        <v>1</v>
      </c>
      <c r="AA78" s="2" t="s">
        <v>1</v>
      </c>
      <c r="AB78" s="2" t="s">
        <v>1</v>
      </c>
      <c r="AC78" s="2" t="s">
        <v>1</v>
      </c>
    </row>
    <row r="79" spans="1:29" x14ac:dyDescent="0.25">
      <c r="A79" s="2" t="s">
        <v>29</v>
      </c>
      <c r="B79" s="2" t="b">
        <v>0</v>
      </c>
      <c r="C79" s="2" t="s">
        <v>2571</v>
      </c>
      <c r="D79" s="2" t="s">
        <v>2572</v>
      </c>
      <c r="E79" s="2" t="s">
        <v>2573</v>
      </c>
      <c r="F79" s="2">
        <v>44187</v>
      </c>
      <c r="G79" s="2">
        <v>9.0277777777777769E-3</v>
      </c>
      <c r="H79" s="2">
        <v>44187</v>
      </c>
      <c r="I79" s="2" t="s">
        <v>2698</v>
      </c>
      <c r="J79" s="2" t="s">
        <v>603</v>
      </c>
      <c r="K79" s="2" t="s">
        <v>19</v>
      </c>
      <c r="L79" s="2" t="s">
        <v>585</v>
      </c>
      <c r="M79" s="2" t="s">
        <v>613</v>
      </c>
      <c r="N79" s="2" t="s">
        <v>1</v>
      </c>
      <c r="O79" s="2" t="s">
        <v>603</v>
      </c>
      <c r="P79" s="2">
        <v>1</v>
      </c>
      <c r="Q79" s="2" t="s">
        <v>1</v>
      </c>
      <c r="R79" s="2" t="s">
        <v>1</v>
      </c>
      <c r="S79" s="2" t="s">
        <v>1</v>
      </c>
      <c r="T79" s="2" t="s">
        <v>416</v>
      </c>
      <c r="U79" s="2" t="s">
        <v>22</v>
      </c>
      <c r="V79" s="2" t="s">
        <v>23</v>
      </c>
      <c r="W79" s="2" t="s">
        <v>1</v>
      </c>
      <c r="X79" s="2" t="s">
        <v>1</v>
      </c>
      <c r="Y79" s="2" t="s">
        <v>1</v>
      </c>
      <c r="Z79" s="2" t="s">
        <v>1</v>
      </c>
      <c r="AA79" s="2" t="s">
        <v>1</v>
      </c>
      <c r="AB79" s="2" t="s">
        <v>1</v>
      </c>
      <c r="AC79" s="2" t="s">
        <v>1</v>
      </c>
    </row>
    <row r="80" spans="1:29" x14ac:dyDescent="0.25">
      <c r="A80" s="2" t="s">
        <v>29</v>
      </c>
      <c r="B80" s="2" t="b">
        <v>0</v>
      </c>
      <c r="C80" s="2" t="s">
        <v>2571</v>
      </c>
      <c r="D80" s="2" t="s">
        <v>2572</v>
      </c>
      <c r="E80" s="2" t="s">
        <v>2573</v>
      </c>
      <c r="F80" s="2">
        <v>44217</v>
      </c>
      <c r="G80" s="2">
        <v>0.85763888888888884</v>
      </c>
      <c r="H80" s="2">
        <v>44218</v>
      </c>
      <c r="I80" s="2" t="s">
        <v>2670</v>
      </c>
      <c r="J80" s="2" t="s">
        <v>603</v>
      </c>
      <c r="K80" s="2" t="s">
        <v>19</v>
      </c>
      <c r="L80" s="2" t="s">
        <v>585</v>
      </c>
      <c r="M80" s="2" t="s">
        <v>614</v>
      </c>
      <c r="N80" s="2" t="s">
        <v>1</v>
      </c>
      <c r="O80" s="2" t="s">
        <v>603</v>
      </c>
      <c r="P80" s="2">
        <v>1</v>
      </c>
      <c r="Q80" s="2" t="s">
        <v>1</v>
      </c>
      <c r="R80" s="2" t="s">
        <v>1</v>
      </c>
      <c r="S80" s="2" t="s">
        <v>1</v>
      </c>
      <c r="T80" s="2" t="s">
        <v>415</v>
      </c>
      <c r="U80" s="2" t="s">
        <v>22</v>
      </c>
      <c r="V80" s="2" t="s">
        <v>23</v>
      </c>
      <c r="W80" s="2" t="s">
        <v>1</v>
      </c>
      <c r="X80" s="2" t="s">
        <v>1</v>
      </c>
      <c r="Y80" s="2" t="s">
        <v>1</v>
      </c>
      <c r="Z80" s="2" t="s">
        <v>1</v>
      </c>
      <c r="AA80" s="2" t="s">
        <v>1</v>
      </c>
      <c r="AB80" s="2" t="s">
        <v>1</v>
      </c>
      <c r="AC80" s="2" t="s">
        <v>1</v>
      </c>
    </row>
    <row r="81" spans="1:29" x14ac:dyDescent="0.25">
      <c r="A81" s="2" t="s">
        <v>29</v>
      </c>
      <c r="B81" s="2" t="b">
        <v>0</v>
      </c>
      <c r="C81" s="2" t="s">
        <v>2571</v>
      </c>
      <c r="D81" s="2" t="s">
        <v>2572</v>
      </c>
      <c r="E81" s="2" t="s">
        <v>2573</v>
      </c>
      <c r="F81" s="2">
        <v>44193</v>
      </c>
      <c r="G81" s="2">
        <v>0.26250000000000001</v>
      </c>
      <c r="H81" s="2">
        <v>44193</v>
      </c>
      <c r="I81" s="2" t="s">
        <v>2651</v>
      </c>
      <c r="J81" s="2" t="s">
        <v>2623</v>
      </c>
      <c r="K81" s="2" t="s">
        <v>1</v>
      </c>
      <c r="L81" s="2" t="s">
        <v>585</v>
      </c>
      <c r="M81" s="2" t="s">
        <v>2693</v>
      </c>
      <c r="N81" s="2" t="s">
        <v>1</v>
      </c>
      <c r="O81" s="2" t="s">
        <v>2623</v>
      </c>
      <c r="P81" s="2">
        <v>1</v>
      </c>
      <c r="Q81" s="2" t="s">
        <v>1</v>
      </c>
      <c r="R81" s="2" t="s">
        <v>1</v>
      </c>
      <c r="S81" s="2" t="s">
        <v>1</v>
      </c>
      <c r="T81" s="2" t="s">
        <v>58</v>
      </c>
      <c r="U81" s="2" t="s">
        <v>22</v>
      </c>
      <c r="V81" s="2" t="s">
        <v>23</v>
      </c>
      <c r="W81" s="2" t="s">
        <v>1</v>
      </c>
      <c r="X81" s="2" t="s">
        <v>1</v>
      </c>
      <c r="Y81" s="2" t="s">
        <v>1</v>
      </c>
      <c r="Z81" s="2" t="s">
        <v>1</v>
      </c>
      <c r="AA81" s="2" t="s">
        <v>1</v>
      </c>
      <c r="AB81" s="2" t="s">
        <v>1</v>
      </c>
      <c r="AC81" s="2" t="s">
        <v>1</v>
      </c>
    </row>
    <row r="82" spans="1:29" x14ac:dyDescent="0.25">
      <c r="A82" s="2" t="s">
        <v>29</v>
      </c>
      <c r="B82" s="2" t="b">
        <v>0</v>
      </c>
      <c r="C82" s="2" t="s">
        <v>2571</v>
      </c>
      <c r="D82" s="2" t="s">
        <v>2572</v>
      </c>
      <c r="E82" s="2" t="s">
        <v>2573</v>
      </c>
      <c r="F82" s="2">
        <v>44193</v>
      </c>
      <c r="G82" s="2">
        <v>0.26111111111111113</v>
      </c>
      <c r="H82" s="2">
        <v>44193</v>
      </c>
      <c r="I82" s="2" t="s">
        <v>2636</v>
      </c>
      <c r="J82" s="2" t="s">
        <v>2623</v>
      </c>
      <c r="K82" s="2" t="s">
        <v>1</v>
      </c>
      <c r="L82" s="2" t="s">
        <v>585</v>
      </c>
      <c r="M82" s="2" t="s">
        <v>2694</v>
      </c>
      <c r="N82" s="2" t="s">
        <v>1</v>
      </c>
      <c r="O82" s="2" t="s">
        <v>2623</v>
      </c>
      <c r="P82" s="2">
        <v>1</v>
      </c>
      <c r="Q82" s="2" t="s">
        <v>1</v>
      </c>
      <c r="R82" s="2" t="s">
        <v>1</v>
      </c>
      <c r="S82" s="2" t="s">
        <v>1</v>
      </c>
      <c r="T82" s="2" t="s">
        <v>58</v>
      </c>
      <c r="U82" s="2" t="s">
        <v>22</v>
      </c>
      <c r="V82" s="2" t="s">
        <v>23</v>
      </c>
      <c r="W82" s="2" t="s">
        <v>1</v>
      </c>
      <c r="X82" s="2" t="s">
        <v>1</v>
      </c>
      <c r="Y82" s="2" t="s">
        <v>1</v>
      </c>
      <c r="Z82" s="2" t="s">
        <v>1</v>
      </c>
      <c r="AA82" s="2" t="s">
        <v>1</v>
      </c>
      <c r="AB82" s="2" t="s">
        <v>1</v>
      </c>
      <c r="AC82" s="2" t="s">
        <v>1</v>
      </c>
    </row>
    <row r="83" spans="1:29" x14ac:dyDescent="0.25">
      <c r="A83" s="2" t="s">
        <v>29</v>
      </c>
      <c r="B83" s="2" t="b">
        <v>0</v>
      </c>
      <c r="C83" s="2" t="s">
        <v>2571</v>
      </c>
      <c r="D83" s="2" t="s">
        <v>2572</v>
      </c>
      <c r="E83" s="2" t="s">
        <v>2573</v>
      </c>
      <c r="F83" s="2">
        <v>44193</v>
      </c>
      <c r="G83" s="2">
        <v>0.10069444444444443</v>
      </c>
      <c r="H83" s="2">
        <v>44193</v>
      </c>
      <c r="I83" s="2" t="s">
        <v>592</v>
      </c>
      <c r="J83" s="2" t="s">
        <v>586</v>
      </c>
      <c r="K83" s="2" t="s">
        <v>38</v>
      </c>
      <c r="L83" s="2" t="s">
        <v>585</v>
      </c>
      <c r="M83" s="2" t="s">
        <v>2695</v>
      </c>
      <c r="N83" s="2" t="s">
        <v>1</v>
      </c>
      <c r="O83" s="2" t="s">
        <v>586</v>
      </c>
      <c r="P83" s="2">
        <v>1</v>
      </c>
      <c r="Q83" s="2" t="s">
        <v>1</v>
      </c>
      <c r="R83" s="2" t="s">
        <v>1</v>
      </c>
      <c r="S83" s="2" t="s">
        <v>1</v>
      </c>
      <c r="T83" s="2" t="s">
        <v>58</v>
      </c>
      <c r="U83" s="2" t="s">
        <v>50</v>
      </c>
      <c r="V83" s="2" t="s">
        <v>51</v>
      </c>
      <c r="W83" s="2" t="s">
        <v>1</v>
      </c>
      <c r="X83" s="2" t="s">
        <v>1</v>
      </c>
      <c r="Y83" s="2" t="s">
        <v>1</v>
      </c>
      <c r="Z83" s="2" t="s">
        <v>1</v>
      </c>
      <c r="AA83" s="2" t="s">
        <v>1</v>
      </c>
      <c r="AB83" s="2" t="s">
        <v>1</v>
      </c>
      <c r="AC83" s="2" t="s">
        <v>1</v>
      </c>
    </row>
    <row r="84" spans="1:29" x14ac:dyDescent="0.25">
      <c r="A84" s="2" t="s">
        <v>29</v>
      </c>
      <c r="B84" s="2" t="b">
        <v>0</v>
      </c>
      <c r="C84" s="2" t="s">
        <v>2571</v>
      </c>
      <c r="D84" s="2" t="s">
        <v>2572</v>
      </c>
      <c r="E84" s="2" t="s">
        <v>2573</v>
      </c>
      <c r="F84" s="2">
        <v>44192</v>
      </c>
      <c r="G84" s="2">
        <v>0.68402777777777779</v>
      </c>
      <c r="H84" s="2">
        <v>44193</v>
      </c>
      <c r="I84" s="2" t="s">
        <v>592</v>
      </c>
      <c r="J84" s="2" t="s">
        <v>603</v>
      </c>
      <c r="K84" s="2" t="s">
        <v>19</v>
      </c>
      <c r="L84" s="2" t="s">
        <v>585</v>
      </c>
      <c r="M84" s="2" t="s">
        <v>2696</v>
      </c>
      <c r="N84" s="2" t="s">
        <v>1</v>
      </c>
      <c r="O84" s="2" t="s">
        <v>603</v>
      </c>
      <c r="P84" s="2">
        <v>1</v>
      </c>
      <c r="Q84" s="2" t="s">
        <v>1</v>
      </c>
      <c r="R84" s="2" t="s">
        <v>1</v>
      </c>
      <c r="S84" s="2" t="s">
        <v>1</v>
      </c>
      <c r="T84" s="2" t="s">
        <v>58</v>
      </c>
      <c r="U84" s="2" t="s">
        <v>50</v>
      </c>
      <c r="V84" s="2" t="s">
        <v>51</v>
      </c>
      <c r="W84" s="2" t="s">
        <v>1</v>
      </c>
      <c r="X84" s="2" t="s">
        <v>1</v>
      </c>
      <c r="Y84" s="2" t="s">
        <v>1</v>
      </c>
      <c r="Z84" s="2" t="s">
        <v>1</v>
      </c>
      <c r="AA84" s="2" t="s">
        <v>1</v>
      </c>
      <c r="AB84" s="2" t="s">
        <v>1</v>
      </c>
      <c r="AC84" s="2" t="s">
        <v>1</v>
      </c>
    </row>
    <row r="85" spans="1:29" x14ac:dyDescent="0.25">
      <c r="A85" s="2" t="s">
        <v>29</v>
      </c>
      <c r="B85" s="2" t="b">
        <v>0</v>
      </c>
      <c r="C85" s="2" t="s">
        <v>2571</v>
      </c>
      <c r="D85" s="2" t="s">
        <v>2572</v>
      </c>
      <c r="E85" s="2" t="s">
        <v>2573</v>
      </c>
      <c r="F85" s="2">
        <v>44192</v>
      </c>
      <c r="G85" s="2">
        <v>0.34861111111111109</v>
      </c>
      <c r="H85" s="2">
        <v>44193</v>
      </c>
      <c r="I85" s="2" t="s">
        <v>2697</v>
      </c>
      <c r="J85" s="2" t="s">
        <v>2686</v>
      </c>
      <c r="K85" s="2" t="s">
        <v>19</v>
      </c>
      <c r="L85" s="2" t="s">
        <v>585</v>
      </c>
      <c r="M85" s="2" t="s">
        <v>57</v>
      </c>
      <c r="N85" s="2" t="s">
        <v>1</v>
      </c>
      <c r="O85" s="2" t="s">
        <v>2686</v>
      </c>
      <c r="P85" s="2">
        <v>1</v>
      </c>
      <c r="Q85" s="2" t="s">
        <v>1</v>
      </c>
      <c r="R85" s="2" t="s">
        <v>1</v>
      </c>
      <c r="S85" s="2" t="s">
        <v>1</v>
      </c>
      <c r="T85" s="2" t="s">
        <v>58</v>
      </c>
      <c r="U85" s="2" t="s">
        <v>22</v>
      </c>
      <c r="V85" s="2" t="s">
        <v>23</v>
      </c>
      <c r="W85" s="2" t="s">
        <v>1</v>
      </c>
      <c r="X85" s="2" t="s">
        <v>1</v>
      </c>
      <c r="Y85" s="2" t="s">
        <v>1</v>
      </c>
      <c r="Z85" s="2" t="s">
        <v>1</v>
      </c>
      <c r="AA85" s="2" t="s">
        <v>1</v>
      </c>
      <c r="AB85" s="2" t="s">
        <v>1</v>
      </c>
      <c r="AC85" s="2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6789BA-0C56-4A75-960D-580155C3B7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</vt:i4>
      </vt:variant>
    </vt:vector>
  </HeadingPairs>
  <TitlesOfParts>
    <vt:vector size="11" baseType="lpstr">
      <vt:lpstr>Лист1</vt:lpstr>
      <vt:lpstr>1328</vt:lpstr>
      <vt:lpstr>1225</vt:lpstr>
      <vt:lpstr>Merge1</vt:lpstr>
      <vt:lpstr>1498</vt:lpstr>
      <vt:lpstr>Лист12</vt:lpstr>
      <vt:lpstr>Merge2</vt:lpstr>
      <vt:lpstr>LPN</vt:lpstr>
      <vt:lpstr>LB</vt:lpstr>
      <vt:lpstr>Лист2</vt:lpstr>
      <vt:lpstr>dates</vt:lpstr>
    </vt:vector>
  </TitlesOfParts>
  <Company>S7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Шамовский-Островский Дмитрий Александрович</dc:creator>
  <cp:lastModifiedBy>Шамовский-Островский Дмитрий Александрович</cp:lastModifiedBy>
  <dcterms:created xsi:type="dcterms:W3CDTF">2021-01-12T06:46:16Z</dcterms:created>
  <dcterms:modified xsi:type="dcterms:W3CDTF">2021-04-05T11:17:31Z</dcterms:modified>
</cp:coreProperties>
</file>